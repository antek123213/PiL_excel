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20" customWidth="1" min="10" max="10"/>
    <col width="21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5" customWidth="1" min="19" max="19"/>
    <col width="15" customWidth="1" min="20" max="20"/>
    <col width="15" customWidth="1" min="21" max="21"/>
    <col width="20" customWidth="1" min="22" max="22"/>
    <col width="15" customWidth="1" min="23" max="23"/>
    <col width="20" customWidth="1" min="24" max="24"/>
    <col width="15" customWidth="1" min="25" max="25"/>
    <col width="15" customWidth="1" min="26" max="26"/>
    <col width="17" customWidth="1" min="27" max="27"/>
    <col width="20" customWidth="1" min="28" max="28"/>
    <col width="20" customWidth="1" min="29" max="29"/>
    <col width="20" customWidth="1" min="30" max="30"/>
    <col width="17" customWidth="1" min="31" max="31"/>
    <col width="17" customWidth="1" min="32" max="32"/>
    <col width="17" customWidth="1" min="33" max="33"/>
    <col width="17" customWidth="1" min="34" max="34"/>
    <col width="20" customWidth="1" min="35" max="35"/>
    <col width="20" customWidth="1" min="36" max="36"/>
    <col width="17" customWidth="1" min="37" max="37"/>
    <col width="17" customWidth="1" min="38" max="38"/>
    <col width="17" customWidth="1" min="39" max="39"/>
    <col width="20" customWidth="1" min="40" max="40"/>
    <col width="20" customWidth="1" min="41" max="41"/>
    <col width="20" customWidth="1" min="42" max="42"/>
    <col width="17" customWidth="1" min="43" max="43"/>
    <col width="17" customWidth="1" min="44" max="44"/>
    <col width="17" customWidth="1" min="45" max="45"/>
    <col width="20" customWidth="1" min="46" max="46"/>
    <col width="20" customWidth="1" min="47" max="47"/>
    <col width="20" customWidth="1" min="48" max="48"/>
    <col width="17" customWidth="1" min="49" max="49"/>
    <col width="17" customWidth="1" min="50" max="50"/>
    <col width="17" customWidth="1" min="51" max="51"/>
    <col width="20" customWidth="1" min="52" max="52"/>
    <col width="30" customWidth="1" min="53" max="53"/>
    <col width="50" customWidth="1" min="54" max="54"/>
    <col width="17" customWidth="1" min="55" max="55"/>
    <col width="20" customWidth="1" min="56" max="56"/>
    <col width="20" customWidth="1" min="57" max="57"/>
    <col width="17" customWidth="1" min="58" max="58"/>
    <col width="20" customWidth="1" min="59" max="59"/>
    <col width="19" customWidth="1" min="60" max="60"/>
    <col width="20" customWidth="1" min="61" max="61"/>
    <col width="27" customWidth="1" min="62" max="62"/>
    <col width="17" customWidth="1" min="63" max="63"/>
    <col width="19" customWidth="1" min="64" max="64"/>
    <col width="20" customWidth="1" min="65" max="65"/>
    <col width="21" customWidth="1" min="66" max="66"/>
    <col width="17" customWidth="1" min="67" max="67"/>
    <col width="20" customWidth="1" min="68" max="68"/>
    <col width="17" customWidth="1" min="69" max="69"/>
    <col width="24" customWidth="1" min="70" max="70"/>
    <col width="23" customWidth="1" min="71" max="71"/>
    <col width="19" customWidth="1" min="72" max="72"/>
    <col width="27" customWidth="1" min="73" max="73"/>
    <col width="20" customWidth="1" min="74" max="74"/>
    <col width="20" customWidth="1" min="75" max="75"/>
    <col width="20" customWidth="1" min="76" max="76"/>
    <col width="20" customWidth="1" min="77" max="77"/>
    <col width="25" customWidth="1" min="78" max="78"/>
    <col width="27" customWidth="1" min="79" max="79"/>
    <col width="7" customWidth="1" min="80" max="80"/>
  </cols>
  <sheetData>
    <row r="1">
      <c r="A1" s="1" t="inlineStr">
        <is>
          <t>Nr aut.</t>
        </is>
      </c>
      <c r="B1" s="1" t="inlineStr">
        <is>
          <t>Lokalizacja automatu</t>
        </is>
      </c>
      <c r="C1" s="1" t="inlineStr">
        <is>
          <t>Typ automatu</t>
        </is>
      </c>
      <c r="D1" s="1" t="inlineStr">
        <is>
          <t>Brutto ARP</t>
        </is>
      </c>
      <c r="E1" s="1" t="inlineStr">
        <is>
          <t>Prowizja ARP</t>
        </is>
      </c>
      <c r="F1" s="1" t="inlineStr">
        <is>
          <t>Netto ARP</t>
        </is>
      </c>
      <c r="G1" s="1" t="inlineStr">
        <is>
          <t>Gotówka ARP</t>
        </is>
      </c>
      <c r="H1" s="1" t="inlineStr">
        <is>
          <t>Karta ARP</t>
        </is>
      </c>
      <c r="I1" s="1" t="inlineStr">
        <is>
          <t>BLIK ARP</t>
        </is>
      </c>
      <c r="J1" s="1" t="inlineStr">
        <is>
          <t>Brutto IC</t>
        </is>
      </c>
      <c r="K1" s="1" t="inlineStr">
        <is>
          <t>Prowizja IC</t>
        </is>
      </c>
      <c r="L1" s="1" t="inlineStr">
        <is>
          <t>Netto IC</t>
        </is>
      </c>
      <c r="M1" s="1" t="inlineStr">
        <is>
          <t>Gotówka IC</t>
        </is>
      </c>
      <c r="N1" s="1" t="inlineStr">
        <is>
          <t>Karta IC</t>
        </is>
      </c>
      <c r="O1" s="1" t="inlineStr">
        <is>
          <t>BLIK IC</t>
        </is>
      </c>
      <c r="P1" s="1" t="inlineStr">
        <is>
          <t>Brutto KD</t>
        </is>
      </c>
      <c r="Q1" s="1" t="inlineStr">
        <is>
          <t>Prowizja KD</t>
        </is>
      </c>
      <c r="R1" s="1" t="inlineStr">
        <is>
          <t>Netto KD</t>
        </is>
      </c>
      <c r="S1" s="1" t="inlineStr">
        <is>
          <t>Gotówka KD</t>
        </is>
      </c>
      <c r="T1" s="1" t="inlineStr">
        <is>
          <t>Karta KD</t>
        </is>
      </c>
      <c r="U1" s="1" t="inlineStr">
        <is>
          <t>BLIK KD</t>
        </is>
      </c>
      <c r="V1" s="1" t="inlineStr">
        <is>
          <t>Brutto KMŁ</t>
        </is>
      </c>
      <c r="W1" s="1" t="inlineStr">
        <is>
          <t>Prowizja KMŁ</t>
        </is>
      </c>
      <c r="X1" s="1" t="inlineStr">
        <is>
          <t>Netto KMŁ</t>
        </is>
      </c>
      <c r="Y1" s="1" t="inlineStr">
        <is>
          <t>Gotówka KMŁ</t>
        </is>
      </c>
      <c r="Z1" s="1" t="inlineStr">
        <is>
          <t>Karta KMŁ</t>
        </is>
      </c>
      <c r="AA1" s="1" t="inlineStr">
        <is>
          <t>BLIK KMŁ</t>
        </is>
      </c>
      <c r="AB1" s="1" t="inlineStr">
        <is>
          <t>Brutto KW</t>
        </is>
      </c>
      <c r="AC1" s="1" t="inlineStr">
        <is>
          <t>Prowizja KW</t>
        </is>
      </c>
      <c r="AD1" s="1" t="inlineStr">
        <is>
          <t>Netto KW</t>
        </is>
      </c>
      <c r="AE1" s="1" t="inlineStr">
        <is>
          <t>Gotówka KW</t>
        </is>
      </c>
      <c r="AF1" s="1" t="inlineStr">
        <is>
          <t>Karta KW</t>
        </is>
      </c>
      <c r="AG1" s="1" t="inlineStr">
        <is>
          <t>BLIK KW</t>
        </is>
      </c>
      <c r="AH1" s="1" t="inlineStr">
        <is>
          <t>Brutto LKA</t>
        </is>
      </c>
      <c r="AI1" s="1" t="inlineStr">
        <is>
          <t>Prowizja LKA</t>
        </is>
      </c>
      <c r="AJ1" s="1" t="inlineStr">
        <is>
          <t>Netto LKA</t>
        </is>
      </c>
      <c r="AK1" s="1" t="inlineStr">
        <is>
          <t>Gotówka LKA</t>
        </is>
      </c>
      <c r="AL1" s="1" t="inlineStr">
        <is>
          <t>Karta LKA</t>
        </is>
      </c>
      <c r="AM1" s="1" t="inlineStr">
        <is>
          <t>BLIK LKA</t>
        </is>
      </c>
      <c r="AN1" s="1" t="inlineStr">
        <is>
          <t>Brutto PR</t>
        </is>
      </c>
      <c r="AO1" s="1" t="inlineStr">
        <is>
          <t>Prowizja PR</t>
        </is>
      </c>
      <c r="AP1" s="1" t="inlineStr">
        <is>
          <t>Netto PR</t>
        </is>
      </c>
      <c r="AQ1" s="1" t="inlineStr">
        <is>
          <t>Gotówka PR</t>
        </is>
      </c>
      <c r="AR1" s="1" t="inlineStr">
        <is>
          <t>Karta PR</t>
        </is>
      </c>
      <c r="AS1" s="1" t="inlineStr">
        <is>
          <t>BLIK PR</t>
        </is>
      </c>
      <c r="AT1" s="1" t="inlineStr">
        <is>
          <t>Brutto SKM</t>
        </is>
      </c>
      <c r="AU1" s="1" t="inlineStr">
        <is>
          <t>Prowizja SKM</t>
        </is>
      </c>
      <c r="AV1" s="1" t="inlineStr">
        <is>
          <t>Netto SKM</t>
        </is>
      </c>
      <c r="AW1" s="1" t="inlineStr">
        <is>
          <t>Gotówka SKM</t>
        </is>
      </c>
      <c r="AX1" s="1" t="inlineStr">
        <is>
          <t>Karta SKM</t>
        </is>
      </c>
      <c r="AY1" s="1" t="inlineStr">
        <is>
          <t>BLIK SKM</t>
        </is>
      </c>
      <c r="AZ1" s="1" t="inlineStr">
        <is>
          <t>Brutto Suma</t>
        </is>
      </c>
      <c r="BA1" s="1" t="inlineStr">
        <is>
          <t>Transakcje bezgotówkowe Suma</t>
        </is>
      </c>
      <c r="BB1" s="1" t="inlineStr">
        <is>
          <t>Prowizja Suma</t>
        </is>
      </c>
      <c r="BC1" s="1" t="inlineStr">
        <is>
          <t>Dodatkowe zyski</t>
        </is>
      </c>
      <c r="BD1" s="1" t="inlineStr">
        <is>
          <t>Netto Suma</t>
        </is>
      </c>
      <c r="BE1" s="1" t="inlineStr">
        <is>
          <t>czynsz</t>
        </is>
      </c>
      <c r="BF1" s="1" t="inlineStr">
        <is>
          <t>prad</t>
        </is>
      </c>
      <c r="BG1" s="1" t="inlineStr">
        <is>
          <t>elavon</t>
        </is>
      </c>
      <c r="BH1" s="1" t="inlineStr">
        <is>
          <t>poczta polska</t>
        </is>
      </c>
      <c r="BI1" s="1" t="inlineStr">
        <is>
          <t>amortyzacja</t>
        </is>
      </c>
      <c r="BJ1" s="1" t="inlineStr">
        <is>
          <t>utrzymanie oprogramowania</t>
        </is>
      </c>
      <c r="BK1" s="1" t="inlineStr">
        <is>
          <t>papier</t>
        </is>
      </c>
      <c r="BL1" s="1" t="inlineStr">
        <is>
          <t>transmisja danych</t>
        </is>
      </c>
      <c r="BM1" s="1" t="inlineStr">
        <is>
          <t>serwis</t>
        </is>
      </c>
      <c r="BN1" s="1" t="inlineStr">
        <is>
          <t>IT card</t>
        </is>
      </c>
      <c r="BO1" s="1" t="inlineStr">
        <is>
          <t>ubezpieczenie</t>
        </is>
      </c>
      <c r="BP1" s="1" t="inlineStr">
        <is>
          <t>Koszty TVM Suma</t>
        </is>
      </c>
      <c r="BQ1" s="1" t="inlineStr">
        <is>
          <t>NON TVM</t>
        </is>
      </c>
      <c r="BR1" s="1" t="inlineStr">
        <is>
          <t>Project Variable Costs</t>
        </is>
      </c>
      <c r="BS1" s="1" t="inlineStr">
        <is>
          <t>Zdankiewicz najklejki</t>
        </is>
      </c>
      <c r="BT1" s="1" t="inlineStr">
        <is>
          <t>OH</t>
        </is>
      </c>
      <c r="BU1" s="1" t="inlineStr">
        <is>
          <t>TOTAL other project costs</t>
        </is>
      </c>
      <c r="BV1" s="1" t="inlineStr">
        <is>
          <t>SUMA KOSZTY</t>
        </is>
      </c>
      <c r="BW1" s="1" t="inlineStr">
        <is>
          <t>Karta Suma</t>
        </is>
      </c>
      <c r="BX1" s="1" t="inlineStr">
        <is>
          <t>BLIK Suma</t>
        </is>
      </c>
      <c r="BY1" s="1" t="inlineStr">
        <is>
          <t>Gotówka Suma</t>
        </is>
      </c>
      <c r="BZ1" s="1" t="inlineStr">
        <is>
          <t>Transakcje bezgotówkowe</t>
        </is>
      </c>
      <c r="CA1" s="1" t="inlineStr">
        <is>
          <t>Wynik (Prowizja - Koszty)</t>
        </is>
      </c>
      <c r="CB1" s="1" t="inlineStr">
        <is>
          <t>UWAGI</t>
        </is>
      </c>
    </row>
    <row r="2">
      <c r="A2" t="n">
        <v>1101</v>
      </c>
      <c r="B2" t="inlineStr">
        <is>
          <t>Pawia 5a, 31-154 Kraków</t>
        </is>
      </c>
      <c r="C2" t="inlineStr"/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20721.5</v>
      </c>
      <c r="K2" s="2" t="n">
        <v>1724.873009259259</v>
      </c>
      <c r="L2" s="2" t="n">
        <v>19186.57407407407</v>
      </c>
      <c r="M2" s="2" t="n">
        <v>0</v>
      </c>
      <c r="N2" s="2" t="n">
        <v>20002.36</v>
      </c>
      <c r="O2" s="2" t="n">
        <v>719.14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24413.57</v>
      </c>
      <c r="W2" s="2" t="n">
        <v>880</v>
      </c>
      <c r="X2" s="2" t="n">
        <v>22605.15740740741</v>
      </c>
      <c r="Y2" s="2" t="n">
        <v>0</v>
      </c>
      <c r="Z2" s="2" t="n">
        <v>23523.36</v>
      </c>
      <c r="AA2" s="2" t="n">
        <v>890.21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10050.1</v>
      </c>
      <c r="AO2" s="2" t="n">
        <v>465.2824074074074</v>
      </c>
      <c r="AP2" s="2" t="n">
        <v>9305.648148148148</v>
      </c>
      <c r="AQ2" s="2" t="n">
        <v>0</v>
      </c>
      <c r="AR2" s="2" t="n">
        <v>9575.360000000001</v>
      </c>
      <c r="AS2" s="2" t="n">
        <v>474.74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55185.17</v>
      </c>
      <c r="BA2" s="2" t="n">
        <v>55185.17</v>
      </c>
      <c r="BB2" s="2">
        <f>E2+K2+Q2+W2+AC2+AI2+AO2+AU2+IF(BC2="",0,BC2)</f>
        <v/>
      </c>
      <c r="BC2" s="2" t="n"/>
      <c r="BD2" s="2" t="n">
        <v>51097.37962962962</v>
      </c>
      <c r="BE2" s="2" t="n">
        <v>1175.06</v>
      </c>
      <c r="BF2" s="2" t="n">
        <v>240</v>
      </c>
      <c r="BG2" s="2" t="n">
        <v>250.3346666666667</v>
      </c>
      <c r="BH2" s="2" t="n">
        <v>62.36983333333333</v>
      </c>
      <c r="BI2" s="2" t="n">
        <v>462.1969166666667</v>
      </c>
      <c r="BJ2" s="2" t="n">
        <v>150.5333333333333</v>
      </c>
      <c r="BK2" s="2" t="n">
        <v>0</v>
      </c>
      <c r="BL2" s="2" t="n">
        <v>77.71683333333334</v>
      </c>
      <c r="BM2" s="2" t="n">
        <v>208.0833333333333</v>
      </c>
      <c r="BN2" s="2" t="n">
        <v>803.465835</v>
      </c>
      <c r="BO2" s="2" t="n">
        <v>0</v>
      </c>
      <c r="BP2" s="2" t="n">
        <v>3429.760751666667</v>
      </c>
      <c r="BQ2" s="2" t="n">
        <v>1168.6945</v>
      </c>
      <c r="BR2" s="2" t="n">
        <v>0</v>
      </c>
      <c r="BS2" s="2" t="n">
        <v>619.5833333333334</v>
      </c>
      <c r="BT2" s="2" t="n">
        <v>758.9978833333334</v>
      </c>
      <c r="BU2" s="2" t="n">
        <v>2547.275716666667</v>
      </c>
      <c r="BV2" s="2" t="n">
        <v>5977.036468333334</v>
      </c>
      <c r="BW2" s="2" t="n">
        <v>53101.08</v>
      </c>
      <c r="BX2" s="2" t="n">
        <v>2084.09</v>
      </c>
      <c r="BY2" s="2" t="n">
        <v>0</v>
      </c>
      <c r="BZ2" s="2" t="n">
        <v>55185.17</v>
      </c>
      <c r="CA2" s="2">
        <f>BB2-BV2</f>
        <v/>
      </c>
    </row>
    <row r="3">
      <c r="A3" t="n">
        <v>1102</v>
      </c>
      <c r="B3" t="inlineStr">
        <is>
          <t>pl. Kolejarza 1, 65-024 Zielona Góra</t>
        </is>
      </c>
      <c r="C3" t="inlineStr"/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1569.09</v>
      </c>
      <c r="K3" s="2" t="n">
        <v>130.6122138888889</v>
      </c>
      <c r="L3" s="2" t="n">
        <v>1452.861111111111</v>
      </c>
      <c r="M3" s="2" t="n">
        <v>0</v>
      </c>
      <c r="N3" s="2" t="n">
        <v>1417.99</v>
      </c>
      <c r="O3" s="2" t="n">
        <v>151.1</v>
      </c>
      <c r="P3" s="2" t="n">
        <v>2089.05</v>
      </c>
      <c r="Q3" s="2" t="n">
        <v>145.0729166666667</v>
      </c>
      <c r="R3" s="2" t="n">
        <v>1934.305555555556</v>
      </c>
      <c r="S3" s="2" t="n">
        <v>0</v>
      </c>
      <c r="T3" s="2" t="n">
        <v>2069.05</v>
      </c>
      <c r="U3" s="2" t="n">
        <v>20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57.98</v>
      </c>
      <c r="AC3" s="2" t="n">
        <v>3.757962962962963</v>
      </c>
      <c r="AD3" s="2" t="n">
        <v>53.68518518518518</v>
      </c>
      <c r="AE3" s="2" t="n">
        <v>0</v>
      </c>
      <c r="AF3" s="2" t="n">
        <v>57.98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4921.360000000001</v>
      </c>
      <c r="AO3" s="2" t="n">
        <v>227.8407407407408</v>
      </c>
      <c r="AP3" s="2" t="n">
        <v>4556.814814814815</v>
      </c>
      <c r="AQ3" s="2" t="n">
        <v>0</v>
      </c>
      <c r="AR3" s="2" t="n">
        <v>4662.56</v>
      </c>
      <c r="AS3" s="2" t="n">
        <v>258.8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8637.480000000001</v>
      </c>
      <c r="BA3" s="2" t="n">
        <v>8637.480000000001</v>
      </c>
      <c r="BB3" s="2">
        <f>E3+K3+Q3+W3+AC3+AI3+AO3+AU3+IF(BC3="",0,BC3)</f>
        <v/>
      </c>
      <c r="BC3" s="2" t="n"/>
      <c r="BD3" s="2" t="n">
        <v>7997.666666666666</v>
      </c>
      <c r="BE3" s="2" t="n">
        <v>0</v>
      </c>
      <c r="BF3" s="2" t="n">
        <v>0</v>
      </c>
      <c r="BG3" s="2" t="n">
        <v>250.3346666666667</v>
      </c>
      <c r="BH3" s="2" t="n">
        <v>62.36983333333333</v>
      </c>
      <c r="BI3" s="2" t="n">
        <v>462.1969166666667</v>
      </c>
      <c r="BJ3" s="2" t="n">
        <v>150.5333333333333</v>
      </c>
      <c r="BK3" s="2" t="n">
        <v>0</v>
      </c>
      <c r="BL3" s="2" t="n">
        <v>77.71683333333334</v>
      </c>
      <c r="BM3" s="2" t="n">
        <v>208.0833333333333</v>
      </c>
      <c r="BN3" s="2" t="n">
        <v>133.017192</v>
      </c>
      <c r="BO3" s="2" t="n">
        <v>0</v>
      </c>
      <c r="BP3" s="2" t="n">
        <v>1344.252108666667</v>
      </c>
      <c r="BQ3" s="2" t="n">
        <v>1168.6945</v>
      </c>
      <c r="BR3" s="2" t="n">
        <v>0</v>
      </c>
      <c r="BS3" s="2" t="n">
        <v>619.5833333333334</v>
      </c>
      <c r="BT3" s="2" t="n">
        <v>475.9858833333334</v>
      </c>
      <c r="BU3" s="2" t="n">
        <v>2264.263716666667</v>
      </c>
      <c r="BV3" s="2" t="n">
        <v>3608.515825333333</v>
      </c>
      <c r="BW3" s="2" t="n">
        <v>8207.58</v>
      </c>
      <c r="BX3" s="2" t="n">
        <v>429.9</v>
      </c>
      <c r="BY3" s="2" t="n">
        <v>0</v>
      </c>
      <c r="BZ3" s="2" t="n">
        <v>8637.48</v>
      </c>
      <c r="CA3" s="2">
        <f>BB3-BV3</f>
        <v/>
      </c>
    </row>
    <row r="4">
      <c r="A4" t="n">
        <v>1103</v>
      </c>
      <c r="B4" t="inlineStr">
        <is>
          <t>Piłsudskiego 105, 50-085 Wrocław</t>
        </is>
      </c>
      <c r="C4" t="inlineStr"/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4961.4</v>
      </c>
      <c r="K4" s="2" t="n">
        <v>412.9906111111111</v>
      </c>
      <c r="L4" s="2" t="n">
        <v>4593.888888888889</v>
      </c>
      <c r="M4" s="2" t="n">
        <v>0</v>
      </c>
      <c r="N4" s="2" t="n">
        <v>4371.2</v>
      </c>
      <c r="O4" s="2" t="n">
        <v>590.2</v>
      </c>
      <c r="P4" s="2" t="n">
        <v>15954.13</v>
      </c>
      <c r="Q4" s="2" t="n">
        <v>500</v>
      </c>
      <c r="R4" s="2" t="n">
        <v>14772.34259259259</v>
      </c>
      <c r="S4" s="2" t="n">
        <v>0</v>
      </c>
      <c r="T4" s="2" t="n">
        <v>15120.22</v>
      </c>
      <c r="U4" s="2" t="n">
        <v>833.91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23.9</v>
      </c>
      <c r="AC4" s="2" t="n">
        <v>1.549074074074074</v>
      </c>
      <c r="AD4" s="2" t="n">
        <v>22.12962962962963</v>
      </c>
      <c r="AE4" s="2" t="n">
        <v>0</v>
      </c>
      <c r="AF4" s="2" t="n">
        <v>0</v>
      </c>
      <c r="AG4" s="2" t="n">
        <v>23.9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2809.19</v>
      </c>
      <c r="AO4" s="2" t="n">
        <v>130.0550925925926</v>
      </c>
      <c r="AP4" s="2" t="n">
        <v>2601.101851851852</v>
      </c>
      <c r="AQ4" s="2" t="n">
        <v>0</v>
      </c>
      <c r="AR4" s="2" t="n">
        <v>2689.18</v>
      </c>
      <c r="AS4" s="2" t="n">
        <v>120.01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23748.62</v>
      </c>
      <c r="BA4" s="2" t="n">
        <v>23748.62</v>
      </c>
      <c r="BB4" s="2">
        <f>E4+K4+Q4+W4+AC4+AI4+AO4+AU4+IF(BC4="",0,BC4)</f>
        <v/>
      </c>
      <c r="BC4" s="2" t="n"/>
      <c r="BD4" s="2" t="n">
        <v>21989.46296296296</v>
      </c>
      <c r="BE4" s="2" t="n">
        <v>0</v>
      </c>
      <c r="BF4" s="2" t="n">
        <v>0</v>
      </c>
      <c r="BG4" s="2" t="n">
        <v>250.3346666666667</v>
      </c>
      <c r="BH4" s="2" t="n">
        <v>62.36983333333333</v>
      </c>
      <c r="BI4" s="2" t="n">
        <v>462.1969166666667</v>
      </c>
      <c r="BJ4" s="2" t="n">
        <v>150.5333333333333</v>
      </c>
      <c r="BK4" s="2" t="n">
        <v>0</v>
      </c>
      <c r="BL4" s="2" t="n">
        <v>77.71683333333334</v>
      </c>
      <c r="BM4" s="2" t="n">
        <v>208.0833333333333</v>
      </c>
      <c r="BN4" s="2" t="n">
        <v>365.728748</v>
      </c>
      <c r="BO4" s="2" t="n">
        <v>0</v>
      </c>
      <c r="BP4" s="2" t="n">
        <v>1576.963664666667</v>
      </c>
      <c r="BQ4" s="2" t="n">
        <v>1168.6945</v>
      </c>
      <c r="BR4" s="2" t="n">
        <v>0</v>
      </c>
      <c r="BS4" s="2" t="n">
        <v>619.5833333333334</v>
      </c>
      <c r="BT4" s="2" t="n">
        <v>475.9858833333334</v>
      </c>
      <c r="BU4" s="2" t="n">
        <v>2264.263716666667</v>
      </c>
      <c r="BV4" s="2" t="n">
        <v>3841.227381333333</v>
      </c>
      <c r="BW4" s="2" t="n">
        <v>22180.6</v>
      </c>
      <c r="BX4" s="2" t="n">
        <v>1568.02</v>
      </c>
      <c r="BY4" s="2" t="n">
        <v>0</v>
      </c>
      <c r="BZ4" s="2" t="n">
        <v>23748.62</v>
      </c>
      <c r="CA4" s="2">
        <f>BB4-BV4</f>
        <v/>
      </c>
    </row>
    <row r="5">
      <c r="A5" t="n">
        <v>1104</v>
      </c>
      <c r="B5" t="inlineStr">
        <is>
          <t>Dworcowa 2, 61-801 Poznań</t>
        </is>
      </c>
      <c r="C5" t="inlineStr"/>
      <c r="D5" s="2" t="n">
        <v>23</v>
      </c>
      <c r="E5" s="2" t="n">
        <v>1.490740740740741</v>
      </c>
      <c r="F5" s="2" t="n">
        <v>21.29629629629629</v>
      </c>
      <c r="G5" s="2" t="n">
        <v>0</v>
      </c>
      <c r="H5" s="2" t="n">
        <v>0</v>
      </c>
      <c r="I5" s="2" t="n">
        <v>23</v>
      </c>
      <c r="J5" s="2" t="n">
        <v>14982.03</v>
      </c>
      <c r="K5" s="2" t="n">
        <v>1247.115275</v>
      </c>
      <c r="L5" s="2" t="n">
        <v>13872.25</v>
      </c>
      <c r="M5" s="2" t="n">
        <v>0</v>
      </c>
      <c r="N5" s="2" t="n">
        <v>13908.57</v>
      </c>
      <c r="O5" s="2" t="n">
        <v>1073.46</v>
      </c>
      <c r="P5" s="2" t="n">
        <v>52.7</v>
      </c>
      <c r="Q5" s="2" t="n">
        <v>3.659722222222222</v>
      </c>
      <c r="R5" s="2" t="n">
        <v>48.7962962962963</v>
      </c>
      <c r="S5" s="2" t="n">
        <v>0</v>
      </c>
      <c r="T5" s="2" t="n">
        <v>52.7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27807.33</v>
      </c>
      <c r="AC5" s="2" t="n">
        <v>1802.326944444444</v>
      </c>
      <c r="AD5" s="2" t="n">
        <v>25747.52777777777</v>
      </c>
      <c r="AE5" s="2" t="n">
        <v>0</v>
      </c>
      <c r="AF5" s="2" t="n">
        <v>25399.46</v>
      </c>
      <c r="AG5" s="2" t="n">
        <v>2407.87</v>
      </c>
      <c r="AH5" s="2" t="n">
        <v>47.8</v>
      </c>
      <c r="AI5" s="2" t="n">
        <v>3.319444444444444</v>
      </c>
      <c r="AJ5" s="2" t="n">
        <v>44.25925925925925</v>
      </c>
      <c r="AK5" s="2" t="n">
        <v>0</v>
      </c>
      <c r="AL5" s="2" t="n">
        <v>47.8</v>
      </c>
      <c r="AM5" s="2" t="n">
        <v>0</v>
      </c>
      <c r="AN5" s="2" t="n">
        <v>9636.809999999999</v>
      </c>
      <c r="AO5" s="2" t="n">
        <v>446.1486111111111</v>
      </c>
      <c r="AP5" s="2" t="n">
        <v>8922.972222222221</v>
      </c>
      <c r="AQ5" s="2" t="n">
        <v>0</v>
      </c>
      <c r="AR5" s="2" t="n">
        <v>8012.3</v>
      </c>
      <c r="AS5" s="2" t="n">
        <v>1624.51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52549.67</v>
      </c>
      <c r="BA5" s="2" t="n">
        <v>52549.67</v>
      </c>
      <c r="BB5" s="2">
        <f>E5+K5+Q5+W5+AC5+AI5+AO5+AU5+IF(BC5="",0,BC5)</f>
        <v/>
      </c>
      <c r="BC5" s="2" t="n"/>
      <c r="BD5" s="2" t="n">
        <v>48657.10185185185</v>
      </c>
      <c r="BE5" s="2" t="n">
        <v>0</v>
      </c>
      <c r="BF5" s="2" t="n">
        <v>0</v>
      </c>
      <c r="BG5" s="2" t="n">
        <v>250.3346666666667</v>
      </c>
      <c r="BH5" s="2" t="n">
        <v>62.36983333333333</v>
      </c>
      <c r="BI5" s="2" t="n">
        <v>462.1969166666667</v>
      </c>
      <c r="BJ5" s="2" t="n">
        <v>150.5333333333333</v>
      </c>
      <c r="BK5" s="2" t="n">
        <v>0</v>
      </c>
      <c r="BL5" s="2" t="n">
        <v>77.71683333333334</v>
      </c>
      <c r="BM5" s="2" t="n">
        <v>208.0833333333333</v>
      </c>
      <c r="BN5" s="2" t="n">
        <v>809.264918</v>
      </c>
      <c r="BO5" s="2" t="n">
        <v>0</v>
      </c>
      <c r="BP5" s="2" t="n">
        <v>2020.499834666667</v>
      </c>
      <c r="BQ5" s="2" t="n">
        <v>1168.6945</v>
      </c>
      <c r="BR5" s="2" t="n">
        <v>0</v>
      </c>
      <c r="BS5" s="2" t="n">
        <v>619.5833333333334</v>
      </c>
      <c r="BT5" s="2" t="n">
        <v>475.9858833333334</v>
      </c>
      <c r="BU5" s="2" t="n">
        <v>2264.263716666667</v>
      </c>
      <c r="BV5" s="2" t="n">
        <v>4284.763551333333</v>
      </c>
      <c r="BW5" s="2" t="n">
        <v>47420.83</v>
      </c>
      <c r="BX5" s="2" t="n">
        <v>5128.84</v>
      </c>
      <c r="BY5" s="2" t="n">
        <v>0</v>
      </c>
      <c r="BZ5" s="2" t="n">
        <v>52549.67</v>
      </c>
      <c r="CA5" s="2">
        <f>BB5-BV5</f>
        <v/>
      </c>
    </row>
    <row r="6">
      <c r="A6" t="n">
        <v>1105</v>
      </c>
      <c r="B6" t="inlineStr">
        <is>
          <t>Dworcowa 1, 72-602 Świnoujście</t>
        </is>
      </c>
      <c r="C6" t="inlineStr"/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1597.21</v>
      </c>
      <c r="K6" s="2" t="n">
        <v>132.9529435185185</v>
      </c>
      <c r="L6" s="2" t="n">
        <v>1478.898148148148</v>
      </c>
      <c r="M6" s="2" t="n">
        <v>0</v>
      </c>
      <c r="N6" s="2" t="n">
        <v>1340.61</v>
      </c>
      <c r="O6" s="2" t="n">
        <v>256.6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8291.58</v>
      </c>
      <c r="AO6" s="2" t="n">
        <v>383.8694444444445</v>
      </c>
      <c r="AP6" s="2" t="n">
        <v>7677.388888888889</v>
      </c>
      <c r="AQ6" s="2" t="n">
        <v>0</v>
      </c>
      <c r="AR6" s="2" t="n">
        <v>7789.46</v>
      </c>
      <c r="AS6" s="2" t="n">
        <v>502.12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9888.790000000001</v>
      </c>
      <c r="BA6" s="2" t="n">
        <v>9888.790000000001</v>
      </c>
      <c r="BB6" s="2">
        <f>E6+K6+Q6+W6+AC6+AI6+AO6+AU6+IF(BC6="",0,BC6)</f>
        <v/>
      </c>
      <c r="BC6" s="2" t="n"/>
      <c r="BD6" s="2" t="n">
        <v>9156.287037037036</v>
      </c>
      <c r="BE6" s="2" t="n">
        <v>0</v>
      </c>
      <c r="BF6" s="2" t="n">
        <v>0</v>
      </c>
      <c r="BG6" s="2" t="n">
        <v>250.3346666666667</v>
      </c>
      <c r="BH6" s="2" t="n">
        <v>62.36983333333333</v>
      </c>
      <c r="BI6" s="2" t="n">
        <v>462.1969166666667</v>
      </c>
      <c r="BJ6" s="2" t="n">
        <v>150.5333333333333</v>
      </c>
      <c r="BK6" s="2" t="n">
        <v>0</v>
      </c>
      <c r="BL6" s="2" t="n">
        <v>77.71683333333334</v>
      </c>
      <c r="BM6" s="2" t="n">
        <v>208.0833333333333</v>
      </c>
      <c r="BN6" s="2" t="n">
        <v>152.287366</v>
      </c>
      <c r="BO6" s="2" t="n">
        <v>0</v>
      </c>
      <c r="BP6" s="2" t="n">
        <v>1363.522282666667</v>
      </c>
      <c r="BQ6" s="2" t="n">
        <v>1168.6945</v>
      </c>
      <c r="BR6" s="2" t="n">
        <v>0</v>
      </c>
      <c r="BS6" s="2" t="n">
        <v>619.5833333333334</v>
      </c>
      <c r="BT6" s="2" t="n">
        <v>475.9858833333334</v>
      </c>
      <c r="BU6" s="2" t="n">
        <v>2264.263716666667</v>
      </c>
      <c r="BV6" s="2" t="n">
        <v>3627.785999333333</v>
      </c>
      <c r="BW6" s="2" t="n">
        <v>9130.07</v>
      </c>
      <c r="BX6" s="2" t="n">
        <v>758.72</v>
      </c>
      <c r="BY6" s="2" t="n">
        <v>0</v>
      </c>
      <c r="BZ6" s="2" t="n">
        <v>9888.789999999999</v>
      </c>
      <c r="CA6" s="2">
        <f>BB6-BV6</f>
        <v/>
      </c>
    </row>
    <row r="7">
      <c r="A7" t="n">
        <v>1106</v>
      </c>
      <c r="B7" t="inlineStr">
        <is>
          <t>Kolumba 2, 70-035 Szczecin</t>
        </is>
      </c>
      <c r="C7" t="inlineStr"/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8252.75</v>
      </c>
      <c r="K7" s="2" t="n">
        <v>686.9650231481481</v>
      </c>
      <c r="L7" s="2" t="n">
        <v>7641.435185185184</v>
      </c>
      <c r="M7" s="2" t="n">
        <v>0</v>
      </c>
      <c r="N7" s="2" t="n">
        <v>7631.39</v>
      </c>
      <c r="O7" s="2" t="n">
        <v>621.36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26161.41</v>
      </c>
      <c r="AO7" s="2" t="n">
        <v>1211.176388888889</v>
      </c>
      <c r="AP7" s="2" t="n">
        <v>24223.52777777778</v>
      </c>
      <c r="AQ7" s="2" t="n">
        <v>0</v>
      </c>
      <c r="AR7" s="2" t="n">
        <v>23566.41</v>
      </c>
      <c r="AS7" s="2" t="n">
        <v>2595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34414.16</v>
      </c>
      <c r="BA7" s="2" t="n">
        <v>34414.16</v>
      </c>
      <c r="BB7" s="2">
        <f>E7+K7+Q7+W7+AC7+AI7+AO7+AU7+IF(BC7="",0,BC7)</f>
        <v/>
      </c>
      <c r="BC7" s="2" t="n"/>
      <c r="BD7" s="2" t="n">
        <v>31864.96296296296</v>
      </c>
      <c r="BE7" s="2" t="n">
        <v>0</v>
      </c>
      <c r="BF7" s="2" t="n">
        <v>0</v>
      </c>
      <c r="BG7" s="2" t="n">
        <v>250.3346666666667</v>
      </c>
      <c r="BH7" s="2" t="n">
        <v>62.36983333333333</v>
      </c>
      <c r="BI7" s="2" t="n">
        <v>462.1969166666667</v>
      </c>
      <c r="BJ7" s="2" t="n">
        <v>150.5333333333333</v>
      </c>
      <c r="BK7" s="2" t="n">
        <v>0</v>
      </c>
      <c r="BL7" s="2" t="n">
        <v>77.71683333333334</v>
      </c>
      <c r="BM7" s="2" t="n">
        <v>208.0833333333333</v>
      </c>
      <c r="BN7" s="2" t="n">
        <v>529.978064</v>
      </c>
      <c r="BO7" s="2" t="n">
        <v>0</v>
      </c>
      <c r="BP7" s="2" t="n">
        <v>1741.212980666667</v>
      </c>
      <c r="BQ7" s="2" t="n">
        <v>1168.6945</v>
      </c>
      <c r="BR7" s="2" t="n">
        <v>0</v>
      </c>
      <c r="BS7" s="2" t="n">
        <v>619.5833333333334</v>
      </c>
      <c r="BT7" s="2" t="n">
        <v>475.9858833333334</v>
      </c>
      <c r="BU7" s="2" t="n">
        <v>2264.263716666667</v>
      </c>
      <c r="BV7" s="2" t="n">
        <v>4005.476697333334</v>
      </c>
      <c r="BW7" s="2" t="n">
        <v>31197.8</v>
      </c>
      <c r="BX7" s="2" t="n">
        <v>3216.36</v>
      </c>
      <c r="BY7" s="2" t="n">
        <v>0</v>
      </c>
      <c r="BZ7" s="2" t="n">
        <v>34414.16</v>
      </c>
      <c r="CA7" s="2">
        <f>BB7-BV7</f>
        <v/>
      </c>
    </row>
    <row r="8">
      <c r="A8" t="n">
        <v>1107</v>
      </c>
      <c r="B8" t="inlineStr">
        <is>
          <t>Krakowska 48, 46-020 Opole</t>
        </is>
      </c>
      <c r="C8" t="inlineStr"/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9144.34</v>
      </c>
      <c r="K8" s="2" t="n">
        <v>761.1816351851853</v>
      </c>
      <c r="L8" s="2" t="n">
        <v>8466.981481481482</v>
      </c>
      <c r="M8" s="2" t="n">
        <v>0</v>
      </c>
      <c r="N8" s="2" t="n">
        <v>8343.98</v>
      </c>
      <c r="O8" s="2" t="n">
        <v>800.36</v>
      </c>
      <c r="P8" s="2" t="n">
        <v>181.11</v>
      </c>
      <c r="Q8" s="2" t="n">
        <v>12.57708333333333</v>
      </c>
      <c r="R8" s="2" t="n">
        <v>167.6944444444445</v>
      </c>
      <c r="S8" s="2" t="n">
        <v>0</v>
      </c>
      <c r="T8" s="2" t="n">
        <v>181.11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18130.96</v>
      </c>
      <c r="AO8" s="2" t="n">
        <v>839.3962962962962</v>
      </c>
      <c r="AP8" s="2" t="n">
        <v>16787.92592592592</v>
      </c>
      <c r="AQ8" s="2" t="n">
        <v>0</v>
      </c>
      <c r="AR8" s="2" t="n">
        <v>16860.71</v>
      </c>
      <c r="AS8" s="2" t="n">
        <v>1270.25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27456.41</v>
      </c>
      <c r="BA8" s="2" t="n">
        <v>27456.41</v>
      </c>
      <c r="BB8" s="2">
        <f>E8+K8+Q8+W8+AC8+AI8+AO8+AU8+IF(BC8="",0,BC8)</f>
        <v/>
      </c>
      <c r="BC8" s="2" t="n"/>
      <c r="BD8" s="2" t="n">
        <v>25422.60185185185</v>
      </c>
      <c r="BE8" s="2" t="n">
        <v>0</v>
      </c>
      <c r="BF8" s="2" t="n">
        <v>0</v>
      </c>
      <c r="BG8" s="2" t="n">
        <v>250.3346666666667</v>
      </c>
      <c r="BH8" s="2" t="n">
        <v>62.36983333333333</v>
      </c>
      <c r="BI8" s="2" t="n">
        <v>462.1969166666667</v>
      </c>
      <c r="BJ8" s="2" t="n">
        <v>150.5333333333333</v>
      </c>
      <c r="BK8" s="2" t="n">
        <v>0</v>
      </c>
      <c r="BL8" s="2" t="n">
        <v>77.71683333333334</v>
      </c>
      <c r="BM8" s="2" t="n">
        <v>208.0833333333333</v>
      </c>
      <c r="BN8" s="2" t="n">
        <v>422.828714</v>
      </c>
      <c r="BO8" s="2" t="n">
        <v>0</v>
      </c>
      <c r="BP8" s="2" t="n">
        <v>1634.063630666667</v>
      </c>
      <c r="BQ8" s="2" t="n">
        <v>1168.6945</v>
      </c>
      <c r="BR8" s="2" t="n">
        <v>0</v>
      </c>
      <c r="BS8" s="2" t="n">
        <v>619.5833333333334</v>
      </c>
      <c r="BT8" s="2" t="n">
        <v>475.9858833333334</v>
      </c>
      <c r="BU8" s="2" t="n">
        <v>2264.263716666667</v>
      </c>
      <c r="BV8" s="2" t="n">
        <v>3898.327347333333</v>
      </c>
      <c r="BW8" s="2" t="n">
        <v>25385.8</v>
      </c>
      <c r="BX8" s="2" t="n">
        <v>2070.61</v>
      </c>
      <c r="BY8" s="2" t="n">
        <v>0</v>
      </c>
      <c r="BZ8" s="2" t="n">
        <v>27456.41</v>
      </c>
      <c r="CA8" s="2">
        <f>BB8-BV8</f>
        <v/>
      </c>
    </row>
    <row r="9">
      <c r="A9" t="n">
        <v>1108</v>
      </c>
      <c r="B9" t="inlineStr">
        <is>
          <t>Pomorska 18, 83-110 Tczew</t>
        </is>
      </c>
      <c r="C9" t="inlineStr"/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5671.05</v>
      </c>
      <c r="K9" s="2" t="n">
        <v>472.0624027777778</v>
      </c>
      <c r="L9" s="2" t="n">
        <v>5250.972222222222</v>
      </c>
      <c r="M9" s="2" t="n">
        <v>0</v>
      </c>
      <c r="N9" s="2" t="n">
        <v>5291.95</v>
      </c>
      <c r="O9" s="2" t="n">
        <v>379.1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16228.12</v>
      </c>
      <c r="AO9" s="2" t="n">
        <v>751.3018518518518</v>
      </c>
      <c r="AP9" s="2" t="n">
        <v>15026.03703703703</v>
      </c>
      <c r="AQ9" s="2" t="n">
        <v>0</v>
      </c>
      <c r="AR9" s="2" t="n">
        <v>15396.4</v>
      </c>
      <c r="AS9" s="2" t="n">
        <v>831.72</v>
      </c>
      <c r="AT9" s="2" t="n">
        <v>172.4</v>
      </c>
      <c r="AU9" s="2" t="n">
        <v>6.864074074074072</v>
      </c>
      <c r="AV9" s="2" t="n">
        <v>159.6296296296296</v>
      </c>
      <c r="AW9" s="2" t="n">
        <v>0</v>
      </c>
      <c r="AX9" s="2" t="n">
        <v>149.95</v>
      </c>
      <c r="AY9" s="2" t="n">
        <v>22.45</v>
      </c>
      <c r="AZ9" s="2" t="n">
        <v>22071.57</v>
      </c>
      <c r="BA9" s="2" t="n">
        <v>22071.57</v>
      </c>
      <c r="BB9" s="2">
        <f>E9+K9+Q9+W9+AC9+AI9+AO9+AU9+IF(BC9="",0,BC9)</f>
        <v/>
      </c>
      <c r="BC9" s="2" t="n"/>
      <c r="BD9" s="2" t="n">
        <v>20436.63888888889</v>
      </c>
      <c r="BE9" s="2" t="n">
        <v>0</v>
      </c>
      <c r="BF9" s="2" t="n">
        <v>0</v>
      </c>
      <c r="BG9" s="2" t="n">
        <v>250.3346666666667</v>
      </c>
      <c r="BH9" s="2" t="n">
        <v>62.36983333333333</v>
      </c>
      <c r="BI9" s="2" t="n">
        <v>462.1969166666667</v>
      </c>
      <c r="BJ9" s="2" t="n">
        <v>150.5333333333333</v>
      </c>
      <c r="BK9" s="2" t="n">
        <v>0</v>
      </c>
      <c r="BL9" s="2" t="n">
        <v>77.71683333333334</v>
      </c>
      <c r="BM9" s="2" t="n">
        <v>208.0833333333333</v>
      </c>
      <c r="BN9" s="2" t="n">
        <v>339.902178</v>
      </c>
      <c r="BO9" s="2" t="n">
        <v>0</v>
      </c>
      <c r="BP9" s="2" t="n">
        <v>1551.137094666667</v>
      </c>
      <c r="BQ9" s="2" t="n">
        <v>1168.6945</v>
      </c>
      <c r="BR9" s="2" t="n">
        <v>0</v>
      </c>
      <c r="BS9" s="2" t="n">
        <v>619.5833333333334</v>
      </c>
      <c r="BT9" s="2" t="n">
        <v>475.9858833333334</v>
      </c>
      <c r="BU9" s="2" t="n">
        <v>2264.263716666667</v>
      </c>
      <c r="BV9" s="2" t="n">
        <v>3815.400811333333</v>
      </c>
      <c r="BW9" s="2" t="n">
        <v>20838.3</v>
      </c>
      <c r="BX9" s="2" t="n">
        <v>1233.27</v>
      </c>
      <c r="BY9" s="2" t="n">
        <v>0</v>
      </c>
      <c r="BZ9" s="2" t="n">
        <v>22071.57</v>
      </c>
      <c r="CA9" s="2">
        <f>BB9-BV9</f>
        <v/>
      </c>
    </row>
    <row r="10">
      <c r="A10" t="n">
        <v>1109</v>
      </c>
      <c r="B10" t="inlineStr">
        <is>
          <t>Słowackiego 34, 37-500 Jarosław</t>
        </is>
      </c>
      <c r="C10" t="inlineStr"/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3286.24</v>
      </c>
      <c r="K10" s="2" t="n">
        <v>273.5490518518519</v>
      </c>
      <c r="L10" s="2" t="n">
        <v>3042.814814814814</v>
      </c>
      <c r="M10" s="2" t="n">
        <v>0</v>
      </c>
      <c r="N10" s="2" t="n">
        <v>3027.74</v>
      </c>
      <c r="O10" s="2" t="n">
        <v>258.5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4811.19</v>
      </c>
      <c r="AO10" s="2" t="n">
        <v>222.7402777777777</v>
      </c>
      <c r="AP10" s="2" t="n">
        <v>4454.805555555555</v>
      </c>
      <c r="AQ10" s="2" t="n">
        <v>0</v>
      </c>
      <c r="AR10" s="2" t="n">
        <v>4601.73</v>
      </c>
      <c r="AS10" s="2" t="n">
        <v>209.46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8097.429999999999</v>
      </c>
      <c r="BA10" s="2" t="n">
        <v>8097.429999999999</v>
      </c>
      <c r="BB10" s="2">
        <f>E10+K10+Q10+W10+AC10+AI10+AO10+AU10+IF(BC10="",0,BC10)</f>
        <v/>
      </c>
      <c r="BC10" s="2" t="n"/>
      <c r="BD10" s="2" t="n">
        <v>7497.620370370369</v>
      </c>
      <c r="BE10" s="2" t="n">
        <v>0</v>
      </c>
      <c r="BF10" s="2" t="n">
        <v>0</v>
      </c>
      <c r="BG10" s="2" t="n">
        <v>250.3346666666667</v>
      </c>
      <c r="BH10" s="2" t="n">
        <v>62.36983333333333</v>
      </c>
      <c r="BI10" s="2" t="n">
        <v>462.1969166666667</v>
      </c>
      <c r="BJ10" s="2" t="n">
        <v>150.5333333333333</v>
      </c>
      <c r="BK10" s="2" t="n">
        <v>0</v>
      </c>
      <c r="BL10" s="2" t="n">
        <v>77.71683333333334</v>
      </c>
      <c r="BM10" s="2" t="n">
        <v>208.0833333333333</v>
      </c>
      <c r="BN10" s="2" t="n">
        <v>124.700422</v>
      </c>
      <c r="BO10" s="2" t="n">
        <v>0</v>
      </c>
      <c r="BP10" s="2" t="n">
        <v>1335.935338666667</v>
      </c>
      <c r="BQ10" s="2" t="n">
        <v>1168.6945</v>
      </c>
      <c r="BR10" s="2" t="n">
        <v>0</v>
      </c>
      <c r="BS10" s="2" t="n">
        <v>619.5833333333334</v>
      </c>
      <c r="BT10" s="2" t="n">
        <v>475.9858833333334</v>
      </c>
      <c r="BU10" s="2" t="n">
        <v>2264.263716666667</v>
      </c>
      <c r="BV10" s="2" t="n">
        <v>3600.199055333333</v>
      </c>
      <c r="BW10" s="2" t="n">
        <v>7629.469999999999</v>
      </c>
      <c r="BX10" s="2" t="n">
        <v>467.96</v>
      </c>
      <c r="BY10" s="2" t="n">
        <v>0</v>
      </c>
      <c r="BZ10" s="2" t="n">
        <v>8097.429999999999</v>
      </c>
      <c r="CA10" s="2">
        <f>BB10-BV10</f>
        <v/>
      </c>
    </row>
    <row r="11">
      <c r="A11" t="n">
        <v>1110</v>
      </c>
      <c r="B11" t="inlineStr">
        <is>
          <t>Kolejowa 11, 15-701 Białystok</t>
        </is>
      </c>
      <c r="C11" t="inlineStr"/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2419.14</v>
      </c>
      <c r="K11" s="2" t="n">
        <v>201.3710055555556</v>
      </c>
      <c r="L11" s="2" t="n">
        <v>2239.944444444444</v>
      </c>
      <c r="M11" s="2" t="n">
        <v>0</v>
      </c>
      <c r="N11" s="2" t="n">
        <v>2282.35</v>
      </c>
      <c r="O11" s="2" t="n">
        <v>136.79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4820.08</v>
      </c>
      <c r="AO11" s="2" t="n">
        <v>223.1518518518518</v>
      </c>
      <c r="AP11" s="2" t="n">
        <v>4463.037037037036</v>
      </c>
      <c r="AQ11" s="2" t="n">
        <v>0</v>
      </c>
      <c r="AR11" s="2" t="n">
        <v>4246.13</v>
      </c>
      <c r="AS11" s="2" t="n">
        <v>573.95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7239.219999999999</v>
      </c>
      <c r="BA11" s="2" t="n">
        <v>7239.219999999999</v>
      </c>
      <c r="BB11" s="2">
        <f>E11+K11+Q11+W11+AC11+AI11+AO11+AU11+IF(BC11="",0,BC11)</f>
        <v/>
      </c>
      <c r="BC11" s="2" t="n"/>
      <c r="BD11" s="2" t="n">
        <v>6702.981481481481</v>
      </c>
      <c r="BE11" s="2" t="n">
        <v>0</v>
      </c>
      <c r="BF11" s="2" t="n">
        <v>0</v>
      </c>
      <c r="BG11" s="2" t="n">
        <v>250.3346666666667</v>
      </c>
      <c r="BH11" s="2" t="n">
        <v>62.36983333333333</v>
      </c>
      <c r="BI11" s="2" t="n">
        <v>462.1969166666667</v>
      </c>
      <c r="BJ11" s="2" t="n">
        <v>150.5333333333333</v>
      </c>
      <c r="BK11" s="2" t="n">
        <v>0</v>
      </c>
      <c r="BL11" s="2" t="n">
        <v>77.71683333333334</v>
      </c>
      <c r="BM11" s="2" t="n">
        <v>208.0833333333333</v>
      </c>
      <c r="BN11" s="2" t="n">
        <v>111.483988</v>
      </c>
      <c r="BO11" s="2" t="n">
        <v>0</v>
      </c>
      <c r="BP11" s="2" t="n">
        <v>1322.718904666667</v>
      </c>
      <c r="BQ11" s="2" t="n">
        <v>1168.6945</v>
      </c>
      <c r="BR11" s="2" t="n">
        <v>0</v>
      </c>
      <c r="BS11" s="2" t="n">
        <v>619.5833333333334</v>
      </c>
      <c r="BT11" s="2" t="n">
        <v>475.9858833333334</v>
      </c>
      <c r="BU11" s="2" t="n">
        <v>2264.263716666667</v>
      </c>
      <c r="BV11" s="2" t="n">
        <v>3586.982621333334</v>
      </c>
      <c r="BW11" s="2" t="n">
        <v>6528.48</v>
      </c>
      <c r="BX11" s="2" t="n">
        <v>710.74</v>
      </c>
      <c r="BY11" s="2" t="n">
        <v>0</v>
      </c>
      <c r="BZ11" s="2" t="n">
        <v>7239.219999999999</v>
      </c>
      <c r="CA11" s="2">
        <f>BB11-BV11</f>
        <v/>
      </c>
    </row>
    <row r="12">
      <c r="A12" t="n">
        <v>1111</v>
      </c>
      <c r="B12" t="inlineStr">
        <is>
          <t>Dworcowa 10, 84-100 Puck</t>
        </is>
      </c>
      <c r="C12" t="inlineStr"/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118.3</v>
      </c>
      <c r="K12" s="2" t="n">
        <v>9.847379629629629</v>
      </c>
      <c r="L12" s="2" t="n">
        <v>109.537037037037</v>
      </c>
      <c r="M12" s="2" t="n">
        <v>0</v>
      </c>
      <c r="N12" s="2" t="n">
        <v>118.3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4071.51</v>
      </c>
      <c r="AO12" s="2" t="n">
        <v>2950</v>
      </c>
      <c r="AP12" s="2" t="n">
        <v>3769.916666666666</v>
      </c>
      <c r="AQ12" s="2" t="n">
        <v>0</v>
      </c>
      <c r="AR12" s="2" t="n">
        <v>3974.31</v>
      </c>
      <c r="AS12" s="2" t="n">
        <v>97.2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4189.809999999999</v>
      </c>
      <c r="BA12" s="2" t="n">
        <v>4189.809999999999</v>
      </c>
      <c r="BB12" s="2">
        <f>E12+K12+Q12+W12+AC12+AI12+AO12+AU12+IF(BC12="",0,BC12)</f>
        <v/>
      </c>
      <c r="BC12" s="2" t="n"/>
      <c r="BD12" s="2" t="n">
        <v>3879.453703703703</v>
      </c>
      <c r="BE12" s="2" t="n">
        <v>0</v>
      </c>
      <c r="BF12" s="2" t="n">
        <v>0</v>
      </c>
      <c r="BG12" s="2" t="n">
        <v>250.3346666666667</v>
      </c>
      <c r="BH12" s="2" t="n">
        <v>62.36983333333333</v>
      </c>
      <c r="BI12" s="2" t="n">
        <v>462.1969166666667</v>
      </c>
      <c r="BJ12" s="2" t="n">
        <v>150.5333333333333</v>
      </c>
      <c r="BK12" s="2" t="n">
        <v>0</v>
      </c>
      <c r="BL12" s="2" t="n">
        <v>77.71683333333334</v>
      </c>
      <c r="BM12" s="2" t="n">
        <v>208.0833333333333</v>
      </c>
      <c r="BN12" s="2" t="n">
        <v>64.52307399999999</v>
      </c>
      <c r="BO12" s="2" t="n">
        <v>0</v>
      </c>
      <c r="BP12" s="2" t="n">
        <v>1275.757990666667</v>
      </c>
      <c r="BQ12" s="2" t="n">
        <v>1168.6945</v>
      </c>
      <c r="BR12" s="2" t="n">
        <v>0</v>
      </c>
      <c r="BS12" s="2" t="n">
        <v>619.5833333333334</v>
      </c>
      <c r="BT12" s="2" t="n">
        <v>475.9858833333334</v>
      </c>
      <c r="BU12" s="2" t="n">
        <v>2264.263716666667</v>
      </c>
      <c r="BV12" s="2" t="n">
        <v>3540.021707333333</v>
      </c>
      <c r="BW12" s="2" t="n">
        <v>4092.61</v>
      </c>
      <c r="BX12" s="2" t="n">
        <v>97.2</v>
      </c>
      <c r="BY12" s="2" t="n">
        <v>0</v>
      </c>
      <c r="BZ12" s="2" t="n">
        <v>4189.81</v>
      </c>
      <c r="CA12" s="2">
        <f>BB12-BV12</f>
        <v/>
      </c>
    </row>
    <row r="13">
      <c r="A13" t="n">
        <v>1112</v>
      </c>
      <c r="B13" t="inlineStr">
        <is>
          <t>Dworcowa 27, 89-600 Chojnice</t>
        </is>
      </c>
      <c r="C13" t="inlineStr"/>
      <c r="D13" s="2" t="n">
        <v>1930.15</v>
      </c>
      <c r="E13" s="2" t="n">
        <v>125.1023148148148</v>
      </c>
      <c r="F13" s="2" t="n">
        <v>1787.175925925926</v>
      </c>
      <c r="G13" s="2" t="n">
        <v>0</v>
      </c>
      <c r="H13" s="2" t="n">
        <v>1828.79</v>
      </c>
      <c r="I13" s="2" t="n">
        <v>101.36</v>
      </c>
      <c r="J13" s="2" t="n">
        <v>1248.87</v>
      </c>
      <c r="K13" s="2" t="n">
        <v>103.9568638888889</v>
      </c>
      <c r="L13" s="2" t="n">
        <v>1156.361111111111</v>
      </c>
      <c r="M13" s="2" t="n">
        <v>0</v>
      </c>
      <c r="N13" s="2" t="n">
        <v>1108.69</v>
      </c>
      <c r="O13" s="2" t="n">
        <v>140.18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38.7</v>
      </c>
      <c r="AC13" s="2" t="n">
        <v>2.508333333333334</v>
      </c>
      <c r="AD13" s="2" t="n">
        <v>35.83333333333334</v>
      </c>
      <c r="AE13" s="2" t="n">
        <v>0</v>
      </c>
      <c r="AF13" s="2" t="n">
        <v>38.7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6107.63</v>
      </c>
      <c r="AO13" s="2" t="n">
        <v>3200</v>
      </c>
      <c r="AP13" s="2" t="n">
        <v>5655.212962962963</v>
      </c>
      <c r="AQ13" s="2" t="n">
        <v>0</v>
      </c>
      <c r="AR13" s="2" t="n">
        <v>5747.08</v>
      </c>
      <c r="AS13" s="2" t="n">
        <v>360.55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9325.35</v>
      </c>
      <c r="BA13" s="2" t="n">
        <v>9325.35</v>
      </c>
      <c r="BB13" s="2">
        <f>E13+K13+Q13+W13+AC13+AI13+AO13+AU13+IF(BC13="",0,BC13)</f>
        <v/>
      </c>
      <c r="BC13" s="2" t="n"/>
      <c r="BD13" s="2" t="n">
        <v>8634.583333333332</v>
      </c>
      <c r="BE13" s="2" t="n">
        <v>0</v>
      </c>
      <c r="BF13" s="2" t="n">
        <v>0</v>
      </c>
      <c r="BG13" s="2" t="n">
        <v>250.3346666666667</v>
      </c>
      <c r="BH13" s="2" t="n">
        <v>62.36983333333333</v>
      </c>
      <c r="BI13" s="2" t="n">
        <v>462.1969166666667</v>
      </c>
      <c r="BJ13" s="2" t="n">
        <v>150.5333333333333</v>
      </c>
      <c r="BK13" s="2" t="n">
        <v>0</v>
      </c>
      <c r="BL13" s="2" t="n">
        <v>77.71683333333334</v>
      </c>
      <c r="BM13" s="2" t="n">
        <v>208.0833333333333</v>
      </c>
      <c r="BN13" s="2" t="n">
        <v>143.61039</v>
      </c>
      <c r="BO13" s="2" t="n">
        <v>0</v>
      </c>
      <c r="BP13" s="2" t="n">
        <v>1354.845306666667</v>
      </c>
      <c r="BQ13" s="2" t="n">
        <v>1168.6945</v>
      </c>
      <c r="BR13" s="2" t="n">
        <v>0</v>
      </c>
      <c r="BS13" s="2" t="n">
        <v>619.5833333333334</v>
      </c>
      <c r="BT13" s="2" t="n">
        <v>475.9858833333334</v>
      </c>
      <c r="BU13" s="2" t="n">
        <v>2264.263716666667</v>
      </c>
      <c r="BV13" s="2" t="n">
        <v>3619.109023333333</v>
      </c>
      <c r="BW13" s="2" t="n">
        <v>8723.26</v>
      </c>
      <c r="BX13" s="2" t="n">
        <v>602.09</v>
      </c>
      <c r="BY13" s="2" t="n">
        <v>0</v>
      </c>
      <c r="BZ13" s="2" t="n">
        <v>9325.35</v>
      </c>
      <c r="CA13" s="2">
        <f>BB13-BV13</f>
        <v/>
      </c>
    </row>
    <row r="14">
      <c r="A14" t="n">
        <v>1113</v>
      </c>
      <c r="B14" t="inlineStr">
        <is>
          <t>Kolejowa 1, 55-200 Oława</t>
        </is>
      </c>
      <c r="C14" t="inlineStr"/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6969.55</v>
      </c>
      <c r="K14" s="2" t="n">
        <v>580.1505046296296</v>
      </c>
      <c r="L14" s="2" t="n">
        <v>6453.287037037036</v>
      </c>
      <c r="M14" s="2" t="n">
        <v>0</v>
      </c>
      <c r="N14" s="2" t="n">
        <v>6767.8</v>
      </c>
      <c r="O14" s="2" t="n">
        <v>201.75</v>
      </c>
      <c r="P14" s="2" t="n">
        <v>4464</v>
      </c>
      <c r="Q14" s="2" t="n">
        <v>309.9999999999999</v>
      </c>
      <c r="R14" s="2" t="n">
        <v>4133.333333333333</v>
      </c>
      <c r="S14" s="2" t="n">
        <v>0</v>
      </c>
      <c r="T14" s="2" t="n">
        <v>4322.01</v>
      </c>
      <c r="U14" s="2" t="n">
        <v>141.99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6854.3</v>
      </c>
      <c r="AO14" s="2" t="n">
        <v>3550</v>
      </c>
      <c r="AP14" s="2" t="n">
        <v>6346.574074074074</v>
      </c>
      <c r="AQ14" s="2" t="n">
        <v>0</v>
      </c>
      <c r="AR14" s="2" t="n">
        <v>6463.66</v>
      </c>
      <c r="AS14" s="2" t="n">
        <v>390.64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18287.85</v>
      </c>
      <c r="BA14" s="2" t="n">
        <v>18287.85</v>
      </c>
      <c r="BB14" s="2">
        <f>E14+K14+Q14+W14+AC14+AI14+AO14+AU14+IF(BC14="",0,BC14)</f>
        <v/>
      </c>
      <c r="BC14" s="2" t="n"/>
      <c r="BD14" s="2" t="n">
        <v>16933.19444444444</v>
      </c>
      <c r="BE14" s="2" t="n">
        <v>0</v>
      </c>
      <c r="BF14" s="2" t="n">
        <v>0</v>
      </c>
      <c r="BG14" s="2" t="n">
        <v>250.3346666666667</v>
      </c>
      <c r="BH14" s="2" t="n">
        <v>62.36983333333333</v>
      </c>
      <c r="BI14" s="2" t="n">
        <v>462.1969166666667</v>
      </c>
      <c r="BJ14" s="2" t="n">
        <v>150.5333333333333</v>
      </c>
      <c r="BK14" s="2" t="n">
        <v>0</v>
      </c>
      <c r="BL14" s="2" t="n">
        <v>77.71683333333334</v>
      </c>
      <c r="BM14" s="2" t="n">
        <v>208.0833333333333</v>
      </c>
      <c r="BN14" s="2" t="n">
        <v>281.63289</v>
      </c>
      <c r="BO14" s="2" t="n">
        <v>0</v>
      </c>
      <c r="BP14" s="2" t="n">
        <v>1492.867806666667</v>
      </c>
      <c r="BQ14" s="2" t="n">
        <v>1168.6945</v>
      </c>
      <c r="BR14" s="2" t="n">
        <v>0</v>
      </c>
      <c r="BS14" s="2" t="n">
        <v>619.5833333333334</v>
      </c>
      <c r="BT14" s="2" t="n">
        <v>475.9858833333334</v>
      </c>
      <c r="BU14" s="2" t="n">
        <v>2264.263716666667</v>
      </c>
      <c r="BV14" s="2" t="n">
        <v>3757.131523333333</v>
      </c>
      <c r="BW14" s="2" t="n">
        <v>17553.47</v>
      </c>
      <c r="BX14" s="2" t="n">
        <v>734.38</v>
      </c>
      <c r="BY14" s="2" t="n">
        <v>0</v>
      </c>
      <c r="BZ14" s="2" t="n">
        <v>18287.85</v>
      </c>
      <c r="CA14" s="2">
        <f>BB14-BV14</f>
        <v/>
      </c>
    </row>
    <row r="15">
      <c r="A15" t="n">
        <v>1114</v>
      </c>
      <c r="B15" t="inlineStr">
        <is>
          <t>Kraszewskiego 4, 77-300 Człuchów</t>
        </is>
      </c>
      <c r="C15" t="inlineStr"/>
      <c r="D15" s="2" t="n">
        <v>51</v>
      </c>
      <c r="E15" s="2" t="n">
        <v>3.305555555555556</v>
      </c>
      <c r="F15" s="2" t="n">
        <v>47.22222222222222</v>
      </c>
      <c r="G15" s="2" t="n">
        <v>0</v>
      </c>
      <c r="H15" s="2" t="n">
        <v>51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2284.96</v>
      </c>
      <c r="AO15" s="2" t="n">
        <v>2950</v>
      </c>
      <c r="AP15" s="2" t="n">
        <v>2115.703703703703</v>
      </c>
      <c r="AQ15" s="2" t="n">
        <v>0</v>
      </c>
      <c r="AR15" s="2" t="n">
        <v>2158.96</v>
      </c>
      <c r="AS15" s="2" t="n">
        <v>126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2335.96</v>
      </c>
      <c r="BA15" s="2" t="n">
        <v>2335.96</v>
      </c>
      <c r="BB15" s="2">
        <f>E15+K15+Q15+W15+AC15+AI15+AO15+AU15+IF(BC15="",0,BC15)</f>
        <v/>
      </c>
      <c r="BC15" s="2" t="n"/>
      <c r="BD15" s="2" t="n">
        <v>2162.925925925926</v>
      </c>
      <c r="BE15" s="2" t="n">
        <v>0</v>
      </c>
      <c r="BF15" s="2" t="n">
        <v>0</v>
      </c>
      <c r="BG15" s="2" t="n">
        <v>250.3346666666667</v>
      </c>
      <c r="BH15" s="2" t="n">
        <v>62.36983333333333</v>
      </c>
      <c r="BI15" s="2" t="n">
        <v>462.1969166666667</v>
      </c>
      <c r="BJ15" s="2" t="n">
        <v>150.5333333333333</v>
      </c>
      <c r="BK15" s="2" t="n">
        <v>0</v>
      </c>
      <c r="BL15" s="2" t="n">
        <v>77.71683333333334</v>
      </c>
      <c r="BM15" s="2" t="n">
        <v>208.0833333333333</v>
      </c>
      <c r="BN15" s="2" t="n">
        <v>35.973784</v>
      </c>
      <c r="BO15" s="2" t="n">
        <v>0</v>
      </c>
      <c r="BP15" s="2" t="n">
        <v>1247.208700666667</v>
      </c>
      <c r="BQ15" s="2" t="n">
        <v>1168.6945</v>
      </c>
      <c r="BR15" s="2" t="n">
        <v>0</v>
      </c>
      <c r="BS15" s="2" t="n">
        <v>619.5833333333334</v>
      </c>
      <c r="BT15" s="2" t="n">
        <v>475.9858833333334</v>
      </c>
      <c r="BU15" s="2" t="n">
        <v>2264.263716666667</v>
      </c>
      <c r="BV15" s="2" t="n">
        <v>3511.472417333333</v>
      </c>
      <c r="BW15" s="2" t="n">
        <v>2209.96</v>
      </c>
      <c r="BX15" s="2" t="n">
        <v>126</v>
      </c>
      <c r="BY15" s="2" t="n">
        <v>0</v>
      </c>
      <c r="BZ15" s="2" t="n">
        <v>2335.96</v>
      </c>
      <c r="CA15" s="2">
        <f>BB15-BV15</f>
        <v/>
      </c>
    </row>
    <row r="16">
      <c r="A16" t="n">
        <v>1115</v>
      </c>
      <c r="B16" t="inlineStr">
        <is>
          <t>Pawia 5a, 31-154 Kraków</t>
        </is>
      </c>
      <c r="C16" t="inlineStr"/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12931.11</v>
      </c>
      <c r="K16" s="2" t="n">
        <v>1076.395175</v>
      </c>
      <c r="L16" s="2" t="n">
        <v>11973.25</v>
      </c>
      <c r="M16" s="2" t="n">
        <v>0</v>
      </c>
      <c r="N16" s="2" t="n">
        <v>12457.17</v>
      </c>
      <c r="O16" s="2" t="n">
        <v>473.94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44332.42</v>
      </c>
      <c r="W16" s="2" t="n">
        <v>880</v>
      </c>
      <c r="X16" s="2" t="n">
        <v>41048.53703703703</v>
      </c>
      <c r="Y16" s="2" t="n">
        <v>0</v>
      </c>
      <c r="Z16" s="2" t="n">
        <v>43481.47</v>
      </c>
      <c r="AA16" s="2" t="n">
        <v>850.95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27.9</v>
      </c>
      <c r="AI16" s="2" t="n">
        <v>1.9375</v>
      </c>
      <c r="AJ16" s="2" t="n">
        <v>25.83333333333333</v>
      </c>
      <c r="AK16" s="2" t="n">
        <v>0</v>
      </c>
      <c r="AL16" s="2" t="n">
        <v>27.9</v>
      </c>
      <c r="AM16" s="2" t="n">
        <v>0</v>
      </c>
      <c r="AN16" s="2" t="n">
        <v>5759.78</v>
      </c>
      <c r="AO16" s="2" t="n">
        <v>3600</v>
      </c>
      <c r="AP16" s="2" t="n">
        <v>5333.129629629629</v>
      </c>
      <c r="AQ16" s="2" t="n">
        <v>0</v>
      </c>
      <c r="AR16" s="2" t="n">
        <v>5560.59</v>
      </c>
      <c r="AS16" s="2" t="n">
        <v>199.19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63051.21</v>
      </c>
      <c r="BA16" s="2" t="n">
        <v>63051.21</v>
      </c>
      <c r="BB16" s="2">
        <f>E16+K16+Q16+W16+AC16+AI16+AO16+AU16+IF(BC16="",0,BC16)</f>
        <v/>
      </c>
      <c r="BC16" s="2" t="n"/>
      <c r="BD16" s="2" t="n">
        <v>58380.74999999999</v>
      </c>
      <c r="BE16" s="2" t="n">
        <v>1056.72</v>
      </c>
      <c r="BF16" s="2" t="n">
        <v>276</v>
      </c>
      <c r="BG16" s="2" t="n">
        <v>250.3346666666667</v>
      </c>
      <c r="BH16" s="2" t="n">
        <v>62.36983333333333</v>
      </c>
      <c r="BI16" s="2" t="n">
        <v>462.1969166666667</v>
      </c>
      <c r="BJ16" s="2" t="n">
        <v>150.5333333333333</v>
      </c>
      <c r="BK16" s="2" t="n">
        <v>0</v>
      </c>
      <c r="BL16" s="2" t="n">
        <v>77.71683333333334</v>
      </c>
      <c r="BM16" s="2" t="n">
        <v>208.0833333333333</v>
      </c>
      <c r="BN16" s="2" t="n">
        <v>886.757036</v>
      </c>
      <c r="BO16" s="2" t="n">
        <v>0</v>
      </c>
      <c r="BP16" s="2" t="n">
        <v>3430.711952666667</v>
      </c>
      <c r="BQ16" s="2" t="n">
        <v>1168.6945</v>
      </c>
      <c r="BR16" s="2" t="n">
        <v>0</v>
      </c>
      <c r="BS16" s="2" t="n">
        <v>619.5833333333334</v>
      </c>
      <c r="BT16" s="2" t="n">
        <v>742.5298833333334</v>
      </c>
      <c r="BU16" s="2" t="n">
        <v>2530.807716666667</v>
      </c>
      <c r="BV16" s="2" t="n">
        <v>5961.519669333335</v>
      </c>
      <c r="BW16" s="2" t="n">
        <v>61527.13</v>
      </c>
      <c r="BX16" s="2" t="n">
        <v>1524.08</v>
      </c>
      <c r="BY16" s="2" t="n">
        <v>0</v>
      </c>
      <c r="BZ16" s="2" t="n">
        <v>63051.21000000001</v>
      </c>
      <c r="CA16" s="2">
        <f>BB16-BV16</f>
        <v/>
      </c>
    </row>
    <row r="17">
      <c r="A17" t="n">
        <v>1116</v>
      </c>
      <c r="B17" t="inlineStr">
        <is>
          <t>Dworcowa 4, 83-032 Pszczółki</t>
        </is>
      </c>
      <c r="C17" t="inlineStr"/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1544.77</v>
      </c>
      <c r="AO17" s="2" t="n">
        <v>2950</v>
      </c>
      <c r="AP17" s="2" t="n">
        <v>1430.342592592592</v>
      </c>
      <c r="AQ17" s="2" t="n">
        <v>0</v>
      </c>
      <c r="AR17" s="2" t="n">
        <v>1387.16</v>
      </c>
      <c r="AS17" s="2" t="n">
        <v>157.61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1544.77</v>
      </c>
      <c r="BA17" s="2" t="n">
        <v>1544.77</v>
      </c>
      <c r="BB17" s="2">
        <f>E17+K17+Q17+W17+AC17+AI17+AO17+AU17+IF(BC17="",0,BC17)</f>
        <v/>
      </c>
      <c r="BC17" s="2" t="n"/>
      <c r="BD17" s="2" t="n">
        <v>1430.342592592592</v>
      </c>
      <c r="BE17" s="2" t="n">
        <v>0</v>
      </c>
      <c r="BF17" s="2" t="n">
        <v>0</v>
      </c>
      <c r="BG17" s="2" t="n">
        <v>250.3346666666667</v>
      </c>
      <c r="BH17" s="2" t="n">
        <v>62.36983333333333</v>
      </c>
      <c r="BI17" s="2" t="n">
        <v>462.1969166666667</v>
      </c>
      <c r="BJ17" s="2" t="n">
        <v>150.5333333333333</v>
      </c>
      <c r="BK17" s="2" t="n">
        <v>0</v>
      </c>
      <c r="BL17" s="2" t="n">
        <v>77.71683333333334</v>
      </c>
      <c r="BM17" s="2" t="n">
        <v>208.0833333333333</v>
      </c>
      <c r="BN17" s="2" t="n">
        <v>23.789458</v>
      </c>
      <c r="BO17" s="2" t="n">
        <v>0</v>
      </c>
      <c r="BP17" s="2" t="n">
        <v>1235.024374666667</v>
      </c>
      <c r="BQ17" s="2" t="n">
        <v>1168.6945</v>
      </c>
      <c r="BR17" s="2" t="n">
        <v>0</v>
      </c>
      <c r="BS17" s="2" t="n">
        <v>619.5833333333334</v>
      </c>
      <c r="BT17" s="2" t="n">
        <v>475.9858833333334</v>
      </c>
      <c r="BU17" s="2" t="n">
        <v>2264.263716666667</v>
      </c>
      <c r="BV17" s="2" t="n">
        <v>3499.288091333333</v>
      </c>
      <c r="BW17" s="2" t="n">
        <v>1387.16</v>
      </c>
      <c r="BX17" s="2" t="n">
        <v>157.61</v>
      </c>
      <c r="BY17" s="2" t="n">
        <v>0</v>
      </c>
      <c r="BZ17" s="2" t="n">
        <v>1544.77</v>
      </c>
      <c r="CA17" s="2">
        <f>BB17-BV17</f>
        <v/>
      </c>
    </row>
    <row r="18">
      <c r="A18" t="n">
        <v>1117</v>
      </c>
      <c r="B18" t="inlineStr">
        <is>
          <t>Chramcówki 35, 34-500 Zakopane</t>
        </is>
      </c>
      <c r="C18" t="inlineStr"/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11874.49</v>
      </c>
      <c r="K18" s="2" t="n">
        <v>988.4413435185186</v>
      </c>
      <c r="L18" s="2" t="n">
        <v>10994.89814814815</v>
      </c>
      <c r="M18" s="2" t="n">
        <v>0</v>
      </c>
      <c r="N18" s="2" t="n">
        <v>11289.35</v>
      </c>
      <c r="O18" s="2" t="n">
        <v>585.14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2759.34</v>
      </c>
      <c r="AO18" s="2" t="n">
        <v>3600</v>
      </c>
      <c r="AP18" s="2" t="n">
        <v>2554.944444444444</v>
      </c>
      <c r="AQ18" s="2" t="n">
        <v>0</v>
      </c>
      <c r="AR18" s="2" t="n">
        <v>2340.99</v>
      </c>
      <c r="AS18" s="2" t="n">
        <v>418.35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14633.83</v>
      </c>
      <c r="BA18" s="2" t="n">
        <v>14633.83</v>
      </c>
      <c r="BB18" s="2">
        <f>E18+K18+Q18+W18+AC18+AI18+AO18+AU18+IF(BC18="",0,BC18)</f>
        <v/>
      </c>
      <c r="BC18" s="2" t="n"/>
      <c r="BD18" s="2" t="n">
        <v>13549.84259259259</v>
      </c>
      <c r="BE18" s="2" t="n">
        <v>0</v>
      </c>
      <c r="BF18" s="2" t="n">
        <v>0</v>
      </c>
      <c r="BG18" s="2" t="n">
        <v>250.3346666666667</v>
      </c>
      <c r="BH18" s="2" t="n">
        <v>62.36983333333333</v>
      </c>
      <c r="BI18" s="2" t="n">
        <v>462.1969166666667</v>
      </c>
      <c r="BJ18" s="2" t="n">
        <v>150.5333333333333</v>
      </c>
      <c r="BK18" s="2" t="n">
        <v>0</v>
      </c>
      <c r="BL18" s="2" t="n">
        <v>77.71683333333334</v>
      </c>
      <c r="BM18" s="2" t="n">
        <v>208.0833333333333</v>
      </c>
      <c r="BN18" s="2" t="n">
        <v>225.360982</v>
      </c>
      <c r="BO18" s="2" t="n">
        <v>0</v>
      </c>
      <c r="BP18" s="2" t="n">
        <v>1436.595898666666</v>
      </c>
      <c r="BQ18" s="2" t="n">
        <v>1168.6945</v>
      </c>
      <c r="BR18" s="2" t="n">
        <v>0</v>
      </c>
      <c r="BS18" s="2" t="n">
        <v>619.5833333333334</v>
      </c>
      <c r="BT18" s="2" t="n">
        <v>475.9858833333334</v>
      </c>
      <c r="BU18" s="2" t="n">
        <v>2264.263716666667</v>
      </c>
      <c r="BV18" s="2" t="n">
        <v>3700.859615333333</v>
      </c>
      <c r="BW18" s="2" t="n">
        <v>13630.34</v>
      </c>
      <c r="BX18" s="2" t="n">
        <v>1003.49</v>
      </c>
      <c r="BY18" s="2" t="n">
        <v>0</v>
      </c>
      <c r="BZ18" s="2" t="n">
        <v>14633.83</v>
      </c>
      <c r="CA18" s="2">
        <f>BB18-BV18</f>
        <v/>
      </c>
    </row>
    <row r="19">
      <c r="A19" t="n">
        <v>1118</v>
      </c>
      <c r="B19" t="inlineStr">
        <is>
          <t>Piłsudskiego 105, 50-085 Wrocław</t>
        </is>
      </c>
      <c r="C19" t="inlineStr"/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6529.610000000001</v>
      </c>
      <c r="K19" s="2" t="n">
        <v>543.5295731481482</v>
      </c>
      <c r="L19" s="2" t="n">
        <v>6045.935185185185</v>
      </c>
      <c r="M19" s="2" t="n">
        <v>0</v>
      </c>
      <c r="N19" s="2" t="n">
        <v>6202.56</v>
      </c>
      <c r="O19" s="2" t="n">
        <v>327.05</v>
      </c>
      <c r="P19" s="2" t="n">
        <v>21379.97</v>
      </c>
      <c r="Q19" s="2" t="n">
        <v>1484.720138888889</v>
      </c>
      <c r="R19" s="2" t="n">
        <v>19796.26851851852</v>
      </c>
      <c r="S19" s="2" t="n">
        <v>0</v>
      </c>
      <c r="T19" s="2" t="n">
        <v>20436.11</v>
      </c>
      <c r="U19" s="2" t="n">
        <v>943.86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5855.69</v>
      </c>
      <c r="AO19" s="2" t="n">
        <v>3600</v>
      </c>
      <c r="AP19" s="2" t="n">
        <v>5421.935185185184</v>
      </c>
      <c r="AQ19" s="2" t="n">
        <v>0</v>
      </c>
      <c r="AR19" s="2" t="n">
        <v>5613.24</v>
      </c>
      <c r="AS19" s="2" t="n">
        <v>242.45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33765.27</v>
      </c>
      <c r="BA19" s="2" t="n">
        <v>33765.27</v>
      </c>
      <c r="BB19" s="2">
        <f>E19+K19+Q19+W19+AC19+AI19+AO19+AU19+IF(BC19="",0,BC19)</f>
        <v/>
      </c>
      <c r="BC19" s="2" t="n"/>
      <c r="BD19" s="2" t="n">
        <v>31264.13888888889</v>
      </c>
      <c r="BE19" s="2" t="n">
        <v>0</v>
      </c>
      <c r="BF19" s="2" t="n">
        <v>0</v>
      </c>
      <c r="BG19" s="2" t="n">
        <v>250.3346666666667</v>
      </c>
      <c r="BH19" s="2" t="n">
        <v>62.36983333333333</v>
      </c>
      <c r="BI19" s="2" t="n">
        <v>462.1969166666667</v>
      </c>
      <c r="BJ19" s="2" t="n">
        <v>150.5333333333333</v>
      </c>
      <c r="BK19" s="2" t="n">
        <v>0</v>
      </c>
      <c r="BL19" s="2" t="n">
        <v>77.71683333333334</v>
      </c>
      <c r="BM19" s="2" t="n">
        <v>208.0833333333333</v>
      </c>
      <c r="BN19" s="2" t="n">
        <v>519.9851580000001</v>
      </c>
      <c r="BO19" s="2" t="n">
        <v>0</v>
      </c>
      <c r="BP19" s="2" t="n">
        <v>1731.220074666667</v>
      </c>
      <c r="BQ19" s="2" t="n">
        <v>1168.6945</v>
      </c>
      <c r="BR19" s="2" t="n">
        <v>0</v>
      </c>
      <c r="BS19" s="2" t="n">
        <v>619.5833333333334</v>
      </c>
      <c r="BT19" s="2" t="n">
        <v>475.9858833333334</v>
      </c>
      <c r="BU19" s="2" t="n">
        <v>2264.263716666667</v>
      </c>
      <c r="BV19" s="2" t="n">
        <v>3995.483791333334</v>
      </c>
      <c r="BW19" s="2" t="n">
        <v>32251.91</v>
      </c>
      <c r="BX19" s="2" t="n">
        <v>1513.36</v>
      </c>
      <c r="BY19" s="2" t="n">
        <v>0</v>
      </c>
      <c r="BZ19" s="2" t="n">
        <v>33765.27</v>
      </c>
      <c r="CA19" s="2">
        <f>BB19-BV19</f>
        <v/>
      </c>
    </row>
    <row r="20">
      <c r="A20" t="n">
        <v>1119</v>
      </c>
      <c r="B20" t="inlineStr">
        <is>
          <t>Pl. Tysiąclecia 1, 67-200 Głogów</t>
        </is>
      </c>
      <c r="C20" t="inlineStr"/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>
        <f>E20+K20+Q20+W20+AC20+AI20+AO20+AU20+IF(BC20="",0,BC20)</f>
        <v/>
      </c>
      <c r="BC20" s="2" t="n"/>
      <c r="BD20" s="2" t="n">
        <v>0</v>
      </c>
      <c r="BE20" s="2" t="n">
        <v>0</v>
      </c>
      <c r="BF20" s="2" t="n">
        <v>0</v>
      </c>
      <c r="BG20" s="2" t="n">
        <v>250.3346666666667</v>
      </c>
      <c r="BH20" s="2" t="n">
        <v>62.36983333333333</v>
      </c>
      <c r="BI20" s="2" t="n">
        <v>462.1969166666667</v>
      </c>
      <c r="BJ20" s="2" t="n">
        <v>150.5333333333333</v>
      </c>
      <c r="BK20" s="2" t="n">
        <v>0</v>
      </c>
      <c r="BL20" s="2" t="n">
        <v>77.71683333333334</v>
      </c>
      <c r="BM20" s="2" t="n">
        <v>208.0833333333333</v>
      </c>
      <c r="BN20" s="2" t="n">
        <v>0</v>
      </c>
      <c r="BO20" s="2" t="n">
        <v>0</v>
      </c>
      <c r="BP20" s="2" t="n">
        <v>1211.234916666667</v>
      </c>
      <c r="BQ20" s="2" t="n">
        <v>1168.6945</v>
      </c>
      <c r="BR20" s="2" t="n">
        <v>0</v>
      </c>
      <c r="BS20" s="2" t="n">
        <v>619.5833333333334</v>
      </c>
      <c r="BT20" s="2" t="n">
        <v>475.9858833333334</v>
      </c>
      <c r="BU20" s="2" t="n">
        <v>2264.263716666667</v>
      </c>
      <c r="BV20" s="2" t="n">
        <v>3475.498633333334</v>
      </c>
      <c r="BW20" s="2" t="n">
        <v>0</v>
      </c>
      <c r="BX20" s="2" t="n">
        <v>0</v>
      </c>
      <c r="BY20" s="2" t="n">
        <v>0</v>
      </c>
      <c r="BZ20" s="2" t="n">
        <v>0</v>
      </c>
      <c r="CA20" s="2">
        <f>BB20-BV20</f>
        <v/>
      </c>
    </row>
    <row r="21">
      <c r="A21" t="n">
        <v>1120</v>
      </c>
      <c r="B21" t="inlineStr">
        <is>
          <t>Dworcowa 1, 47-220 Kędzierzyn-Koźle</t>
        </is>
      </c>
      <c r="C21" t="inlineStr"/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2330.32</v>
      </c>
      <c r="K21" s="2" t="n">
        <v>193.977562962963</v>
      </c>
      <c r="L21" s="2" t="n">
        <v>2157.703703703704</v>
      </c>
      <c r="M21" s="2" t="n">
        <v>0</v>
      </c>
      <c r="N21" s="2" t="n">
        <v>2161.32</v>
      </c>
      <c r="O21" s="2" t="n">
        <v>169</v>
      </c>
      <c r="P21" s="2" t="n">
        <v>12.15</v>
      </c>
      <c r="Q21" s="2" t="n">
        <v>0.84375</v>
      </c>
      <c r="R21" s="2" t="n">
        <v>11.25</v>
      </c>
      <c r="S21" s="2" t="n">
        <v>0</v>
      </c>
      <c r="T21" s="2" t="n">
        <v>12.15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4054.54</v>
      </c>
      <c r="AO21" s="2" t="n">
        <v>3600</v>
      </c>
      <c r="AP21" s="2" t="n">
        <v>3754.203703703703</v>
      </c>
      <c r="AQ21" s="2" t="n">
        <v>0</v>
      </c>
      <c r="AR21" s="2" t="n">
        <v>3647.38</v>
      </c>
      <c r="AS21" s="2" t="n">
        <v>407.16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6397.01</v>
      </c>
      <c r="BA21" s="2" t="n">
        <v>6397.01</v>
      </c>
      <c r="BB21" s="2">
        <f>E21+K21+Q21+W21+AC21+AI21+AO21+AU21+IF(BC21="",0,BC21)</f>
        <v/>
      </c>
      <c r="BC21" s="2" t="n"/>
      <c r="BD21" s="2" t="n">
        <v>5923.157407407407</v>
      </c>
      <c r="BE21" s="2" t="n">
        <v>0</v>
      </c>
      <c r="BF21" s="2" t="n">
        <v>0</v>
      </c>
      <c r="BG21" s="2" t="n">
        <v>250.3346666666667</v>
      </c>
      <c r="BH21" s="2" t="n">
        <v>62.36983333333333</v>
      </c>
      <c r="BI21" s="2" t="n">
        <v>462.1969166666667</v>
      </c>
      <c r="BJ21" s="2" t="n">
        <v>150.5333333333333</v>
      </c>
      <c r="BK21" s="2" t="n">
        <v>0</v>
      </c>
      <c r="BL21" s="2" t="n">
        <v>77.71683333333334</v>
      </c>
      <c r="BM21" s="2" t="n">
        <v>208.0833333333333</v>
      </c>
      <c r="BN21" s="2" t="n">
        <v>98.51395400000001</v>
      </c>
      <c r="BO21" s="2" t="n">
        <v>0</v>
      </c>
      <c r="BP21" s="2" t="n">
        <v>1309.748870666667</v>
      </c>
      <c r="BQ21" s="2" t="n">
        <v>1168.6945</v>
      </c>
      <c r="BR21" s="2" t="n">
        <v>0</v>
      </c>
      <c r="BS21" s="2" t="n">
        <v>619.5833333333334</v>
      </c>
      <c r="BT21" s="2" t="n">
        <v>475.9858833333334</v>
      </c>
      <c r="BU21" s="2" t="n">
        <v>2264.263716666667</v>
      </c>
      <c r="BV21" s="2" t="n">
        <v>3574.012587333334</v>
      </c>
      <c r="BW21" s="2" t="n">
        <v>5820.85</v>
      </c>
      <c r="BX21" s="2" t="n">
        <v>576.1600000000001</v>
      </c>
      <c r="BY21" s="2" t="n">
        <v>0</v>
      </c>
      <c r="BZ21" s="2" t="n">
        <v>6397.01</v>
      </c>
      <c r="CA21" s="2">
        <f>BB21-BV21</f>
        <v/>
      </c>
    </row>
    <row r="22">
      <c r="A22" t="n">
        <v>1121</v>
      </c>
      <c r="B22" t="inlineStr">
        <is>
          <t>pl. Dworcowy, 47-320 Gogolin</t>
        </is>
      </c>
      <c r="C22" t="inlineStr"/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666</v>
      </c>
      <c r="K22" s="2" t="n">
        <v>55.43833333333333</v>
      </c>
      <c r="L22" s="2" t="n">
        <v>616.6666666666666</v>
      </c>
      <c r="M22" s="2" t="n">
        <v>0</v>
      </c>
      <c r="N22" s="2" t="n">
        <v>573</v>
      </c>
      <c r="O22" s="2" t="n">
        <v>93</v>
      </c>
      <c r="P22" s="2" t="n">
        <v>126.7</v>
      </c>
      <c r="Q22" s="2" t="n">
        <v>8.798611111111111</v>
      </c>
      <c r="R22" s="2" t="n">
        <v>117.3148148148148</v>
      </c>
      <c r="S22" s="2" t="n">
        <v>0</v>
      </c>
      <c r="T22" s="2" t="n">
        <v>126.7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6957.120000000001</v>
      </c>
      <c r="AO22" s="2" t="n">
        <v>3600</v>
      </c>
      <c r="AP22" s="2" t="n">
        <v>6441.777777777778</v>
      </c>
      <c r="AQ22" s="2" t="n">
        <v>0</v>
      </c>
      <c r="AR22" s="2" t="n">
        <v>6657.77</v>
      </c>
      <c r="AS22" s="2" t="n">
        <v>299.35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7749.820000000001</v>
      </c>
      <c r="BA22" s="2" t="n">
        <v>7749.820000000001</v>
      </c>
      <c r="BB22" s="2">
        <f>E22+K22+Q22+W22+AC22+AI22+AO22+AU22+IF(BC22="",0,BC22)</f>
        <v/>
      </c>
      <c r="BC22" s="2" t="n"/>
      <c r="BD22" s="2" t="n">
        <v>7175.75925925926</v>
      </c>
      <c r="BE22" s="2" t="n">
        <v>0</v>
      </c>
      <c r="BF22" s="2" t="n">
        <v>0</v>
      </c>
      <c r="BG22" s="2" t="n">
        <v>250.3346666666667</v>
      </c>
      <c r="BH22" s="2" t="n">
        <v>62.36983333333333</v>
      </c>
      <c r="BI22" s="2" t="n">
        <v>462.1969166666667</v>
      </c>
      <c r="BJ22" s="2" t="n">
        <v>150.5333333333333</v>
      </c>
      <c r="BK22" s="2" t="n">
        <v>0</v>
      </c>
      <c r="BL22" s="2" t="n">
        <v>77.71683333333334</v>
      </c>
      <c r="BM22" s="2" t="n">
        <v>208.0833333333333</v>
      </c>
      <c r="BN22" s="2" t="n">
        <v>119.347228</v>
      </c>
      <c r="BO22" s="2" t="n">
        <v>0</v>
      </c>
      <c r="BP22" s="2" t="n">
        <v>1330.582144666667</v>
      </c>
      <c r="BQ22" s="2" t="n">
        <v>1168.6945</v>
      </c>
      <c r="BR22" s="2" t="n">
        <v>0</v>
      </c>
      <c r="BS22" s="2" t="n">
        <v>619.5833333333334</v>
      </c>
      <c r="BT22" s="2" t="n">
        <v>475.9858833333334</v>
      </c>
      <c r="BU22" s="2" t="n">
        <v>2264.263716666667</v>
      </c>
      <c r="BV22" s="2" t="n">
        <v>3594.845861333333</v>
      </c>
      <c r="BW22" s="2" t="n">
        <v>7357.47</v>
      </c>
      <c r="BX22" s="2" t="n">
        <v>392.35</v>
      </c>
      <c r="BY22" s="2" t="n">
        <v>0</v>
      </c>
      <c r="BZ22" s="2" t="n">
        <v>7749.820000000001</v>
      </c>
      <c r="CA22" s="2">
        <f>BB22-BV22</f>
        <v/>
      </c>
    </row>
    <row r="23">
      <c r="A23" t="n">
        <v>1122</v>
      </c>
      <c r="B23" t="inlineStr">
        <is>
          <t>pl. Dworcowy 1, 82-300 Elbląg</t>
        </is>
      </c>
      <c r="C23" t="inlineStr"/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148.35</v>
      </c>
      <c r="K23" s="2" t="n">
        <v>12.34876388888889</v>
      </c>
      <c r="L23" s="2" t="n">
        <v>137.3611111111111</v>
      </c>
      <c r="M23" s="2" t="n">
        <v>0</v>
      </c>
      <c r="N23" s="2" t="n">
        <v>129.5</v>
      </c>
      <c r="O23" s="2" t="n">
        <v>18.85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968.9000000000001</v>
      </c>
      <c r="AO23" s="2" t="n">
        <v>2950</v>
      </c>
      <c r="AP23" s="2" t="n">
        <v>897.1296296296297</v>
      </c>
      <c r="AQ23" s="2" t="n">
        <v>0</v>
      </c>
      <c r="AR23" s="2" t="n">
        <v>927.71</v>
      </c>
      <c r="AS23" s="2" t="n">
        <v>41.19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1117.25</v>
      </c>
      <c r="BA23" s="2" t="n">
        <v>1117.25</v>
      </c>
      <c r="BB23" s="2">
        <f>E23+K23+Q23+W23+AC23+AI23+AO23+AU23+IF(BC23="",0,BC23)</f>
        <v/>
      </c>
      <c r="BC23" s="2" t="n"/>
      <c r="BD23" s="2" t="n">
        <v>1034.490740740741</v>
      </c>
      <c r="BE23" s="2" t="n">
        <v>0</v>
      </c>
      <c r="BF23" s="2" t="n">
        <v>0</v>
      </c>
      <c r="BG23" s="2" t="n">
        <v>250.3346666666667</v>
      </c>
      <c r="BH23" s="2" t="n">
        <v>62.36983333333333</v>
      </c>
      <c r="BI23" s="2" t="n">
        <v>462.1969166666667</v>
      </c>
      <c r="BJ23" s="2" t="n">
        <v>150.5333333333333</v>
      </c>
      <c r="BK23" s="2" t="n">
        <v>0</v>
      </c>
      <c r="BL23" s="2" t="n">
        <v>77.71683333333334</v>
      </c>
      <c r="BM23" s="2" t="n">
        <v>208.0833333333333</v>
      </c>
      <c r="BN23" s="2" t="n">
        <v>17.20565</v>
      </c>
      <c r="BO23" s="2" t="n">
        <v>0</v>
      </c>
      <c r="BP23" s="2" t="n">
        <v>1228.440566666667</v>
      </c>
      <c r="BQ23" s="2" t="n">
        <v>1168.6945</v>
      </c>
      <c r="BR23" s="2" t="n">
        <v>0</v>
      </c>
      <c r="BS23" s="2" t="n">
        <v>619.5833333333334</v>
      </c>
      <c r="BT23" s="2" t="n">
        <v>475.9858833333334</v>
      </c>
      <c r="BU23" s="2" t="n">
        <v>2264.263716666667</v>
      </c>
      <c r="BV23" s="2" t="n">
        <v>3492.704283333333</v>
      </c>
      <c r="BW23" s="2" t="n">
        <v>1057.21</v>
      </c>
      <c r="BX23" s="2" t="n">
        <v>60.04</v>
      </c>
      <c r="BY23" s="2" t="n">
        <v>0</v>
      </c>
      <c r="BZ23" s="2" t="n">
        <v>1117.25</v>
      </c>
      <c r="CA23" s="2">
        <f>BB23-BV23</f>
        <v/>
      </c>
    </row>
    <row r="24">
      <c r="A24" t="n">
        <v>1123</v>
      </c>
      <c r="B24" t="inlineStr">
        <is>
          <t>Dmowskiego 1, 80-264 Gdańsk</t>
        </is>
      </c>
      <c r="C24" t="inlineStr"/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7780.06</v>
      </c>
      <c r="K24" s="2" t="n">
        <v>647.6179574074074</v>
      </c>
      <c r="L24" s="2" t="n">
        <v>7203.759259259259</v>
      </c>
      <c r="M24" s="2" t="n">
        <v>0</v>
      </c>
      <c r="N24" s="2" t="n">
        <v>6629.18</v>
      </c>
      <c r="O24" s="2" t="n">
        <v>1150.88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10763.13</v>
      </c>
      <c r="AO24" s="2" t="n">
        <v>2950</v>
      </c>
      <c r="AP24" s="2" t="n">
        <v>9965.861111111109</v>
      </c>
      <c r="AQ24" s="2" t="n">
        <v>0</v>
      </c>
      <c r="AR24" s="2" t="n">
        <v>10352.75</v>
      </c>
      <c r="AS24" s="2" t="n">
        <v>410.38</v>
      </c>
      <c r="AT24" s="2" t="n">
        <v>4885.25</v>
      </c>
      <c r="AU24" s="2" t="n">
        <v>389.0106481481481</v>
      </c>
      <c r="AV24" s="2" t="n">
        <v>4523.37962962963</v>
      </c>
      <c r="AW24" s="2" t="n">
        <v>0</v>
      </c>
      <c r="AX24" s="2" t="n">
        <v>4768.75</v>
      </c>
      <c r="AY24" s="2" t="n">
        <v>116.5</v>
      </c>
      <c r="AZ24" s="2" t="n">
        <v>23428.44</v>
      </c>
      <c r="BA24" s="2" t="n">
        <v>23428.44</v>
      </c>
      <c r="BB24" s="2">
        <f>E24+K24+Q24+W24+AC24+AI24+AO24+AU24+IF(BC24="",0,BC24)</f>
        <v/>
      </c>
      <c r="BC24" s="2" t="n"/>
      <c r="BD24" s="2" t="n">
        <v>21693</v>
      </c>
      <c r="BE24" s="2" t="n">
        <v>0</v>
      </c>
      <c r="BF24" s="2" t="n">
        <v>0</v>
      </c>
      <c r="BG24" s="2" t="n">
        <v>250.3346666666667</v>
      </c>
      <c r="BH24" s="2" t="n">
        <v>62.36983333333333</v>
      </c>
      <c r="BI24" s="2" t="n">
        <v>462.1969166666667</v>
      </c>
      <c r="BJ24" s="2" t="n">
        <v>150.5333333333333</v>
      </c>
      <c r="BK24" s="2" t="n">
        <v>0</v>
      </c>
      <c r="BL24" s="2" t="n">
        <v>77.71683333333334</v>
      </c>
      <c r="BM24" s="2" t="n">
        <v>208.0833333333333</v>
      </c>
      <c r="BN24" s="2" t="n">
        <v>360.7979759999999</v>
      </c>
      <c r="BO24" s="2" t="n">
        <v>0</v>
      </c>
      <c r="BP24" s="2" t="n">
        <v>1572.032892666667</v>
      </c>
      <c r="BQ24" s="2" t="n">
        <v>1168.6945</v>
      </c>
      <c r="BR24" s="2" t="n">
        <v>0</v>
      </c>
      <c r="BS24" s="2" t="n">
        <v>619.5833333333334</v>
      </c>
      <c r="BT24" s="2" t="n">
        <v>475.9858833333334</v>
      </c>
      <c r="BU24" s="2" t="n">
        <v>2264.263716666667</v>
      </c>
      <c r="BV24" s="2" t="n">
        <v>3836.296609333333</v>
      </c>
      <c r="BW24" s="2" t="n">
        <v>21750.68</v>
      </c>
      <c r="BX24" s="2" t="n">
        <v>1677.76</v>
      </c>
      <c r="BY24" s="2" t="n">
        <v>0</v>
      </c>
      <c r="BZ24" s="2" t="n">
        <v>23428.44</v>
      </c>
      <c r="CA24" s="2">
        <f>BB24-BV24</f>
        <v/>
      </c>
    </row>
    <row r="25">
      <c r="A25" t="n">
        <v>1124</v>
      </c>
      <c r="B25" t="inlineStr">
        <is>
          <t>Zwierzy</t>
        </is>
      </c>
      <c r="C25" t="inlineStr"/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>
        <f>E25+K25+Q25+W25+AC25+AI25+AO25+AU25+IF(BC25="",0,BC25)</f>
        <v/>
      </c>
      <c r="BC25" s="2" t="n"/>
      <c r="BD25" s="2" t="n">
        <v>0</v>
      </c>
      <c r="BE25" s="2" t="n">
        <v>0</v>
      </c>
      <c r="BF25" s="2" t="n">
        <v>0</v>
      </c>
      <c r="BG25" s="2" t="n">
        <v>250.3346666666667</v>
      </c>
      <c r="BH25" s="2" t="n">
        <v>62.36983333333333</v>
      </c>
      <c r="BI25" s="2" t="n">
        <v>462.1969166666667</v>
      </c>
      <c r="BJ25" s="2" t="n">
        <v>150.5333333333333</v>
      </c>
      <c r="BK25" s="2" t="n">
        <v>0</v>
      </c>
      <c r="BL25" s="2" t="n">
        <v>77.71683333333334</v>
      </c>
      <c r="BM25" s="2" t="n">
        <v>208.0833333333333</v>
      </c>
      <c r="BN25" s="2" t="n">
        <v>0</v>
      </c>
      <c r="BO25" s="2" t="n">
        <v>0</v>
      </c>
      <c r="BP25" s="2" t="n">
        <v>1211.234916666667</v>
      </c>
      <c r="BQ25" s="2" t="n">
        <v>1168.6945</v>
      </c>
      <c r="BR25" s="2" t="n">
        <v>0</v>
      </c>
      <c r="BS25" s="2" t="n">
        <v>619.5833333333334</v>
      </c>
      <c r="BT25" s="2" t="n">
        <v>475.9858833333334</v>
      </c>
      <c r="BU25" s="2" t="n">
        <v>2264.263716666667</v>
      </c>
      <c r="BV25" s="2" t="n">
        <v>3475.498633333334</v>
      </c>
      <c r="BW25" s="2" t="n">
        <v>0</v>
      </c>
      <c r="BX25" s="2" t="n">
        <v>0</v>
      </c>
      <c r="BY25" s="2" t="n">
        <v>0</v>
      </c>
      <c r="BZ25" s="2" t="n">
        <v>0</v>
      </c>
      <c r="CA25" s="2">
        <f>BB25-BV25</f>
        <v/>
      </c>
    </row>
    <row r="26">
      <c r="A26" t="n">
        <v>1125</v>
      </c>
      <c r="B26" t="inlineStr">
        <is>
          <t>3-go Maja 3, 95-040 Koluszki</t>
        </is>
      </c>
      <c r="C26" t="inlineStr"/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4086.25</v>
      </c>
      <c r="K26" s="2" t="n">
        <v>340.1424768518519</v>
      </c>
      <c r="L26" s="2" t="n">
        <v>3783.564814814815</v>
      </c>
      <c r="M26" s="2" t="n">
        <v>0</v>
      </c>
      <c r="N26" s="2" t="n">
        <v>3610.68</v>
      </c>
      <c r="O26" s="2" t="n">
        <v>475.57</v>
      </c>
      <c r="P26" s="2" t="n">
        <v>18.71</v>
      </c>
      <c r="Q26" s="2" t="n">
        <v>0</v>
      </c>
      <c r="R26" s="2" t="n">
        <v>17.32407407407407</v>
      </c>
      <c r="S26" s="2" t="n">
        <v>0</v>
      </c>
      <c r="T26" s="2" t="n">
        <v>0</v>
      </c>
      <c r="U26" s="2" t="n">
        <v>18.71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5300.13</v>
      </c>
      <c r="AI26" s="2" t="n">
        <v>368.0645833333333</v>
      </c>
      <c r="AJ26" s="2" t="n">
        <v>4907.527777777777</v>
      </c>
      <c r="AK26" s="2" t="n">
        <v>0</v>
      </c>
      <c r="AL26" s="2" t="n">
        <v>4607.56</v>
      </c>
      <c r="AM26" s="2" t="n">
        <v>692.5700000000001</v>
      </c>
      <c r="AN26" s="2" t="n">
        <v>1298.56</v>
      </c>
      <c r="AO26" s="2" t="n">
        <v>3650</v>
      </c>
      <c r="AP26" s="2" t="n">
        <v>1202.37037037037</v>
      </c>
      <c r="AQ26" s="2" t="n">
        <v>0</v>
      </c>
      <c r="AR26" s="2" t="n">
        <v>1183.25</v>
      </c>
      <c r="AS26" s="2" t="n">
        <v>115.31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10703.65</v>
      </c>
      <c r="BA26" s="2" t="n">
        <v>10703.65</v>
      </c>
      <c r="BB26" s="2">
        <f>E26+K26+Q26+W26+AC26+AI26+AO26+AU26+IF(BC26="",0,BC26)</f>
        <v/>
      </c>
      <c r="BC26" s="2" t="n"/>
      <c r="BD26" s="2" t="n">
        <v>9910.787037037036</v>
      </c>
      <c r="BE26" s="2" t="n">
        <v>0</v>
      </c>
      <c r="BF26" s="2" t="n">
        <v>0</v>
      </c>
      <c r="BG26" s="2" t="n">
        <v>250.3346666666667</v>
      </c>
      <c r="BH26" s="2" t="n">
        <v>62.36983333333333</v>
      </c>
      <c r="BI26" s="2" t="n">
        <v>462.1969166666667</v>
      </c>
      <c r="BJ26" s="2" t="n">
        <v>150.5333333333333</v>
      </c>
      <c r="BK26" s="2" t="n">
        <v>0</v>
      </c>
      <c r="BL26" s="2" t="n">
        <v>77.71683333333334</v>
      </c>
      <c r="BM26" s="2" t="n">
        <v>208.0833333333333</v>
      </c>
      <c r="BN26" s="2" t="n">
        <v>164.83621</v>
      </c>
      <c r="BO26" s="2" t="n">
        <v>0</v>
      </c>
      <c r="BP26" s="2" t="n">
        <v>1376.071126666666</v>
      </c>
      <c r="BQ26" s="2" t="n">
        <v>1168.6945</v>
      </c>
      <c r="BR26" s="2" t="n">
        <v>0</v>
      </c>
      <c r="BS26" s="2" t="n">
        <v>619.5833333333334</v>
      </c>
      <c r="BT26" s="2" t="n">
        <v>475.9858833333334</v>
      </c>
      <c r="BU26" s="2" t="n">
        <v>2264.263716666667</v>
      </c>
      <c r="BV26" s="2" t="n">
        <v>3640.334843333333</v>
      </c>
      <c r="BW26" s="2" t="n">
        <v>9401.49</v>
      </c>
      <c r="BX26" s="2" t="n">
        <v>1302.16</v>
      </c>
      <c r="BY26" s="2" t="n">
        <v>0</v>
      </c>
      <c r="BZ26" s="2" t="n">
        <v>10703.65</v>
      </c>
      <c r="CA26" s="2">
        <f>BB26-BV26</f>
        <v/>
      </c>
    </row>
    <row r="27">
      <c r="A27" t="n">
        <v>1126</v>
      </c>
      <c r="B27" t="inlineStr">
        <is>
          <t>Al. Jerozolimskie 54, 00-024 Warszawa</t>
        </is>
      </c>
      <c r="C27" t="inlineStr"/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33996.87</v>
      </c>
      <c r="K27" s="2" t="n">
        <v>2829.924641666667</v>
      </c>
      <c r="L27" s="2" t="n">
        <v>31478.58333333333</v>
      </c>
      <c r="M27" s="2" t="n">
        <v>0</v>
      </c>
      <c r="N27" s="2" t="n">
        <v>32150.45</v>
      </c>
      <c r="O27" s="2" t="n">
        <v>1846.42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534.48</v>
      </c>
      <c r="AI27" s="2" t="n">
        <v>37.11666666666666</v>
      </c>
      <c r="AJ27" s="2" t="n">
        <v>494.8888888888889</v>
      </c>
      <c r="AK27" s="2" t="n">
        <v>0</v>
      </c>
      <c r="AL27" s="2" t="n">
        <v>534.48</v>
      </c>
      <c r="AM27" s="2" t="n">
        <v>0</v>
      </c>
      <c r="AN27" s="2" t="n">
        <v>1336.85</v>
      </c>
      <c r="AO27" s="2" t="n">
        <v>103.9772222222222</v>
      </c>
      <c r="AP27" s="2" t="n">
        <v>1237.824074074074</v>
      </c>
      <c r="AQ27" s="2" t="n">
        <v>0</v>
      </c>
      <c r="AR27" s="2" t="n">
        <v>1322.85</v>
      </c>
      <c r="AS27" s="2" t="n">
        <v>14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35868.2</v>
      </c>
      <c r="BA27" s="2" t="n">
        <v>35868.2</v>
      </c>
      <c r="BB27" s="2">
        <f>E27+K27+Q27+W27+AC27+AI27+AO27+AU27+IF(BC27="",0,BC27)</f>
        <v/>
      </c>
      <c r="BC27" s="2" t="n"/>
      <c r="BD27" s="2" t="n">
        <v>33211.2962962963</v>
      </c>
      <c r="BE27" s="2" t="n">
        <v>888.52</v>
      </c>
      <c r="BF27" s="2" t="n">
        <v>244.08</v>
      </c>
      <c r="BG27" s="2" t="n">
        <v>250.3346666666667</v>
      </c>
      <c r="BH27" s="2" t="n">
        <v>62.36983333333333</v>
      </c>
      <c r="BI27" s="2" t="n">
        <v>462.1969166666667</v>
      </c>
      <c r="BJ27" s="2" t="n">
        <v>150.5333333333333</v>
      </c>
      <c r="BK27" s="2" t="n">
        <v>0</v>
      </c>
      <c r="BL27" s="2" t="n">
        <v>77.71683333333334</v>
      </c>
      <c r="BM27" s="2" t="n">
        <v>208.0833333333333</v>
      </c>
      <c r="BN27" s="2" t="n">
        <v>552.3702800000001</v>
      </c>
      <c r="BO27" s="2" t="n">
        <v>0</v>
      </c>
      <c r="BP27" s="2" t="n">
        <v>2896.205196666667</v>
      </c>
      <c r="BQ27" s="2" t="n">
        <v>1168.6945</v>
      </c>
      <c r="BR27" s="2" t="n">
        <v>0</v>
      </c>
      <c r="BS27" s="2" t="n">
        <v>619.5833333333334</v>
      </c>
      <c r="BT27" s="2" t="n">
        <v>702.5058833333334</v>
      </c>
      <c r="BU27" s="2" t="n">
        <v>2490.783716666667</v>
      </c>
      <c r="BV27" s="2" t="n">
        <v>5386.988913333334</v>
      </c>
      <c r="BW27" s="2" t="n">
        <v>34007.78</v>
      </c>
      <c r="BX27" s="2" t="n">
        <v>1860.42</v>
      </c>
      <c r="BY27" s="2" t="n">
        <v>0</v>
      </c>
      <c r="BZ27" s="2" t="n">
        <v>35868.2</v>
      </c>
      <c r="CA27" s="2">
        <f>BB27-BV27</f>
        <v/>
      </c>
    </row>
    <row r="28">
      <c r="A28" t="n">
        <v>1127</v>
      </c>
      <c r="B28" t="inlineStr">
        <is>
          <t>Al. Jerozolimskie 54, 00-024 Warszawa</t>
        </is>
      </c>
      <c r="C28" t="inlineStr"/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22691.25</v>
      </c>
      <c r="K28" s="2" t="n">
        <v>1888.836458333333</v>
      </c>
      <c r="L28" s="2" t="n">
        <v>21010.41666666666</v>
      </c>
      <c r="M28" s="2" t="n">
        <v>0</v>
      </c>
      <c r="N28" s="2" t="n">
        <v>21170.71</v>
      </c>
      <c r="O28" s="2" t="n">
        <v>1520.54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561.89</v>
      </c>
      <c r="AI28" s="2" t="n">
        <v>39.02013888888889</v>
      </c>
      <c r="AJ28" s="2" t="n">
        <v>520.2685185185185</v>
      </c>
      <c r="AK28" s="2" t="n">
        <v>0</v>
      </c>
      <c r="AL28" s="2" t="n">
        <v>525.89</v>
      </c>
      <c r="AM28" s="2" t="n">
        <v>36</v>
      </c>
      <c r="AN28" s="2" t="n">
        <v>1333.3</v>
      </c>
      <c r="AO28" s="2" t="n">
        <v>103.7011111111111</v>
      </c>
      <c r="AP28" s="2" t="n">
        <v>1234.537037037037</v>
      </c>
      <c r="AQ28" s="2" t="n">
        <v>0</v>
      </c>
      <c r="AR28" s="2" t="n">
        <v>1237</v>
      </c>
      <c r="AS28" s="2" t="n">
        <v>96.3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24586.44</v>
      </c>
      <c r="BA28" s="2" t="n">
        <v>24586.44</v>
      </c>
      <c r="BB28" s="2">
        <f>E28+K28+Q28+W28+AC28+AI28+AO28+AU28+IF(BC28="",0,BC28)</f>
        <v/>
      </c>
      <c r="BC28" s="2" t="n"/>
      <c r="BD28" s="2" t="n">
        <v>22765.22222222222</v>
      </c>
      <c r="BE28" s="2" t="n">
        <v>888.5</v>
      </c>
      <c r="BF28" s="2" t="n">
        <v>244.08</v>
      </c>
      <c r="BG28" s="2" t="n">
        <v>250.3346666666667</v>
      </c>
      <c r="BH28" s="2" t="n">
        <v>62.36983333333333</v>
      </c>
      <c r="BI28" s="2" t="n">
        <v>462.1969166666667</v>
      </c>
      <c r="BJ28" s="2" t="n">
        <v>150.5333333333333</v>
      </c>
      <c r="BK28" s="2" t="n">
        <v>0</v>
      </c>
      <c r="BL28" s="2" t="n">
        <v>77.71683333333334</v>
      </c>
      <c r="BM28" s="2" t="n">
        <v>208.0833333333333</v>
      </c>
      <c r="BN28" s="2" t="n">
        <v>378.631176</v>
      </c>
      <c r="BO28" s="2" t="n">
        <v>0</v>
      </c>
      <c r="BP28" s="2" t="n">
        <v>2722.446092666667</v>
      </c>
      <c r="BQ28" s="2" t="n">
        <v>1168.6945</v>
      </c>
      <c r="BR28" s="2" t="n">
        <v>0</v>
      </c>
      <c r="BS28" s="2" t="n">
        <v>619.5833333333334</v>
      </c>
      <c r="BT28" s="2" t="n">
        <v>702.5018833333334</v>
      </c>
      <c r="BU28" s="2" t="n">
        <v>2490.779716666667</v>
      </c>
      <c r="BV28" s="2" t="n">
        <v>5213.225809333333</v>
      </c>
      <c r="BW28" s="2" t="n">
        <v>22933.6</v>
      </c>
      <c r="BX28" s="2" t="n">
        <v>1652.84</v>
      </c>
      <c r="BY28" s="2" t="n">
        <v>0</v>
      </c>
      <c r="BZ28" s="2" t="n">
        <v>24586.44</v>
      </c>
      <c r="CA28" s="2">
        <f>BB28-BV28</f>
        <v/>
      </c>
    </row>
    <row r="29">
      <c r="A29" t="n">
        <v>1128</v>
      </c>
      <c r="B29" t="inlineStr">
        <is>
          <t>Wojska Polskiego 109, 64-761 Krzyż Wielkopolski</t>
        </is>
      </c>
      <c r="C29" t="inlineStr"/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2918.28</v>
      </c>
      <c r="K29" s="2" t="n">
        <v>242.9197888888889</v>
      </c>
      <c r="L29" s="2" t="n">
        <v>2702.111111111111</v>
      </c>
      <c r="M29" s="2" t="n">
        <v>0</v>
      </c>
      <c r="N29" s="2" t="n">
        <v>2477.5</v>
      </c>
      <c r="O29" s="2" t="n">
        <v>440.78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422.67</v>
      </c>
      <c r="AC29" s="2" t="n">
        <v>27.39527777777777</v>
      </c>
      <c r="AD29" s="2" t="n">
        <v>391.361111111111</v>
      </c>
      <c r="AE29" s="2" t="n">
        <v>0</v>
      </c>
      <c r="AF29" s="2" t="n">
        <v>288.46</v>
      </c>
      <c r="AG29" s="2" t="n">
        <v>134.21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2389.29</v>
      </c>
      <c r="AO29" s="2" t="n">
        <v>185.8336666666667</v>
      </c>
      <c r="AP29" s="2" t="n">
        <v>2212.305555555555</v>
      </c>
      <c r="AQ29" s="2" t="n">
        <v>0</v>
      </c>
      <c r="AR29" s="2" t="n">
        <v>2156.97</v>
      </c>
      <c r="AS29" s="2" t="n">
        <v>232.32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5730.24</v>
      </c>
      <c r="BA29" s="2" t="n">
        <v>5730.24</v>
      </c>
      <c r="BB29" s="2">
        <f>E29+K29+Q29+W29+AC29+AI29+AO29+AU29+IF(BC29="",0,BC29)</f>
        <v/>
      </c>
      <c r="BC29" s="2" t="n"/>
      <c r="BD29" s="2" t="n">
        <v>5305.777777777777</v>
      </c>
      <c r="BE29" s="2" t="n">
        <v>518</v>
      </c>
      <c r="BF29" s="2" t="n">
        <v>352</v>
      </c>
      <c r="BG29" s="2" t="n">
        <v>250.3346666666667</v>
      </c>
      <c r="BH29" s="2" t="n">
        <v>62.36983333333333</v>
      </c>
      <c r="BI29" s="2" t="n">
        <v>462.1969166666667</v>
      </c>
      <c r="BJ29" s="2" t="n">
        <v>150.5333333333333</v>
      </c>
      <c r="BK29" s="2" t="n">
        <v>0</v>
      </c>
      <c r="BL29" s="2" t="n">
        <v>77.71683333333334</v>
      </c>
      <c r="BM29" s="2" t="n">
        <v>208.0833333333333</v>
      </c>
      <c r="BN29" s="2" t="n">
        <v>88.245696</v>
      </c>
      <c r="BO29" s="2" t="n">
        <v>0</v>
      </c>
      <c r="BP29" s="2" t="n">
        <v>2169.480612666667</v>
      </c>
      <c r="BQ29" s="2" t="n">
        <v>1168.6945</v>
      </c>
      <c r="BR29" s="2" t="n">
        <v>0</v>
      </c>
      <c r="BS29" s="2" t="n">
        <v>619.5833333333334</v>
      </c>
      <c r="BT29" s="2" t="n">
        <v>649.9858833333334</v>
      </c>
      <c r="BU29" s="2" t="n">
        <v>2438.263716666667</v>
      </c>
      <c r="BV29" s="2" t="n">
        <v>4607.744329333334</v>
      </c>
      <c r="BW29" s="2" t="n">
        <v>4922.93</v>
      </c>
      <c r="BX29" s="2" t="n">
        <v>807.3099999999999</v>
      </c>
      <c r="BY29" s="2" t="n">
        <v>0</v>
      </c>
      <c r="BZ29" s="2" t="n">
        <v>5730.24</v>
      </c>
      <c r="CA29" s="2">
        <f>BB29-BV29</f>
        <v/>
      </c>
    </row>
    <row r="30">
      <c r="A30" t="n">
        <v>1129</v>
      </c>
      <c r="B30" t="inlineStr">
        <is>
          <t>Dworcowa 1, 62-300 Września</t>
        </is>
      </c>
      <c r="C30" t="inlineStr"/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1212.25</v>
      </c>
      <c r="K30" s="2" t="n">
        <v>100.908587962963</v>
      </c>
      <c r="L30" s="2" t="n">
        <v>1122.453703703704</v>
      </c>
      <c r="M30" s="2" t="n">
        <v>0</v>
      </c>
      <c r="N30" s="2" t="n">
        <v>1014.17</v>
      </c>
      <c r="O30" s="2" t="n">
        <v>198.08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7582.19</v>
      </c>
      <c r="AC30" s="2" t="n">
        <v>491.4382407407408</v>
      </c>
      <c r="AD30" s="2" t="n">
        <v>7020.546296296296</v>
      </c>
      <c r="AE30" s="2" t="n">
        <v>0</v>
      </c>
      <c r="AF30" s="2" t="n">
        <v>7282.48</v>
      </c>
      <c r="AG30" s="2" t="n">
        <v>299.71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8794.439999999999</v>
      </c>
      <c r="BA30" s="2" t="n">
        <v>8794.439999999999</v>
      </c>
      <c r="BB30" s="2">
        <f>E30+K30+Q30+W30+AC30+AI30+AO30+AU30+IF(BC30="",0,BC30)</f>
        <v/>
      </c>
      <c r="BC30" s="2" t="n"/>
      <c r="BD30" s="2" t="n">
        <v>8142.999999999999</v>
      </c>
      <c r="BE30" s="2" t="n">
        <v>400</v>
      </c>
      <c r="BF30" s="2" t="n">
        <v>241.5</v>
      </c>
      <c r="BG30" s="2" t="n">
        <v>250.3346666666667</v>
      </c>
      <c r="BH30" s="2" t="n">
        <v>62.36983333333333</v>
      </c>
      <c r="BI30" s="2" t="n">
        <v>462.1969166666667</v>
      </c>
      <c r="BJ30" s="2" t="n">
        <v>150.5333333333333</v>
      </c>
      <c r="BK30" s="2" t="n">
        <v>0</v>
      </c>
      <c r="BL30" s="2" t="n">
        <v>77.71683333333334</v>
      </c>
      <c r="BM30" s="2" t="n">
        <v>208.0833333333333</v>
      </c>
      <c r="BN30" s="2" t="n">
        <v>135.434376</v>
      </c>
      <c r="BO30" s="2" t="n">
        <v>0</v>
      </c>
      <c r="BP30" s="2" t="n">
        <v>1988.169292666666</v>
      </c>
      <c r="BQ30" s="2" t="n">
        <v>1168.6945</v>
      </c>
      <c r="BR30" s="2" t="n">
        <v>0</v>
      </c>
      <c r="BS30" s="2" t="n">
        <v>619.5833333333334</v>
      </c>
      <c r="BT30" s="2" t="n">
        <v>604.2858833333333</v>
      </c>
      <c r="BU30" s="2" t="n">
        <v>2392.563716666667</v>
      </c>
      <c r="BV30" s="2" t="n">
        <v>4380.733009333333</v>
      </c>
      <c r="BW30" s="2" t="n">
        <v>8296.65</v>
      </c>
      <c r="BX30" s="2" t="n">
        <v>497.79</v>
      </c>
      <c r="BY30" s="2" t="n">
        <v>0</v>
      </c>
      <c r="BZ30" s="2" t="n">
        <v>8794.439999999999</v>
      </c>
      <c r="CA30" s="2">
        <f>BB30-BV30</f>
        <v/>
      </c>
    </row>
    <row r="31">
      <c r="A31" t="n">
        <v>1130</v>
      </c>
      <c r="B31" t="inlineStr">
        <is>
          <t>Plac Dworcowy 2, 64-300 Nowy Tomyśl</t>
        </is>
      </c>
      <c r="C31" t="inlineStr"/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1568.93</v>
      </c>
      <c r="K31" s="2" t="n">
        <v>130.5988953703704</v>
      </c>
      <c r="L31" s="2" t="n">
        <v>1452.712962962963</v>
      </c>
      <c r="M31" s="2" t="n">
        <v>0</v>
      </c>
      <c r="N31" s="2" t="n">
        <v>1395.16</v>
      </c>
      <c r="O31" s="2" t="n">
        <v>173.77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3293.63</v>
      </c>
      <c r="AC31" s="2" t="n">
        <v>213.4760185185185</v>
      </c>
      <c r="AD31" s="2" t="n">
        <v>3049.657407407407</v>
      </c>
      <c r="AE31" s="2" t="n">
        <v>0</v>
      </c>
      <c r="AF31" s="2" t="n">
        <v>2954.31</v>
      </c>
      <c r="AG31" s="2" t="n">
        <v>339.32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1255.66</v>
      </c>
      <c r="AO31" s="2" t="n">
        <v>97.66244444444445</v>
      </c>
      <c r="AP31" s="2" t="n">
        <v>1162.648148148148</v>
      </c>
      <c r="AQ31" s="2" t="n">
        <v>0</v>
      </c>
      <c r="AR31" s="2" t="n">
        <v>1076.34</v>
      </c>
      <c r="AS31" s="2" t="n">
        <v>179.32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6118.22</v>
      </c>
      <c r="BA31" s="2" t="n">
        <v>6118.22</v>
      </c>
      <c r="BB31" s="2">
        <f>E31+K31+Q31+W31+AC31+AI31+AO31+AU31+IF(BC31="",0,BC31)</f>
        <v/>
      </c>
      <c r="BC31" s="2" t="n"/>
      <c r="BD31" s="2" t="n">
        <v>5665.018518518518</v>
      </c>
      <c r="BE31" s="2" t="n">
        <v>362.81</v>
      </c>
      <c r="BF31" s="2" t="n">
        <v>246</v>
      </c>
      <c r="BG31" s="2" t="n">
        <v>250.3346666666667</v>
      </c>
      <c r="BH31" s="2" t="n">
        <v>62.36983333333333</v>
      </c>
      <c r="BI31" s="2" t="n">
        <v>462.1969166666667</v>
      </c>
      <c r="BJ31" s="2" t="n">
        <v>150.5333333333333</v>
      </c>
      <c r="BK31" s="2" t="n">
        <v>0</v>
      </c>
      <c r="BL31" s="2" t="n">
        <v>77.71683333333334</v>
      </c>
      <c r="BM31" s="2" t="n">
        <v>208.0833333333333</v>
      </c>
      <c r="BN31" s="2" t="n">
        <v>94.22058800000001</v>
      </c>
      <c r="BO31" s="2" t="n">
        <v>0</v>
      </c>
      <c r="BP31" s="2" t="n">
        <v>1914.265504666666</v>
      </c>
      <c r="BQ31" s="2" t="n">
        <v>1168.6945</v>
      </c>
      <c r="BR31" s="2" t="n">
        <v>0</v>
      </c>
      <c r="BS31" s="2" t="n">
        <v>619.5833333333334</v>
      </c>
      <c r="BT31" s="2" t="n">
        <v>597.7478833333333</v>
      </c>
      <c r="BU31" s="2" t="n">
        <v>2386.025716666667</v>
      </c>
      <c r="BV31" s="2" t="n">
        <v>4300.291221333333</v>
      </c>
      <c r="BW31" s="2" t="n">
        <v>5425.81</v>
      </c>
      <c r="BX31" s="2" t="n">
        <v>692.4100000000001</v>
      </c>
      <c r="BY31" s="2" t="n">
        <v>0</v>
      </c>
      <c r="BZ31" s="2" t="n">
        <v>6118.22</v>
      </c>
      <c r="CA31" s="2">
        <f>BB31-BV31</f>
        <v/>
      </c>
    </row>
    <row r="32">
      <c r="A32" t="n">
        <v>1131</v>
      </c>
      <c r="B32" t="inlineStr">
        <is>
          <t>Dworcowa 1, 64-000 Kościan</t>
        </is>
      </c>
      <c r="C32" t="inlineStr"/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2989.64</v>
      </c>
      <c r="K32" s="2" t="n">
        <v>248.8598481481481</v>
      </c>
      <c r="L32" s="2" t="n">
        <v>2768.185185185185</v>
      </c>
      <c r="M32" s="2" t="n">
        <v>0</v>
      </c>
      <c r="N32" s="2" t="n">
        <v>2795.85</v>
      </c>
      <c r="O32" s="2" t="n">
        <v>193.79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3391.47</v>
      </c>
      <c r="AC32" s="2" t="n">
        <v>219.8175</v>
      </c>
      <c r="AD32" s="2" t="n">
        <v>3140.25</v>
      </c>
      <c r="AE32" s="2" t="n">
        <v>0</v>
      </c>
      <c r="AF32" s="2" t="n">
        <v>3108.46</v>
      </c>
      <c r="AG32" s="2" t="n">
        <v>283.01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1842.81</v>
      </c>
      <c r="AO32" s="2" t="n">
        <v>143.3296666666667</v>
      </c>
      <c r="AP32" s="2" t="n">
        <v>1706.305555555555</v>
      </c>
      <c r="AQ32" s="2" t="n">
        <v>0</v>
      </c>
      <c r="AR32" s="2" t="n">
        <v>1737.19</v>
      </c>
      <c r="AS32" s="2" t="n">
        <v>105.62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8223.92</v>
      </c>
      <c r="BA32" s="2" t="n">
        <v>8223.92</v>
      </c>
      <c r="BB32" s="2">
        <f>E32+K32+Q32+W32+AC32+AI32+AO32+AU32+IF(BC32="",0,BC32)</f>
        <v/>
      </c>
      <c r="BC32" s="2" t="n"/>
      <c r="BD32" s="2" t="n">
        <v>7614.74074074074</v>
      </c>
      <c r="BE32" s="2" t="n">
        <v>300</v>
      </c>
      <c r="BF32" s="2" t="n">
        <v>340.5</v>
      </c>
      <c r="BG32" s="2" t="n">
        <v>250.3346666666667</v>
      </c>
      <c r="BH32" s="2" t="n">
        <v>62.36983333333333</v>
      </c>
      <c r="BI32" s="2" t="n">
        <v>462.1969166666667</v>
      </c>
      <c r="BJ32" s="2" t="n">
        <v>150.5333333333333</v>
      </c>
      <c r="BK32" s="2" t="n">
        <v>0</v>
      </c>
      <c r="BL32" s="2" t="n">
        <v>77.71683333333334</v>
      </c>
      <c r="BM32" s="2" t="n">
        <v>208.0833333333333</v>
      </c>
      <c r="BN32" s="2" t="n">
        <v>126.648368</v>
      </c>
      <c r="BO32" s="2" t="n">
        <v>0</v>
      </c>
      <c r="BP32" s="2" t="n">
        <v>1978.383284666666</v>
      </c>
      <c r="BQ32" s="2" t="n">
        <v>1168.6945</v>
      </c>
      <c r="BR32" s="2" t="n">
        <v>0</v>
      </c>
      <c r="BS32" s="2" t="n">
        <v>619.5833333333334</v>
      </c>
      <c r="BT32" s="2" t="n">
        <v>604.0858833333334</v>
      </c>
      <c r="BU32" s="2" t="n">
        <v>2392.363716666667</v>
      </c>
      <c r="BV32" s="2" t="n">
        <v>4370.747001333333</v>
      </c>
      <c r="BW32" s="2" t="n">
        <v>7641.5</v>
      </c>
      <c r="BX32" s="2" t="n">
        <v>582.42</v>
      </c>
      <c r="BY32" s="2" t="n">
        <v>0</v>
      </c>
      <c r="BZ32" s="2" t="n">
        <v>8223.92</v>
      </c>
      <c r="CA32" s="2">
        <f>BB32-BV32</f>
        <v/>
      </c>
    </row>
    <row r="33">
      <c r="A33" t="n">
        <v>1132</v>
      </c>
      <c r="B33" t="inlineStr">
        <is>
          <t>Dworcowa 1, 63-900 Rawicz</t>
        </is>
      </c>
      <c r="C33" t="inlineStr"/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2318.48</v>
      </c>
      <c r="K33" s="2" t="n">
        <v>192.9919925925926</v>
      </c>
      <c r="L33" s="2" t="n">
        <v>2146.74074074074</v>
      </c>
      <c r="M33" s="2" t="n">
        <v>0</v>
      </c>
      <c r="N33" s="2" t="n">
        <v>2168.78</v>
      </c>
      <c r="O33" s="2" t="n">
        <v>149.7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236.64</v>
      </c>
      <c r="AC33" s="2" t="n">
        <v>15.33777777777778</v>
      </c>
      <c r="AD33" s="2" t="n">
        <v>219.1111111111111</v>
      </c>
      <c r="AE33" s="2" t="n">
        <v>0</v>
      </c>
      <c r="AF33" s="2" t="n">
        <v>202.84</v>
      </c>
      <c r="AG33" s="2" t="n">
        <v>33.8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1227.27</v>
      </c>
      <c r="AO33" s="2" t="n">
        <v>95.45433333333334</v>
      </c>
      <c r="AP33" s="2" t="n">
        <v>1136.361111111111</v>
      </c>
      <c r="AQ33" s="2" t="n">
        <v>0</v>
      </c>
      <c r="AR33" s="2" t="n">
        <v>1184.79</v>
      </c>
      <c r="AS33" s="2" t="n">
        <v>42.48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3782.39</v>
      </c>
      <c r="BA33" s="2" t="n">
        <v>3782.39</v>
      </c>
      <c r="BB33" s="2">
        <f>E33+K33+Q33+W33+AC33+AI33+AO33+AU33+IF(BC33="",0,BC33)</f>
        <v/>
      </c>
      <c r="BC33" s="2" t="n"/>
      <c r="BD33" s="2" t="n">
        <v>3502.212962962963</v>
      </c>
      <c r="BE33" s="2" t="n">
        <v>250</v>
      </c>
      <c r="BF33" s="2" t="n">
        <v>178</v>
      </c>
      <c r="BG33" s="2" t="n">
        <v>250.3346666666667</v>
      </c>
      <c r="BH33" s="2" t="n">
        <v>62.36983333333333</v>
      </c>
      <c r="BI33" s="2" t="n">
        <v>462.1969166666667</v>
      </c>
      <c r="BJ33" s="2" t="n">
        <v>150.5333333333333</v>
      </c>
      <c r="BK33" s="2" t="n">
        <v>0</v>
      </c>
      <c r="BL33" s="2" t="n">
        <v>77.71683333333334</v>
      </c>
      <c r="BM33" s="2" t="n">
        <v>208.0833333333333</v>
      </c>
      <c r="BN33" s="2" t="n">
        <v>58.248806</v>
      </c>
      <c r="BO33" s="2" t="n">
        <v>0</v>
      </c>
      <c r="BP33" s="2" t="n">
        <v>1697.483722666667</v>
      </c>
      <c r="BQ33" s="2" t="n">
        <v>1168.6945</v>
      </c>
      <c r="BR33" s="2" t="n">
        <v>0</v>
      </c>
      <c r="BS33" s="2" t="n">
        <v>619.5833333333334</v>
      </c>
      <c r="BT33" s="2" t="n">
        <v>561.5858833333334</v>
      </c>
      <c r="BU33" s="2" t="n">
        <v>2349.863716666667</v>
      </c>
      <c r="BV33" s="2" t="n">
        <v>4047.347439333334</v>
      </c>
      <c r="BW33" s="2" t="n">
        <v>3556.41</v>
      </c>
      <c r="BX33" s="2" t="n">
        <v>225.98</v>
      </c>
      <c r="BY33" s="2" t="n">
        <v>0</v>
      </c>
      <c r="BZ33" s="2" t="n">
        <v>3782.39</v>
      </c>
      <c r="CA33" s="2">
        <f>BB33-BV33</f>
        <v/>
      </c>
    </row>
    <row r="34">
      <c r="A34" t="n">
        <v>1133</v>
      </c>
      <c r="B34" t="inlineStr">
        <is>
          <t>Kolejowa 1, 62-069 Palędzie</t>
        </is>
      </c>
      <c r="C34" t="inlineStr"/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4824.85</v>
      </c>
      <c r="AC34" s="2" t="n">
        <v>312.7217592592593</v>
      </c>
      <c r="AD34" s="2" t="n">
        <v>4467.453703703703</v>
      </c>
      <c r="AE34" s="2" t="n">
        <v>0</v>
      </c>
      <c r="AF34" s="2" t="n">
        <v>4305.54</v>
      </c>
      <c r="AG34" s="2" t="n">
        <v>519.3099999999999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1233.28</v>
      </c>
      <c r="AO34" s="2" t="n">
        <v>95.92177777777778</v>
      </c>
      <c r="AP34" s="2" t="n">
        <v>1141.925925925926</v>
      </c>
      <c r="AQ34" s="2" t="n">
        <v>0</v>
      </c>
      <c r="AR34" s="2" t="n">
        <v>1096.72</v>
      </c>
      <c r="AS34" s="2" t="n">
        <v>136.56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6058.13</v>
      </c>
      <c r="BA34" s="2" t="n">
        <v>6058.13</v>
      </c>
      <c r="BB34" s="2">
        <f>E34+K34+Q34+W34+AC34+AI34+AO34+AU34+IF(BC34="",0,BC34)</f>
        <v/>
      </c>
      <c r="BC34" s="2" t="n"/>
      <c r="BD34" s="2" t="n">
        <v>5609.37962962963</v>
      </c>
      <c r="BE34" s="2" t="n">
        <v>0</v>
      </c>
      <c r="BF34" s="2" t="n">
        <v>0</v>
      </c>
      <c r="BG34" s="2" t="n">
        <v>250.3346666666667</v>
      </c>
      <c r="BH34" s="2" t="n">
        <v>62.36983333333333</v>
      </c>
      <c r="BI34" s="2" t="n">
        <v>462.1969166666667</v>
      </c>
      <c r="BJ34" s="2" t="n">
        <v>150.5333333333333</v>
      </c>
      <c r="BK34" s="2" t="n">
        <v>0</v>
      </c>
      <c r="BL34" s="2" t="n">
        <v>77.71683333333334</v>
      </c>
      <c r="BM34" s="2" t="n">
        <v>208.0833333333333</v>
      </c>
      <c r="BN34" s="2" t="n">
        <v>93.29520200000002</v>
      </c>
      <c r="BO34" s="2" t="n">
        <v>0</v>
      </c>
      <c r="BP34" s="2" t="n">
        <v>1304.530118666667</v>
      </c>
      <c r="BQ34" s="2" t="n">
        <v>1168.6945</v>
      </c>
      <c r="BR34" s="2" t="n">
        <v>0</v>
      </c>
      <c r="BS34" s="2" t="n">
        <v>619.5833333333334</v>
      </c>
      <c r="BT34" s="2" t="n">
        <v>475.9858833333334</v>
      </c>
      <c r="BU34" s="2" t="n">
        <v>2264.263716666667</v>
      </c>
      <c r="BV34" s="2" t="n">
        <v>3568.793835333333</v>
      </c>
      <c r="BW34" s="2" t="n">
        <v>5402.26</v>
      </c>
      <c r="BX34" s="2" t="n">
        <v>655.8699999999999</v>
      </c>
      <c r="BY34" s="2" t="n">
        <v>0</v>
      </c>
      <c r="BZ34" s="2" t="n">
        <v>6058.13</v>
      </c>
      <c r="CA34" s="2">
        <f>BB34-BV34</f>
        <v/>
      </c>
    </row>
    <row r="35">
      <c r="A35" t="n">
        <v>1134</v>
      </c>
      <c r="B35" t="inlineStr">
        <is>
          <t>Dworcowa 1, 64-800 Chodzież</t>
        </is>
      </c>
      <c r="C35" t="inlineStr"/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2171.11</v>
      </c>
      <c r="K35" s="2" t="n">
        <v>180.7248046296296</v>
      </c>
      <c r="L35" s="2" t="n">
        <v>2010.287037037036</v>
      </c>
      <c r="M35" s="2" t="n">
        <v>0</v>
      </c>
      <c r="N35" s="2" t="n">
        <v>1856.62</v>
      </c>
      <c r="O35" s="2" t="n">
        <v>314.49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3269.03</v>
      </c>
      <c r="AC35" s="2" t="n">
        <v>211.8815740740741</v>
      </c>
      <c r="AD35" s="2" t="n">
        <v>3026.879629629629</v>
      </c>
      <c r="AE35" s="2" t="n">
        <v>0</v>
      </c>
      <c r="AF35" s="2" t="n">
        <v>2880.43</v>
      </c>
      <c r="AG35" s="2" t="n">
        <v>388.6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2355.03</v>
      </c>
      <c r="AO35" s="2" t="n">
        <v>183.169</v>
      </c>
      <c r="AP35" s="2" t="n">
        <v>2180.583333333333</v>
      </c>
      <c r="AQ35" s="2" t="n">
        <v>0</v>
      </c>
      <c r="AR35" s="2" t="n">
        <v>2168.53</v>
      </c>
      <c r="AS35" s="2" t="n">
        <v>186.5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7795.17</v>
      </c>
      <c r="BA35" s="2" t="n">
        <v>7795.17</v>
      </c>
      <c r="BB35" s="2">
        <f>E35+K35+Q35+W35+AC35+AI35+AO35+AU35+IF(BC35="",0,BC35)</f>
        <v/>
      </c>
      <c r="BC35" s="2" t="n"/>
      <c r="BD35" s="2" t="n">
        <v>7217.75</v>
      </c>
      <c r="BE35" s="2" t="n">
        <v>300</v>
      </c>
      <c r="BF35" s="2" t="n">
        <v>225</v>
      </c>
      <c r="BG35" s="2" t="n">
        <v>250.3346666666667</v>
      </c>
      <c r="BH35" s="2" t="n">
        <v>62.36983333333333</v>
      </c>
      <c r="BI35" s="2" t="n">
        <v>462.1969166666667</v>
      </c>
      <c r="BJ35" s="2" t="n">
        <v>150.5333333333333</v>
      </c>
      <c r="BK35" s="2" t="n">
        <v>0</v>
      </c>
      <c r="BL35" s="2" t="n">
        <v>77.71683333333334</v>
      </c>
      <c r="BM35" s="2" t="n">
        <v>208.0833333333333</v>
      </c>
      <c r="BN35" s="2" t="n">
        <v>120.045618</v>
      </c>
      <c r="BO35" s="2" t="n">
        <v>0</v>
      </c>
      <c r="BP35" s="2" t="n">
        <v>1856.280534666666</v>
      </c>
      <c r="BQ35" s="2" t="n">
        <v>1168.6945</v>
      </c>
      <c r="BR35" s="2" t="n">
        <v>0</v>
      </c>
      <c r="BS35" s="2" t="n">
        <v>619.5833333333334</v>
      </c>
      <c r="BT35" s="2" t="n">
        <v>580.9858833333334</v>
      </c>
      <c r="BU35" s="2" t="n">
        <v>2369.263716666667</v>
      </c>
      <c r="BV35" s="2" t="n">
        <v>4225.544251333333</v>
      </c>
      <c r="BW35" s="2" t="n">
        <v>6905.58</v>
      </c>
      <c r="BX35" s="2" t="n">
        <v>889.59</v>
      </c>
      <c r="BY35" s="2" t="n">
        <v>0</v>
      </c>
      <c r="BZ35" s="2" t="n">
        <v>7795.17</v>
      </c>
      <c r="CA35" s="2">
        <f>BB35-BV35</f>
        <v/>
      </c>
    </row>
    <row r="36">
      <c r="A36" t="n">
        <v>1135</v>
      </c>
      <c r="B36" t="inlineStr">
        <is>
          <t>Plac Niepodlełśości 1, 25-506 Kielce</t>
        </is>
      </c>
      <c r="C36" t="inlineStr"/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4464.08</v>
      </c>
      <c r="K36" s="2" t="n">
        <v>371.5933259259259</v>
      </c>
      <c r="L36" s="2" t="n">
        <v>4133.407407407407</v>
      </c>
      <c r="M36" s="2" t="n">
        <v>0</v>
      </c>
      <c r="N36" s="2" t="n">
        <v>4240.05</v>
      </c>
      <c r="O36" s="2" t="n">
        <v>224.03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7434.28</v>
      </c>
      <c r="AO36" s="2" t="n">
        <v>578.2217777777778</v>
      </c>
      <c r="AP36" s="2" t="n">
        <v>6883.592592592592</v>
      </c>
      <c r="AQ36" s="2" t="n">
        <v>0</v>
      </c>
      <c r="AR36" s="2" t="n">
        <v>6802.62</v>
      </c>
      <c r="AS36" s="2" t="n">
        <v>631.66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11898.36</v>
      </c>
      <c r="BA36" s="2" t="n">
        <v>11898.36</v>
      </c>
      <c r="BB36" s="2">
        <f>E36+K36+Q36+W36+AC36+AI36+AO36+AU36+IF(BC36="",0,BC36)</f>
        <v/>
      </c>
      <c r="BC36" s="2" t="n"/>
      <c r="BD36" s="2" t="n">
        <v>11017</v>
      </c>
      <c r="BE36" s="2" t="n">
        <v>0</v>
      </c>
      <c r="BF36" s="2" t="n">
        <v>0</v>
      </c>
      <c r="BG36" s="2" t="n">
        <v>250.3346666666667</v>
      </c>
      <c r="BH36" s="2" t="n">
        <v>62.36983333333333</v>
      </c>
      <c r="BI36" s="2" t="n">
        <v>462.1969166666667</v>
      </c>
      <c r="BJ36" s="2" t="n">
        <v>150.5333333333333</v>
      </c>
      <c r="BK36" s="2" t="n">
        <v>0</v>
      </c>
      <c r="BL36" s="2" t="n">
        <v>77.71683333333334</v>
      </c>
      <c r="BM36" s="2" t="n">
        <v>208.0833333333333</v>
      </c>
      <c r="BN36" s="2" t="n">
        <v>183.234744</v>
      </c>
      <c r="BO36" s="2" t="n">
        <v>0</v>
      </c>
      <c r="BP36" s="2" t="n">
        <v>1394.469660666667</v>
      </c>
      <c r="BQ36" s="2" t="n">
        <v>1168.6945</v>
      </c>
      <c r="BR36" s="2" t="n">
        <v>0</v>
      </c>
      <c r="BS36" s="2" t="n">
        <v>619.5833333333334</v>
      </c>
      <c r="BT36" s="2" t="n">
        <v>475.9858833333334</v>
      </c>
      <c r="BU36" s="2" t="n">
        <v>2264.263716666667</v>
      </c>
      <c r="BV36" s="2" t="n">
        <v>3658.733377333333</v>
      </c>
      <c r="BW36" s="2" t="n">
        <v>11042.67</v>
      </c>
      <c r="BX36" s="2" t="n">
        <v>855.6899999999999</v>
      </c>
      <c r="BY36" s="2" t="n">
        <v>0</v>
      </c>
      <c r="BZ36" s="2" t="n">
        <v>11898.36</v>
      </c>
      <c r="CA36" s="2">
        <f>BB36-BV36</f>
        <v/>
      </c>
    </row>
    <row r="37">
      <c r="A37" t="n">
        <v>1136</v>
      </c>
      <c r="B37" t="inlineStr">
        <is>
          <t>Poniatowskiego 29, 32-700 Bochnia</t>
        </is>
      </c>
      <c r="C37" t="inlineStr"/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2890.68</v>
      </c>
      <c r="K37" s="2" t="n">
        <v>240.6223444444444</v>
      </c>
      <c r="L37" s="2" t="n">
        <v>2676.555555555555</v>
      </c>
      <c r="M37" s="2" t="n">
        <v>0</v>
      </c>
      <c r="N37" s="2" t="n">
        <v>2890.68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5676.13</v>
      </c>
      <c r="W37" s="2" t="n">
        <v>250</v>
      </c>
      <c r="X37" s="2" t="n">
        <v>5255.675925925926</v>
      </c>
      <c r="Y37" s="2" t="n">
        <v>0</v>
      </c>
      <c r="Z37" s="2" t="n">
        <v>5676.13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2790.99</v>
      </c>
      <c r="AO37" s="2" t="n">
        <v>217.077</v>
      </c>
      <c r="AP37" s="2" t="n">
        <v>2584.25</v>
      </c>
      <c r="AQ37" s="2" t="n">
        <v>0</v>
      </c>
      <c r="AR37" s="2" t="n">
        <v>2790.99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11357.8</v>
      </c>
      <c r="BA37" s="2" t="n">
        <v>11357.8</v>
      </c>
      <c r="BB37" s="2">
        <f>E37+K37+Q37+W37+AC37+AI37+AO37+AU37+IF(BC37="",0,BC37)</f>
        <v/>
      </c>
      <c r="BC37" s="2" t="n"/>
      <c r="BD37" s="2" t="n">
        <v>10516.48148148148</v>
      </c>
      <c r="BE37" s="2" t="n">
        <v>0</v>
      </c>
      <c r="BF37" s="2" t="n">
        <v>0</v>
      </c>
      <c r="BG37" s="2" t="n">
        <v>250.3346666666667</v>
      </c>
      <c r="BH37" s="2" t="n">
        <v>62.36983333333333</v>
      </c>
      <c r="BI37" s="2" t="n">
        <v>462.1969166666667</v>
      </c>
      <c r="BJ37" s="2" t="n">
        <v>150.5333333333333</v>
      </c>
      <c r="BK37" s="2" t="n">
        <v>0</v>
      </c>
      <c r="BL37" s="2" t="n">
        <v>77.71683333333334</v>
      </c>
      <c r="BM37" s="2" t="n">
        <v>208.0833333333333</v>
      </c>
      <c r="BN37" s="2" t="n">
        <v>164.125473</v>
      </c>
      <c r="BO37" s="2" t="n">
        <v>0</v>
      </c>
      <c r="BP37" s="2" t="n">
        <v>1375.360389666667</v>
      </c>
      <c r="BQ37" s="2" t="n">
        <v>1168.6945</v>
      </c>
      <c r="BR37" s="2" t="n">
        <v>0</v>
      </c>
      <c r="BS37" s="2" t="n">
        <v>619.5833333333334</v>
      </c>
      <c r="BT37" s="2" t="n">
        <v>475.9858833333334</v>
      </c>
      <c r="BU37" s="2" t="n">
        <v>2264.263716666667</v>
      </c>
      <c r="BV37" s="2" t="n">
        <v>3639.624106333334</v>
      </c>
      <c r="BW37" s="2" t="n">
        <v>11357.8</v>
      </c>
      <c r="BX37" s="2" t="n">
        <v>0</v>
      </c>
      <c r="BY37" s="2" t="n">
        <v>0</v>
      </c>
      <c r="BZ37" s="2" t="n">
        <v>11357.8</v>
      </c>
      <c r="CA37" s="2">
        <f>BB37-BV37</f>
        <v/>
      </c>
    </row>
    <row r="38">
      <c r="A38" t="n">
        <v>1137</v>
      </c>
      <c r="B38" t="inlineStr">
        <is>
          <t>Piotrowo 3, 60-965 Poznań</t>
        </is>
      </c>
      <c r="C38" t="inlineStr"/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119.78</v>
      </c>
      <c r="K38" s="2" t="n">
        <v>9.970575925925926</v>
      </c>
      <c r="L38" s="2" t="n">
        <v>110.9074074074074</v>
      </c>
      <c r="M38" s="2" t="n">
        <v>0</v>
      </c>
      <c r="N38" s="2" t="n">
        <v>119.78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33.52</v>
      </c>
      <c r="AC38" s="2" t="n">
        <v>2.172592592592593</v>
      </c>
      <c r="AD38" s="2" t="n">
        <v>31.03703703703704</v>
      </c>
      <c r="AE38" s="2" t="n">
        <v>0</v>
      </c>
      <c r="AF38" s="2" t="n">
        <v>33.52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67.48</v>
      </c>
      <c r="AO38" s="2" t="n">
        <v>5.248444444444445</v>
      </c>
      <c r="AP38" s="2" t="n">
        <v>62.48148148148148</v>
      </c>
      <c r="AQ38" s="2" t="n">
        <v>0</v>
      </c>
      <c r="AR38" s="2" t="n">
        <v>67.48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220.78</v>
      </c>
      <c r="BA38" s="2" t="n">
        <v>220.78</v>
      </c>
      <c r="BB38" s="2">
        <f>E38+K38+Q38+W38+AC38+AI38+AO38+AU38+IF(BC38="",0,BC38)</f>
        <v/>
      </c>
      <c r="BC38" s="2" t="n"/>
      <c r="BD38" s="2" t="n">
        <v>204.4259259259259</v>
      </c>
      <c r="BE38" s="2" t="n">
        <v>250</v>
      </c>
      <c r="BF38" s="2" t="n">
        <v>0</v>
      </c>
      <c r="BG38" s="2" t="n">
        <v>250.3346666666667</v>
      </c>
      <c r="BH38" s="2" t="n">
        <v>62.36983333333333</v>
      </c>
      <c r="BI38" s="2" t="n">
        <v>462.1969166666667</v>
      </c>
      <c r="BJ38" s="2" t="n">
        <v>150.5333333333333</v>
      </c>
      <c r="BK38" s="2" t="n">
        <v>0</v>
      </c>
      <c r="BL38" s="2" t="n">
        <v>77.71683333333334</v>
      </c>
      <c r="BM38" s="2" t="n">
        <v>208.0833333333333</v>
      </c>
      <c r="BN38" s="2" t="n">
        <v>3.400012</v>
      </c>
      <c r="BO38" s="2" t="n">
        <v>0</v>
      </c>
      <c r="BP38" s="2" t="n">
        <v>1464.634928666667</v>
      </c>
      <c r="BQ38" s="2" t="n">
        <v>1168.6945</v>
      </c>
      <c r="BR38" s="2" t="n">
        <v>0</v>
      </c>
      <c r="BS38" s="2" t="n">
        <v>619.5833333333334</v>
      </c>
      <c r="BT38" s="2" t="n">
        <v>525.9858833333334</v>
      </c>
      <c r="BU38" s="2" t="n">
        <v>2314.263716666667</v>
      </c>
      <c r="BV38" s="2" t="n">
        <v>3778.898645333334</v>
      </c>
      <c r="BW38" s="2" t="n">
        <v>220.78</v>
      </c>
      <c r="BX38" s="2" t="n">
        <v>0</v>
      </c>
      <c r="BY38" s="2" t="n">
        <v>0</v>
      </c>
      <c r="BZ38" s="2" t="n">
        <v>220.78</v>
      </c>
      <c r="CA38" s="2">
        <f>BB38-BV38</f>
        <v/>
      </c>
    </row>
    <row r="39">
      <c r="A39" t="n">
        <v>1138</v>
      </c>
      <c r="B39" t="inlineStr">
        <is>
          <t>Plac Dworcowy 1, 35-201 Rzeszów</t>
        </is>
      </c>
      <c r="C39" t="inlineStr"/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9200.4</v>
      </c>
      <c r="K39" s="2" t="n">
        <v>765.8481111111112</v>
      </c>
      <c r="L39" s="2" t="n">
        <v>8518.888888888889</v>
      </c>
      <c r="M39" s="2" t="n">
        <v>0</v>
      </c>
      <c r="N39" s="2" t="n">
        <v>9200.4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16496.47</v>
      </c>
      <c r="AO39" s="2" t="n">
        <v>1283.058777777778</v>
      </c>
      <c r="AP39" s="2" t="n">
        <v>15274.50925925926</v>
      </c>
      <c r="AQ39" s="2" t="n">
        <v>0</v>
      </c>
      <c r="AR39" s="2" t="n">
        <v>16496.47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25696.87</v>
      </c>
      <c r="BA39" s="2" t="n">
        <v>25696.87</v>
      </c>
      <c r="BB39" s="2">
        <f>E39+K39+Q39+W39+AC39+AI39+AO39+AU39+IF(BC39="",0,BC39)</f>
        <v/>
      </c>
      <c r="BC39" s="2" t="n"/>
      <c r="BD39" s="2" t="n">
        <v>23793.39814814815</v>
      </c>
      <c r="BE39" s="2" t="n">
        <v>0</v>
      </c>
      <c r="BF39" s="2" t="n">
        <v>0</v>
      </c>
      <c r="BG39" s="2" t="n">
        <v>250.3346666666667</v>
      </c>
      <c r="BH39" s="2" t="n">
        <v>62.36983333333333</v>
      </c>
      <c r="BI39" s="2" t="n">
        <v>462.1969166666667</v>
      </c>
      <c r="BJ39" s="2" t="n">
        <v>150.5333333333333</v>
      </c>
      <c r="BK39" s="2" t="n">
        <v>0</v>
      </c>
      <c r="BL39" s="2" t="n">
        <v>77.71683333333334</v>
      </c>
      <c r="BM39" s="2" t="n">
        <v>208.0833333333333</v>
      </c>
      <c r="BN39" s="2" t="n">
        <v>395.731798</v>
      </c>
      <c r="BO39" s="2" t="n">
        <v>0</v>
      </c>
      <c r="BP39" s="2" t="n">
        <v>1606.966714666667</v>
      </c>
      <c r="BQ39" s="2" t="n">
        <v>1168.6945</v>
      </c>
      <c r="BR39" s="2" t="n">
        <v>0</v>
      </c>
      <c r="BS39" s="2" t="n">
        <v>619.5833333333334</v>
      </c>
      <c r="BT39" s="2" t="n">
        <v>475.9858833333334</v>
      </c>
      <c r="BU39" s="2" t="n">
        <v>2264.263716666667</v>
      </c>
      <c r="BV39" s="2" t="n">
        <v>3871.230431333333</v>
      </c>
      <c r="BW39" s="2" t="n">
        <v>25696.87</v>
      </c>
      <c r="BX39" s="2" t="n">
        <v>0</v>
      </c>
      <c r="BY39" s="2" t="n">
        <v>0</v>
      </c>
      <c r="BZ39" s="2" t="n">
        <v>25696.87</v>
      </c>
      <c r="CA39" s="2">
        <f>BB39-BV39</f>
        <v/>
      </c>
    </row>
    <row r="40">
      <c r="A40" t="n">
        <v>1141</v>
      </c>
      <c r="B40" t="inlineStr">
        <is>
          <t>WARZACH</t>
        </is>
      </c>
      <c r="C40" t="inlineStr"/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>
        <f>E40+K40+Q40+W40+AC40+AI40+AO40+AU40+IF(BC40="",0,BC40)</f>
        <v/>
      </c>
      <c r="BC40" s="2" t="n"/>
      <c r="BD40" s="2" t="n">
        <v>0</v>
      </c>
      <c r="BE40" s="2" t="n">
        <v>0</v>
      </c>
      <c r="BF40" s="2" t="n">
        <v>0</v>
      </c>
      <c r="BG40" s="2" t="n">
        <v>250.3346666666667</v>
      </c>
      <c r="BH40" s="2" t="n">
        <v>62.36983333333333</v>
      </c>
      <c r="BI40" s="2" t="n">
        <v>462.1969166666667</v>
      </c>
      <c r="BJ40" s="2" t="n">
        <v>150.5333333333333</v>
      </c>
      <c r="BK40" s="2" t="n">
        <v>0</v>
      </c>
      <c r="BL40" s="2" t="n">
        <v>77.71683333333334</v>
      </c>
      <c r="BM40" s="2" t="n">
        <v>208.0833333333333</v>
      </c>
      <c r="BN40" s="2" t="n">
        <v>0</v>
      </c>
      <c r="BO40" s="2" t="n">
        <v>0</v>
      </c>
      <c r="BP40" s="2" t="n">
        <v>1211.234916666667</v>
      </c>
      <c r="BQ40" s="2" t="n">
        <v>1168.6945</v>
      </c>
      <c r="BR40" s="2" t="n">
        <v>0</v>
      </c>
      <c r="BS40" s="2" t="n">
        <v>619.5833333333334</v>
      </c>
      <c r="BT40" s="2" t="n">
        <v>475.9858833333334</v>
      </c>
      <c r="BU40" s="2" t="n">
        <v>2264.263716666667</v>
      </c>
      <c r="BV40" s="2" t="n">
        <v>3475.498633333334</v>
      </c>
      <c r="BW40" s="2" t="n">
        <v>0</v>
      </c>
      <c r="BX40" s="2" t="n">
        <v>0</v>
      </c>
      <c r="BY40" s="2" t="n">
        <v>0</v>
      </c>
      <c r="BZ40" s="2" t="n">
        <v>0</v>
      </c>
      <c r="CA40" s="2">
        <f>BB40-BV40</f>
        <v/>
      </c>
    </row>
    <row r="41">
      <c r="A41" t="n">
        <v>1203</v>
      </c>
      <c r="B41" t="inlineStr">
        <is>
          <t>Piłsudskiego 105, 50-085 Wrocław</t>
        </is>
      </c>
      <c r="C41" t="inlineStr"/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19068.93</v>
      </c>
      <c r="K41" s="2" t="n">
        <v>1587.311858333333</v>
      </c>
      <c r="L41" s="2" t="n">
        <v>17656.41666666666</v>
      </c>
      <c r="M41" s="2" t="n">
        <v>4440.38</v>
      </c>
      <c r="N41" s="2" t="n">
        <v>13665.66</v>
      </c>
      <c r="O41" s="2" t="n">
        <v>962.89</v>
      </c>
      <c r="P41" s="2" t="n">
        <v>24472.87</v>
      </c>
      <c r="Q41" s="2" t="n">
        <v>1600</v>
      </c>
      <c r="R41" s="2" t="n">
        <v>22660.06481481482</v>
      </c>
      <c r="S41" s="2" t="n">
        <v>6215.34</v>
      </c>
      <c r="T41" s="2" t="n">
        <v>17496.31</v>
      </c>
      <c r="U41" s="2" t="n">
        <v>761.22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9188.800000000001</v>
      </c>
      <c r="AO41" s="2" t="n">
        <v>714.6844444444445</v>
      </c>
      <c r="AP41" s="2" t="n">
        <v>8508.148148148148</v>
      </c>
      <c r="AQ41" s="2" t="n">
        <v>1921.92</v>
      </c>
      <c r="AR41" s="2" t="n">
        <v>6966.21</v>
      </c>
      <c r="AS41" s="2" t="n">
        <v>300.67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52730.60000000001</v>
      </c>
      <c r="BA41" s="2" t="n">
        <v>40152.96</v>
      </c>
      <c r="BB41" s="2">
        <f>E41+K41+Q41+W41+AC41+AI41+AO41+AU41+IF(BC41="",0,BC41)</f>
        <v/>
      </c>
      <c r="BC41" s="2" t="n"/>
      <c r="BD41" s="2" t="n">
        <v>48824.62962962963</v>
      </c>
      <c r="BE41" s="2" t="n">
        <v>0</v>
      </c>
      <c r="BF41" s="2" t="n">
        <v>0</v>
      </c>
      <c r="BG41" s="2" t="n">
        <v>250.3346666666667</v>
      </c>
      <c r="BH41" s="2" t="n">
        <v>62.36983333333333</v>
      </c>
      <c r="BI41" s="2" t="n">
        <v>462.1969166666667</v>
      </c>
      <c r="BJ41" s="2" t="n">
        <v>150.5333333333333</v>
      </c>
      <c r="BK41" s="2" t="n">
        <v>0</v>
      </c>
      <c r="BL41" s="2" t="n">
        <v>77.71683333333334</v>
      </c>
      <c r="BM41" s="2" t="n">
        <v>208.0833333333333</v>
      </c>
      <c r="BN41" s="2" t="n">
        <v>618.355584</v>
      </c>
      <c r="BO41" s="2" t="n">
        <v>0</v>
      </c>
      <c r="BP41" s="2" t="n">
        <v>1829.590500666667</v>
      </c>
      <c r="BQ41" s="2" t="n">
        <v>1168.6945</v>
      </c>
      <c r="BR41" s="2" t="n">
        <v>0</v>
      </c>
      <c r="BS41" s="2" t="n">
        <v>619.5833333333334</v>
      </c>
      <c r="BT41" s="2" t="n">
        <v>475.9858833333334</v>
      </c>
      <c r="BU41" s="2" t="n">
        <v>2264.263716666667</v>
      </c>
      <c r="BV41" s="2" t="n">
        <v>4093.854217333334</v>
      </c>
      <c r="BW41" s="2" t="n">
        <v>38128.18</v>
      </c>
      <c r="BX41" s="2" t="n">
        <v>2024.78</v>
      </c>
      <c r="BY41" s="2" t="n">
        <v>12577.64</v>
      </c>
      <c r="BZ41" s="2" t="n">
        <v>40152.96</v>
      </c>
      <c r="CA41" s="2">
        <f>BB41-BV41</f>
        <v/>
      </c>
    </row>
    <row r="42">
      <c r="A42" t="n">
        <v>1204</v>
      </c>
      <c r="B42" t="inlineStr">
        <is>
          <t>Piłsudskiego 105, 50-085 Wrocław</t>
        </is>
      </c>
      <c r="C42" t="inlineStr"/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5721.67</v>
      </c>
      <c r="K42" s="2" t="n">
        <v>476.2760490740741</v>
      </c>
      <c r="L42" s="2" t="n">
        <v>5297.842592592592</v>
      </c>
      <c r="M42" s="2" t="n">
        <v>993.35</v>
      </c>
      <c r="N42" s="2" t="n">
        <v>4563.19</v>
      </c>
      <c r="O42" s="2" t="n">
        <v>165.13</v>
      </c>
      <c r="P42" s="2" t="n">
        <v>19132.17</v>
      </c>
      <c r="Q42" s="2" t="n">
        <v>1600</v>
      </c>
      <c r="R42" s="2" t="n">
        <v>17714.97222222222</v>
      </c>
      <c r="S42" s="2" t="n">
        <v>2362.27</v>
      </c>
      <c r="T42" s="2" t="n">
        <v>16056.45</v>
      </c>
      <c r="U42" s="2" t="n">
        <v>713.45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6690.339999999999</v>
      </c>
      <c r="AO42" s="2" t="n">
        <v>520.3597777777777</v>
      </c>
      <c r="AP42" s="2" t="n">
        <v>6194.759259259258</v>
      </c>
      <c r="AQ42" s="2" t="n">
        <v>573.5</v>
      </c>
      <c r="AR42" s="2" t="n">
        <v>5908.44</v>
      </c>
      <c r="AS42" s="2" t="n">
        <v>208.4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31544.18</v>
      </c>
      <c r="BA42" s="2" t="n">
        <v>27615.06</v>
      </c>
      <c r="BB42" s="2">
        <f>E42+K42+Q42+W42+AC42+AI42+AO42+AU42+IF(BC42="",0,BC42)</f>
        <v/>
      </c>
      <c r="BC42" s="2" t="n"/>
      <c r="BD42" s="2" t="n">
        <v>29207.57407407407</v>
      </c>
      <c r="BE42" s="2" t="n">
        <v>0</v>
      </c>
      <c r="BF42" s="2" t="n">
        <v>0</v>
      </c>
      <c r="BG42" s="2" t="n">
        <v>250.3346666666667</v>
      </c>
      <c r="BH42" s="2" t="n">
        <v>62.36983333333333</v>
      </c>
      <c r="BI42" s="2" t="n">
        <v>462.1969166666667</v>
      </c>
      <c r="BJ42" s="2" t="n">
        <v>150.5333333333333</v>
      </c>
      <c r="BK42" s="2" t="n">
        <v>0</v>
      </c>
      <c r="BL42" s="2" t="n">
        <v>77.71683333333334</v>
      </c>
      <c r="BM42" s="2" t="n">
        <v>208.0833333333333</v>
      </c>
      <c r="BN42" s="2" t="n">
        <v>425.271924</v>
      </c>
      <c r="BO42" s="2" t="n">
        <v>0</v>
      </c>
      <c r="BP42" s="2" t="n">
        <v>1636.506840666666</v>
      </c>
      <c r="BQ42" s="2" t="n">
        <v>1168.6945</v>
      </c>
      <c r="BR42" s="2" t="n">
        <v>0</v>
      </c>
      <c r="BS42" s="2" t="n">
        <v>619.5833333333334</v>
      </c>
      <c r="BT42" s="2" t="n">
        <v>475.9858833333334</v>
      </c>
      <c r="BU42" s="2" t="n">
        <v>2264.263716666667</v>
      </c>
      <c r="BV42" s="2" t="n">
        <v>3900.770557333333</v>
      </c>
      <c r="BW42" s="2" t="n">
        <v>26528.08</v>
      </c>
      <c r="BX42" s="2" t="n">
        <v>1086.98</v>
      </c>
      <c r="BY42" s="2" t="n">
        <v>3929.12</v>
      </c>
      <c r="BZ42" s="2" t="n">
        <v>27615.06</v>
      </c>
      <c r="CA42" s="2">
        <f>BB42-BV42</f>
        <v/>
      </c>
    </row>
    <row r="43">
      <c r="A43" t="n">
        <v>1205</v>
      </c>
      <c r="B43" t="inlineStr">
        <is>
          <t>Kopernika 6A, 87-200 Ciechocinek</t>
        </is>
      </c>
      <c r="C43" t="inlineStr"/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1.81</v>
      </c>
      <c r="K43" s="2" t="n">
        <v>0.1506657407407407</v>
      </c>
      <c r="L43" s="2" t="n">
        <v>1.675925925925926</v>
      </c>
      <c r="M43" s="2" t="n">
        <v>0</v>
      </c>
      <c r="N43" s="2" t="n">
        <v>1.81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32.56</v>
      </c>
      <c r="AO43" s="2" t="n">
        <v>4500</v>
      </c>
      <c r="AP43" s="2" t="n">
        <v>30.14814814814815</v>
      </c>
      <c r="AQ43" s="2" t="n">
        <v>8.24</v>
      </c>
      <c r="AR43" s="2" t="n">
        <v>22.08</v>
      </c>
      <c r="AS43" s="2" t="n">
        <v>2.24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34.37</v>
      </c>
      <c r="BA43" s="2" t="n">
        <v>26.13</v>
      </c>
      <c r="BB43" s="2">
        <f>E43+K43+Q43+W43+AC43+AI43+AO43+AU43+IF(BC43="",0,BC43)</f>
        <v/>
      </c>
      <c r="BC43" s="2" t="n"/>
      <c r="BD43" s="2" t="n">
        <v>31.82407407407408</v>
      </c>
      <c r="BE43" s="2" t="n">
        <v>0</v>
      </c>
      <c r="BF43" s="2" t="n">
        <v>0</v>
      </c>
      <c r="BG43" s="2" t="n">
        <v>250.3346666666667</v>
      </c>
      <c r="BH43" s="2" t="n">
        <v>62.36983333333333</v>
      </c>
      <c r="BI43" s="2" t="n">
        <v>462.1969166666667</v>
      </c>
      <c r="BJ43" s="2" t="n">
        <v>150.5333333333333</v>
      </c>
      <c r="BK43" s="2" t="n">
        <v>0</v>
      </c>
      <c r="BL43" s="2" t="n">
        <v>77.71683333333334</v>
      </c>
      <c r="BM43" s="2" t="n">
        <v>208.0833333333333</v>
      </c>
      <c r="BN43" s="2" t="n">
        <v>0.402402</v>
      </c>
      <c r="BO43" s="2" t="n">
        <v>0</v>
      </c>
      <c r="BP43" s="2" t="n">
        <v>1211.637318666666</v>
      </c>
      <c r="BQ43" s="2" t="n">
        <v>1168.6945</v>
      </c>
      <c r="BR43" s="2" t="n">
        <v>0</v>
      </c>
      <c r="BS43" s="2" t="n">
        <v>619.5833333333334</v>
      </c>
      <c r="BT43" s="2" t="n">
        <v>475.9858833333334</v>
      </c>
      <c r="BU43" s="2" t="n">
        <v>2264.263716666667</v>
      </c>
      <c r="BV43" s="2" t="n">
        <v>3475.901035333333</v>
      </c>
      <c r="BW43" s="2" t="n">
        <v>23.89</v>
      </c>
      <c r="BX43" s="2" t="n">
        <v>2.24</v>
      </c>
      <c r="BY43" s="2" t="n">
        <v>8.24</v>
      </c>
      <c r="BZ43" s="2" t="n">
        <v>26.13</v>
      </c>
      <c r="CA43" s="2">
        <f>BB43-BV43</f>
        <v/>
      </c>
    </row>
    <row r="44">
      <c r="A44" t="n">
        <v>1206</v>
      </c>
      <c r="B44" t="inlineStr">
        <is>
          <t>Piłsudskiego 105, 50-085 Wrocław</t>
        </is>
      </c>
      <c r="C44" t="inlineStr"/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12616.28</v>
      </c>
      <c r="K44" s="2" t="n">
        <v>1050.188492592593</v>
      </c>
      <c r="L44" s="2" t="n">
        <v>11681.74074074074</v>
      </c>
      <c r="M44" s="2" t="n">
        <v>2979.21</v>
      </c>
      <c r="N44" s="2" t="n">
        <v>9092.120000000001</v>
      </c>
      <c r="O44" s="2" t="n">
        <v>544.95</v>
      </c>
      <c r="P44" s="2" t="n">
        <v>33512.57</v>
      </c>
      <c r="Q44" s="2" t="n">
        <v>1600</v>
      </c>
      <c r="R44" s="2" t="n">
        <v>31030.15740740741</v>
      </c>
      <c r="S44" s="2" t="n">
        <v>6489.79</v>
      </c>
      <c r="T44" s="2" t="n">
        <v>25628.33</v>
      </c>
      <c r="U44" s="2" t="n">
        <v>1394.45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6245.37</v>
      </c>
      <c r="AO44" s="2" t="n">
        <v>485.751</v>
      </c>
      <c r="AP44" s="2" t="n">
        <v>5782.749999999999</v>
      </c>
      <c r="AQ44" s="2" t="n">
        <v>1071.35</v>
      </c>
      <c r="AR44" s="2" t="n">
        <v>4983.96</v>
      </c>
      <c r="AS44" s="2" t="n">
        <v>190.06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52374.22000000001</v>
      </c>
      <c r="BA44" s="2" t="n">
        <v>41833.87000000001</v>
      </c>
      <c r="BB44" s="2">
        <f>E44+K44+Q44+W44+AC44+AI44+AO44+AU44+IF(BC44="",0,BC44)</f>
        <v/>
      </c>
      <c r="BC44" s="2" t="n"/>
      <c r="BD44" s="2" t="n">
        <v>48494.64814814815</v>
      </c>
      <c r="BE44" s="2" t="n">
        <v>0</v>
      </c>
      <c r="BF44" s="2" t="n">
        <v>0</v>
      </c>
      <c r="BG44" s="2" t="n">
        <v>250.3346666666667</v>
      </c>
      <c r="BH44" s="2" t="n">
        <v>62.36983333333333</v>
      </c>
      <c r="BI44" s="2" t="n">
        <v>462.1969166666667</v>
      </c>
      <c r="BJ44" s="2" t="n">
        <v>150.5333333333333</v>
      </c>
      <c r="BK44" s="2" t="n">
        <v>0</v>
      </c>
      <c r="BL44" s="2" t="n">
        <v>77.71683333333334</v>
      </c>
      <c r="BM44" s="2" t="n">
        <v>208.0833333333333</v>
      </c>
      <c r="BN44" s="2" t="n">
        <v>644.2415980000001</v>
      </c>
      <c r="BO44" s="2" t="n">
        <v>0</v>
      </c>
      <c r="BP44" s="2" t="n">
        <v>1855.476514666667</v>
      </c>
      <c r="BQ44" s="2" t="n">
        <v>1168.6945</v>
      </c>
      <c r="BR44" s="2" t="n">
        <v>0</v>
      </c>
      <c r="BS44" s="2" t="n">
        <v>619.5833333333334</v>
      </c>
      <c r="BT44" s="2" t="n">
        <v>475.9858833333334</v>
      </c>
      <c r="BU44" s="2" t="n">
        <v>2264.263716666667</v>
      </c>
      <c r="BV44" s="2" t="n">
        <v>4119.740231333333</v>
      </c>
      <c r="BW44" s="2" t="n">
        <v>39704.41</v>
      </c>
      <c r="BX44" s="2" t="n">
        <v>2129.46</v>
      </c>
      <c r="BY44" s="2" t="n">
        <v>10540.35</v>
      </c>
      <c r="BZ44" s="2" t="n">
        <v>41833.87</v>
      </c>
      <c r="CA44" s="2">
        <f>BB44-BV44</f>
        <v/>
      </c>
    </row>
    <row r="45">
      <c r="A45" t="n">
        <v>1207</v>
      </c>
      <c r="B45" t="inlineStr">
        <is>
          <t>Piłsudskiego 105, 50-085 Wrocław</t>
        </is>
      </c>
      <c r="C45" t="inlineStr"/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9295.27</v>
      </c>
      <c r="K45" s="2" t="n">
        <v>773.7451601851852</v>
      </c>
      <c r="L45" s="2" t="n">
        <v>8606.731481481482</v>
      </c>
      <c r="M45" s="2" t="n">
        <v>2045.78</v>
      </c>
      <c r="N45" s="2" t="n">
        <v>6505.89</v>
      </c>
      <c r="O45" s="2" t="n">
        <v>743.6</v>
      </c>
      <c r="P45" s="2" t="n">
        <v>26574.61</v>
      </c>
      <c r="Q45" s="2" t="n">
        <v>1600</v>
      </c>
      <c r="R45" s="2" t="n">
        <v>24606.12037037037</v>
      </c>
      <c r="S45" s="2" t="n">
        <v>5318.61</v>
      </c>
      <c r="T45" s="2" t="n">
        <v>20514.03</v>
      </c>
      <c r="U45" s="2" t="n">
        <v>741.97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4590.860000000001</v>
      </c>
      <c r="AO45" s="2" t="n">
        <v>357.0668888888889</v>
      </c>
      <c r="AP45" s="2" t="n">
        <v>4250.796296296297</v>
      </c>
      <c r="AQ45" s="2" t="n">
        <v>740.6900000000001</v>
      </c>
      <c r="AR45" s="2" t="n">
        <v>3765.34</v>
      </c>
      <c r="AS45" s="2" t="n">
        <v>84.83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40460.74000000001</v>
      </c>
      <c r="BA45" s="2" t="n">
        <v>32355.66</v>
      </c>
      <c r="BB45" s="2">
        <f>E45+K45+Q45+W45+AC45+AI45+AO45+AU45+IF(BC45="",0,BC45)</f>
        <v/>
      </c>
      <c r="BC45" s="2" t="n"/>
      <c r="BD45" s="2" t="n">
        <v>37463.64814814815</v>
      </c>
      <c r="BE45" s="2" t="n">
        <v>0</v>
      </c>
      <c r="BF45" s="2" t="n">
        <v>0</v>
      </c>
      <c r="BG45" s="2" t="n">
        <v>250.3346666666667</v>
      </c>
      <c r="BH45" s="2" t="n">
        <v>62.36983333333333</v>
      </c>
      <c r="BI45" s="2" t="n">
        <v>462.1969166666667</v>
      </c>
      <c r="BJ45" s="2" t="n">
        <v>150.5333333333333</v>
      </c>
      <c r="BK45" s="2" t="n">
        <v>0</v>
      </c>
      <c r="BL45" s="2" t="n">
        <v>77.71683333333334</v>
      </c>
      <c r="BM45" s="2" t="n">
        <v>208.0833333333333</v>
      </c>
      <c r="BN45" s="2" t="n">
        <v>498.277164</v>
      </c>
      <c r="BO45" s="2" t="n">
        <v>0</v>
      </c>
      <c r="BP45" s="2" t="n">
        <v>1709.512080666667</v>
      </c>
      <c r="BQ45" s="2" t="n">
        <v>1168.6945</v>
      </c>
      <c r="BR45" s="2" t="n">
        <v>0</v>
      </c>
      <c r="BS45" s="2" t="n">
        <v>619.5833333333334</v>
      </c>
      <c r="BT45" s="2" t="n">
        <v>475.9858833333334</v>
      </c>
      <c r="BU45" s="2" t="n">
        <v>2264.263716666667</v>
      </c>
      <c r="BV45" s="2" t="n">
        <v>3973.775797333334</v>
      </c>
      <c r="BW45" s="2" t="n">
        <v>30785.26</v>
      </c>
      <c r="BX45" s="2" t="n">
        <v>1570.4</v>
      </c>
      <c r="BY45" s="2" t="n">
        <v>8105.08</v>
      </c>
      <c r="BZ45" s="2" t="n">
        <v>32355.66</v>
      </c>
      <c r="CA45" s="2">
        <f>BB45-BV45</f>
        <v/>
      </c>
    </row>
    <row r="46">
      <c r="A46" t="n">
        <v>1208</v>
      </c>
      <c r="B46" t="inlineStr">
        <is>
          <t>Piłsudskiego 105, 50-085 Wrocław</t>
        </is>
      </c>
      <c r="C46" t="inlineStr"/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3137.59</v>
      </c>
      <c r="K46" s="2" t="n">
        <v>261.1753157407408</v>
      </c>
      <c r="L46" s="2" t="n">
        <v>2905.175925925926</v>
      </c>
      <c r="M46" s="2" t="n">
        <v>777.02</v>
      </c>
      <c r="N46" s="2" t="n">
        <v>2226.39</v>
      </c>
      <c r="O46" s="2" t="n">
        <v>134.18</v>
      </c>
      <c r="P46" s="2" t="n">
        <v>13277.96</v>
      </c>
      <c r="Q46" s="2" t="n">
        <v>1600</v>
      </c>
      <c r="R46" s="2" t="n">
        <v>12294.40740740741</v>
      </c>
      <c r="S46" s="2" t="n">
        <v>2206.09</v>
      </c>
      <c r="T46" s="2" t="n">
        <v>10533.61</v>
      </c>
      <c r="U46" s="2" t="n">
        <v>538.26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3400.06</v>
      </c>
      <c r="AO46" s="2" t="n">
        <v>264.4491111111111</v>
      </c>
      <c r="AP46" s="2" t="n">
        <v>3148.203703703703</v>
      </c>
      <c r="AQ46" s="2" t="n">
        <v>408.36</v>
      </c>
      <c r="AR46" s="2" t="n">
        <v>2807.23</v>
      </c>
      <c r="AS46" s="2" t="n">
        <v>184.47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19815.61</v>
      </c>
      <c r="BA46" s="2" t="n">
        <v>16424.14</v>
      </c>
      <c r="BB46" s="2">
        <f>E46+K46+Q46+W46+AC46+AI46+AO46+AU46+IF(BC46="",0,BC46)</f>
        <v/>
      </c>
      <c r="BC46" s="2" t="n"/>
      <c r="BD46" s="2" t="n">
        <v>18347.78703703704</v>
      </c>
      <c r="BE46" s="2" t="n">
        <v>0</v>
      </c>
      <c r="BF46" s="2" t="n">
        <v>0</v>
      </c>
      <c r="BG46" s="2" t="n">
        <v>250.3346666666667</v>
      </c>
      <c r="BH46" s="2" t="n">
        <v>62.36983333333333</v>
      </c>
      <c r="BI46" s="2" t="n">
        <v>462.1969166666667</v>
      </c>
      <c r="BJ46" s="2" t="n">
        <v>150.5333333333333</v>
      </c>
      <c r="BK46" s="2" t="n">
        <v>0</v>
      </c>
      <c r="BL46" s="2" t="n">
        <v>77.71683333333334</v>
      </c>
      <c r="BM46" s="2" t="n">
        <v>208.0833333333333</v>
      </c>
      <c r="BN46" s="2" t="n">
        <v>252.931756</v>
      </c>
      <c r="BO46" s="2" t="n">
        <v>0</v>
      </c>
      <c r="BP46" s="2" t="n">
        <v>1464.166672666666</v>
      </c>
      <c r="BQ46" s="2" t="n">
        <v>1168.6945</v>
      </c>
      <c r="BR46" s="2" t="n">
        <v>0</v>
      </c>
      <c r="BS46" s="2" t="n">
        <v>619.5833333333334</v>
      </c>
      <c r="BT46" s="2" t="n">
        <v>475.9858833333334</v>
      </c>
      <c r="BU46" s="2" t="n">
        <v>2264.263716666667</v>
      </c>
      <c r="BV46" s="2" t="n">
        <v>3728.430389333334</v>
      </c>
      <c r="BW46" s="2" t="n">
        <v>15567.23</v>
      </c>
      <c r="BX46" s="2" t="n">
        <v>856.9100000000001</v>
      </c>
      <c r="BY46" s="2" t="n">
        <v>3391.47</v>
      </c>
      <c r="BZ46" s="2" t="n">
        <v>16424.14</v>
      </c>
      <c r="CA46" s="2">
        <f>BB46-BV46</f>
        <v/>
      </c>
    </row>
    <row r="47">
      <c r="A47" t="n">
        <v>1210</v>
      </c>
      <c r="B47" t="inlineStr">
        <is>
          <t>Piłsudskiego 105, 50-085 Wrocław</t>
        </is>
      </c>
      <c r="C47" t="inlineStr"/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18972.36</v>
      </c>
      <c r="K47" s="2" t="n">
        <v>1579.2733</v>
      </c>
      <c r="L47" s="2" t="n">
        <v>17567</v>
      </c>
      <c r="M47" s="2" t="n">
        <v>504.36</v>
      </c>
      <c r="N47" s="2" t="n">
        <v>17604.02</v>
      </c>
      <c r="O47" s="2" t="n">
        <v>863.98</v>
      </c>
      <c r="P47" s="2" t="n">
        <v>21192.64</v>
      </c>
      <c r="Q47" s="2" t="n">
        <v>1600</v>
      </c>
      <c r="R47" s="2" t="n">
        <v>19622.81481481481</v>
      </c>
      <c r="S47" s="2" t="n">
        <v>706.0700000000001</v>
      </c>
      <c r="T47" s="2" t="n">
        <v>19172.69</v>
      </c>
      <c r="U47" s="2" t="n">
        <v>1313.88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7964.290000000001</v>
      </c>
      <c r="AO47" s="2" t="n">
        <v>619.4447777777779</v>
      </c>
      <c r="AP47" s="2" t="n">
        <v>7374.342592592593</v>
      </c>
      <c r="AQ47" s="2" t="n">
        <v>298.21</v>
      </c>
      <c r="AR47" s="2" t="n">
        <v>7000.6</v>
      </c>
      <c r="AS47" s="2" t="n">
        <v>665.48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48129.29</v>
      </c>
      <c r="BA47" s="2" t="n">
        <v>46620.65</v>
      </c>
      <c r="BB47" s="2">
        <f>E47+K47+Q47+W47+AC47+AI47+AO47+AU47+IF(BC47="",0,BC47)</f>
        <v/>
      </c>
      <c r="BC47" s="2" t="n"/>
      <c r="BD47" s="2" t="n">
        <v>44564.15740740741</v>
      </c>
      <c r="BE47" s="2" t="n">
        <v>760.5599999999999</v>
      </c>
      <c r="BF47" s="2" t="n">
        <v>260</v>
      </c>
      <c r="BG47" s="2" t="n">
        <v>250.3346666666667</v>
      </c>
      <c r="BH47" s="2" t="n">
        <v>62.36983333333333</v>
      </c>
      <c r="BI47" s="2" t="n">
        <v>462.1969166666667</v>
      </c>
      <c r="BJ47" s="2" t="n">
        <v>150.5333333333333</v>
      </c>
      <c r="BK47" s="2" t="n">
        <v>0</v>
      </c>
      <c r="BL47" s="2" t="n">
        <v>77.71683333333334</v>
      </c>
      <c r="BM47" s="2" t="n">
        <v>208.0833333333333</v>
      </c>
      <c r="BN47" s="2" t="n">
        <v>717.9580100000001</v>
      </c>
      <c r="BO47" s="2" t="n">
        <v>0</v>
      </c>
      <c r="BP47" s="2" t="n">
        <v>2949.752926666667</v>
      </c>
      <c r="BQ47" s="2" t="n">
        <v>1168.6945</v>
      </c>
      <c r="BR47" s="2" t="n">
        <v>0</v>
      </c>
      <c r="BS47" s="2" t="n">
        <v>619.5833333333334</v>
      </c>
      <c r="BT47" s="2" t="n">
        <v>680.0978833333334</v>
      </c>
      <c r="BU47" s="2" t="n">
        <v>2468.375716666667</v>
      </c>
      <c r="BV47" s="2" t="n">
        <v>5418.128643333333</v>
      </c>
      <c r="BW47" s="2" t="n">
        <v>43777.31</v>
      </c>
      <c r="BX47" s="2" t="n">
        <v>2843.34</v>
      </c>
      <c r="BY47" s="2" t="n">
        <v>1508.64</v>
      </c>
      <c r="BZ47" s="2" t="n">
        <v>46620.64999999999</v>
      </c>
      <c r="CA47" s="2">
        <f>BB47-BV47</f>
        <v/>
      </c>
    </row>
    <row r="48">
      <c r="A48" t="n">
        <v>1211</v>
      </c>
      <c r="B48" t="inlineStr">
        <is>
          <t>Kolejowa, 59-300 Lubin</t>
        </is>
      </c>
      <c r="C48" t="inlineStr"/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17170.82</v>
      </c>
      <c r="Q48" s="2" t="n">
        <v>1600</v>
      </c>
      <c r="R48" s="2" t="n">
        <v>15898.90740740741</v>
      </c>
      <c r="S48" s="2" t="n">
        <v>6253.54</v>
      </c>
      <c r="T48" s="2" t="n">
        <v>10052.9</v>
      </c>
      <c r="U48" s="2" t="n">
        <v>864.38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17170.82</v>
      </c>
      <c r="BA48" s="2" t="n">
        <v>10917.28</v>
      </c>
      <c r="BB48" s="2">
        <f>E48+K48+Q48+W48+AC48+AI48+AO48+AU48+IF(BC48="",0,BC48)</f>
        <v/>
      </c>
      <c r="BC48" s="2" t="n"/>
      <c r="BD48" s="2" t="n">
        <v>15898.90740740741</v>
      </c>
      <c r="BE48" s="2" t="n">
        <v>0</v>
      </c>
      <c r="BF48" s="2" t="n">
        <v>0</v>
      </c>
      <c r="BG48" s="2" t="n">
        <v>250.3346666666667</v>
      </c>
      <c r="BH48" s="2" t="n">
        <v>62.36983333333333</v>
      </c>
      <c r="BI48" s="2" t="n">
        <v>462.1969166666667</v>
      </c>
      <c r="BJ48" s="2" t="n">
        <v>150.5333333333333</v>
      </c>
      <c r="BK48" s="2" t="n">
        <v>0</v>
      </c>
      <c r="BL48" s="2" t="n">
        <v>77.71683333333334</v>
      </c>
      <c r="BM48" s="2" t="n">
        <v>208.0833333333333</v>
      </c>
      <c r="BN48" s="2" t="n">
        <v>168.126112</v>
      </c>
      <c r="BO48" s="2" t="n">
        <v>0</v>
      </c>
      <c r="BP48" s="2" t="n">
        <v>1379.361028666666</v>
      </c>
      <c r="BQ48" s="2" t="n">
        <v>1168.6945</v>
      </c>
      <c r="BR48" s="2" t="n">
        <v>0</v>
      </c>
      <c r="BS48" s="2" t="n">
        <v>619.5833333333334</v>
      </c>
      <c r="BT48" s="2" t="n">
        <v>475.9858833333334</v>
      </c>
      <c r="BU48" s="2" t="n">
        <v>2264.263716666667</v>
      </c>
      <c r="BV48" s="2" t="n">
        <v>3643.624745333334</v>
      </c>
      <c r="BW48" s="2" t="n">
        <v>10052.9</v>
      </c>
      <c r="BX48" s="2" t="n">
        <v>864.38</v>
      </c>
      <c r="BY48" s="2" t="n">
        <v>6253.54</v>
      </c>
      <c r="BZ48" s="2" t="n">
        <v>10917.28</v>
      </c>
      <c r="CA48" s="2">
        <f>BB48-BV48</f>
        <v/>
      </c>
    </row>
    <row r="49">
      <c r="A49" t="n">
        <v>1212</v>
      </c>
      <c r="B49" t="inlineStr">
        <is>
          <t>Armii Krajowej 26C, 58-302 Wałbrzych</t>
        </is>
      </c>
      <c r="C49" t="inlineStr"/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1497.82</v>
      </c>
      <c r="K49" s="2" t="n">
        <v>124.6796462962963</v>
      </c>
      <c r="L49" s="2" t="n">
        <v>1386.87037037037</v>
      </c>
      <c r="M49" s="2" t="n">
        <v>260.35</v>
      </c>
      <c r="N49" s="2" t="n">
        <v>1105.61</v>
      </c>
      <c r="O49" s="2" t="n">
        <v>131.86</v>
      </c>
      <c r="P49" s="2" t="n">
        <v>5871.37</v>
      </c>
      <c r="Q49" s="2" t="n">
        <v>1600</v>
      </c>
      <c r="R49" s="2" t="n">
        <v>5436.453703703703</v>
      </c>
      <c r="S49" s="2" t="n">
        <v>1111.28</v>
      </c>
      <c r="T49" s="2" t="n">
        <v>4408.51</v>
      </c>
      <c r="U49" s="2" t="n">
        <v>351.58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201.8</v>
      </c>
      <c r="AO49" s="2" t="n">
        <v>15.69555555555556</v>
      </c>
      <c r="AP49" s="2" t="n">
        <v>186.8518518518518</v>
      </c>
      <c r="AQ49" s="2" t="n">
        <v>0</v>
      </c>
      <c r="AR49" s="2" t="n">
        <v>201.8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7570.990000000001</v>
      </c>
      <c r="BA49" s="2" t="n">
        <v>6199.36</v>
      </c>
      <c r="BB49" s="2">
        <f>E49+K49+Q49+W49+AC49+AI49+AO49+AU49+IF(BC49="",0,BC49)</f>
        <v/>
      </c>
      <c r="BC49" s="2" t="n"/>
      <c r="BD49" s="2" t="n">
        <v>7010.175925925926</v>
      </c>
      <c r="BE49" s="2" t="n">
        <v>573.92</v>
      </c>
      <c r="BF49" s="2" t="n">
        <v>108.9</v>
      </c>
      <c r="BG49" s="2" t="n">
        <v>250.3346666666667</v>
      </c>
      <c r="BH49" s="2" t="n">
        <v>62.36983333333333</v>
      </c>
      <c r="BI49" s="2" t="n">
        <v>462.1969166666667</v>
      </c>
      <c r="BJ49" s="2" t="n">
        <v>150.5333333333333</v>
      </c>
      <c r="BK49" s="2" t="n">
        <v>0</v>
      </c>
      <c r="BL49" s="2" t="n">
        <v>77.71683333333334</v>
      </c>
      <c r="BM49" s="2" t="n">
        <v>208.0833333333333</v>
      </c>
      <c r="BN49" s="2" t="n">
        <v>95.470144</v>
      </c>
      <c r="BO49" s="2" t="n">
        <v>0</v>
      </c>
      <c r="BP49" s="2" t="n">
        <v>1989.525060666666</v>
      </c>
      <c r="BQ49" s="2" t="n">
        <v>1168.6945</v>
      </c>
      <c r="BR49" s="2" t="n">
        <v>0</v>
      </c>
      <c r="BS49" s="2" t="n">
        <v>619.5833333333334</v>
      </c>
      <c r="BT49" s="2" t="n">
        <v>612.5498833333334</v>
      </c>
      <c r="BU49" s="2" t="n">
        <v>2400.827716666667</v>
      </c>
      <c r="BV49" s="2" t="n">
        <v>4390.352777333334</v>
      </c>
      <c r="BW49" s="2" t="n">
        <v>5715.92</v>
      </c>
      <c r="BX49" s="2" t="n">
        <v>483.44</v>
      </c>
      <c r="BY49" s="2" t="n">
        <v>1371.63</v>
      </c>
      <c r="BZ49" s="2" t="n">
        <v>6199.36</v>
      </c>
      <c r="CA49" s="2">
        <f>BB49-BV49</f>
        <v/>
      </c>
    </row>
    <row r="50">
      <c r="A50" t="n">
        <v>1213</v>
      </c>
      <c r="B50" t="inlineStr">
        <is>
          <t>Plac 1000-Lecia 1, 67-200 Głogów</t>
        </is>
      </c>
      <c r="C50" t="inlineStr"/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3400.45</v>
      </c>
      <c r="K50" s="2" t="n">
        <v>283.0559768518519</v>
      </c>
      <c r="L50" s="2" t="n">
        <v>3148.564814814815</v>
      </c>
      <c r="M50" s="2" t="n">
        <v>1078.55</v>
      </c>
      <c r="N50" s="2" t="n">
        <v>2041.88</v>
      </c>
      <c r="O50" s="2" t="n">
        <v>280.02</v>
      </c>
      <c r="P50" s="2" t="n">
        <v>20454.89</v>
      </c>
      <c r="Q50" s="2" t="n">
        <v>1600</v>
      </c>
      <c r="R50" s="2" t="n">
        <v>18939.71296296296</v>
      </c>
      <c r="S50" s="2" t="n">
        <v>6001.4</v>
      </c>
      <c r="T50" s="2" t="n">
        <v>13476.59</v>
      </c>
      <c r="U50" s="2" t="n">
        <v>976.9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1597.2</v>
      </c>
      <c r="AO50" s="2" t="n">
        <v>124.2266666666667</v>
      </c>
      <c r="AP50" s="2" t="n">
        <v>1478.888888888889</v>
      </c>
      <c r="AQ50" s="2" t="n">
        <v>642.11</v>
      </c>
      <c r="AR50" s="2" t="n">
        <v>818.91</v>
      </c>
      <c r="AS50" s="2" t="n">
        <v>136.18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25452.54</v>
      </c>
      <c r="BA50" s="2" t="n">
        <v>17730.48</v>
      </c>
      <c r="BB50" s="2">
        <f>E50+K50+Q50+W50+AC50+AI50+AO50+AU50+IF(BC50="",0,BC50)</f>
        <v/>
      </c>
      <c r="BC50" s="2" t="n"/>
      <c r="BD50" s="2" t="n">
        <v>23567.16666666666</v>
      </c>
      <c r="BE50" s="2" t="n">
        <v>573.92</v>
      </c>
      <c r="BF50" s="2" t="n">
        <v>115.2</v>
      </c>
      <c r="BG50" s="2" t="n">
        <v>250.3346666666667</v>
      </c>
      <c r="BH50" s="2" t="n">
        <v>62.36983333333333</v>
      </c>
      <c r="BI50" s="2" t="n">
        <v>462.1969166666667</v>
      </c>
      <c r="BJ50" s="2" t="n">
        <v>150.5333333333333</v>
      </c>
      <c r="BK50" s="2" t="n">
        <v>0</v>
      </c>
      <c r="BL50" s="2" t="n">
        <v>77.71683333333334</v>
      </c>
      <c r="BM50" s="2" t="n">
        <v>208.0833333333333</v>
      </c>
      <c r="BN50" s="2" t="n">
        <v>273.049392</v>
      </c>
      <c r="BO50" s="2" t="n">
        <v>0</v>
      </c>
      <c r="BP50" s="2" t="n">
        <v>2173.404308666667</v>
      </c>
      <c r="BQ50" s="2" t="n">
        <v>1168.6945</v>
      </c>
      <c r="BR50" s="2" t="n">
        <v>0</v>
      </c>
      <c r="BS50" s="2" t="n">
        <v>619.5833333333334</v>
      </c>
      <c r="BT50" s="2" t="n">
        <v>613.8098833333333</v>
      </c>
      <c r="BU50" s="2" t="n">
        <v>2402.087716666667</v>
      </c>
      <c r="BV50" s="2" t="n">
        <v>4575.492025333333</v>
      </c>
      <c r="BW50" s="2" t="n">
        <v>16337.38</v>
      </c>
      <c r="BX50" s="2" t="n">
        <v>1393.1</v>
      </c>
      <c r="BY50" s="2" t="n">
        <v>7722.059999999999</v>
      </c>
      <c r="BZ50" s="2" t="n">
        <v>17730.48</v>
      </c>
      <c r="CA50" s="2">
        <f>BB50-BV50</f>
        <v/>
      </c>
    </row>
    <row r="51">
      <c r="A51" t="n">
        <v>1214</v>
      </c>
      <c r="B51" t="inlineStr">
        <is>
          <t>Dworcowa 72A, 69-110 Rzepin</t>
        </is>
      </c>
      <c r="C51" t="inlineStr"/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3566.9</v>
      </c>
      <c r="K51" s="2" t="n">
        <v>296.9113981481482</v>
      </c>
      <c r="L51" s="2" t="n">
        <v>3302.685185185185</v>
      </c>
      <c r="M51" s="2" t="n">
        <v>1599.56</v>
      </c>
      <c r="N51" s="2" t="n">
        <v>1720.24</v>
      </c>
      <c r="O51" s="2" t="n">
        <v>247.1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3566.9</v>
      </c>
      <c r="BA51" s="2" t="n">
        <v>1967.34</v>
      </c>
      <c r="BB51" s="2">
        <f>E51+K51+Q51+W51+AC51+AI51+AO51+AU51+IF(BC51="",0,BC51)</f>
        <v/>
      </c>
      <c r="BC51" s="2" t="n"/>
      <c r="BD51" s="2" t="n">
        <v>3302.685185185185</v>
      </c>
      <c r="BE51" s="2" t="n">
        <v>430.45</v>
      </c>
      <c r="BF51" s="2" t="n">
        <v>0</v>
      </c>
      <c r="BG51" s="2" t="n">
        <v>250.3346666666667</v>
      </c>
      <c r="BH51" s="2" t="n">
        <v>62.36983333333333</v>
      </c>
      <c r="BI51" s="2" t="n">
        <v>462.1969166666667</v>
      </c>
      <c r="BJ51" s="2" t="n">
        <v>150.5333333333333</v>
      </c>
      <c r="BK51" s="2" t="n">
        <v>0</v>
      </c>
      <c r="BL51" s="2" t="n">
        <v>77.71683333333334</v>
      </c>
      <c r="BM51" s="2" t="n">
        <v>208.0833333333333</v>
      </c>
      <c r="BN51" s="2" t="n">
        <v>30.297036</v>
      </c>
      <c r="BO51" s="2" t="n">
        <v>0</v>
      </c>
      <c r="BP51" s="2" t="n">
        <v>1671.981952666667</v>
      </c>
      <c r="BQ51" s="2" t="n">
        <v>1168.6945</v>
      </c>
      <c r="BR51" s="2" t="n">
        <v>0</v>
      </c>
      <c r="BS51" s="2" t="n">
        <v>619.5833333333334</v>
      </c>
      <c r="BT51" s="2" t="n">
        <v>562.0758833333333</v>
      </c>
      <c r="BU51" s="2" t="n">
        <v>2350.353716666667</v>
      </c>
      <c r="BV51" s="2" t="n">
        <v>4022.335669333333</v>
      </c>
      <c r="BW51" s="2" t="n">
        <v>1720.24</v>
      </c>
      <c r="BX51" s="2" t="n">
        <v>247.1</v>
      </c>
      <c r="BY51" s="2" t="n">
        <v>1599.56</v>
      </c>
      <c r="BZ51" s="2" t="n">
        <v>1967.34</v>
      </c>
      <c r="CA51" s="2">
        <f>BB51-BV51</f>
        <v/>
      </c>
    </row>
    <row r="52">
      <c r="A52" t="n">
        <v>1215</v>
      </c>
      <c r="B52" t="inlineStr">
        <is>
          <t>Wojska Polskiego 2, 87-700 Aleksandrów Kujawski</t>
        </is>
      </c>
      <c r="C52" t="inlineStr"/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331.43</v>
      </c>
      <c r="K52" s="2" t="n">
        <v>27.5884787037037</v>
      </c>
      <c r="L52" s="2" t="n">
        <v>306.8796296296296</v>
      </c>
      <c r="M52" s="2" t="n">
        <v>240.5</v>
      </c>
      <c r="N52" s="2" t="n">
        <v>90.93000000000001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909.1399999999999</v>
      </c>
      <c r="AO52" s="2" t="n">
        <v>4500</v>
      </c>
      <c r="AP52" s="2" t="n">
        <v>841.7962962962961</v>
      </c>
      <c r="AQ52" s="2" t="n">
        <v>569.6799999999999</v>
      </c>
      <c r="AR52" s="2" t="n">
        <v>339.46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1240.57</v>
      </c>
      <c r="BA52" s="2" t="n">
        <v>430.39</v>
      </c>
      <c r="BB52" s="2">
        <f>E52+K52+Q52+W52+AC52+AI52+AO52+AU52+IF(BC52="",0,BC52)</f>
        <v/>
      </c>
      <c r="BC52" s="2" t="n"/>
      <c r="BD52" s="2" t="n">
        <v>1148.675925925926</v>
      </c>
      <c r="BE52" s="2" t="n">
        <v>0</v>
      </c>
      <c r="BF52" s="2" t="n">
        <v>0</v>
      </c>
      <c r="BG52" s="2" t="n">
        <v>250.3346666666667</v>
      </c>
      <c r="BH52" s="2" t="n">
        <v>62.36983333333333</v>
      </c>
      <c r="BI52" s="2" t="n">
        <v>462.1969166666667</v>
      </c>
      <c r="BJ52" s="2" t="n">
        <v>150.5333333333333</v>
      </c>
      <c r="BK52" s="2" t="n">
        <v>0</v>
      </c>
      <c r="BL52" s="2" t="n">
        <v>77.71683333333334</v>
      </c>
      <c r="BM52" s="2" t="n">
        <v>208.0833333333333</v>
      </c>
      <c r="BN52" s="2" t="n">
        <v>6.628006</v>
      </c>
      <c r="BO52" s="2" t="n">
        <v>0</v>
      </c>
      <c r="BP52" s="2" t="n">
        <v>1217.862922666666</v>
      </c>
      <c r="BQ52" s="2" t="n">
        <v>1168.6945</v>
      </c>
      <c r="BR52" s="2" t="n">
        <v>0</v>
      </c>
      <c r="BS52" s="2" t="n">
        <v>619.5833333333334</v>
      </c>
      <c r="BT52" s="2" t="n">
        <v>475.9858833333334</v>
      </c>
      <c r="BU52" s="2" t="n">
        <v>2264.263716666667</v>
      </c>
      <c r="BV52" s="2" t="n">
        <v>3482.126639333334</v>
      </c>
      <c r="BW52" s="2" t="n">
        <v>430.39</v>
      </c>
      <c r="BX52" s="2" t="n">
        <v>0</v>
      </c>
      <c r="BY52" s="2" t="n">
        <v>810.1799999999999</v>
      </c>
      <c r="BZ52" s="2" t="n">
        <v>430.39</v>
      </c>
      <c r="CA52" s="2">
        <f>BB52-BV52</f>
        <v/>
      </c>
    </row>
    <row r="53">
      <c r="A53" t="n">
        <v>1217</v>
      </c>
      <c r="B53" t="inlineStr">
        <is>
          <t>pl. Marii i Lecha Kaczyńskiego 2, 40-098 Katowice</t>
        </is>
      </c>
      <c r="C53" t="inlineStr"/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11087.53</v>
      </c>
      <c r="K53" s="2" t="n">
        <v>922.9342101851853</v>
      </c>
      <c r="L53" s="2" t="n">
        <v>10266.23148148148</v>
      </c>
      <c r="M53" s="2" t="n">
        <v>2494.27</v>
      </c>
      <c r="N53" s="2" t="n">
        <v>8285.26</v>
      </c>
      <c r="O53" s="2" t="n">
        <v>308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6395.12</v>
      </c>
      <c r="AO53" s="2" t="n">
        <v>497.3982222222222</v>
      </c>
      <c r="AP53" s="2" t="n">
        <v>5921.407407407407</v>
      </c>
      <c r="AQ53" s="2" t="n">
        <v>1020.74</v>
      </c>
      <c r="AR53" s="2" t="n">
        <v>5205.88</v>
      </c>
      <c r="AS53" s="2" t="n">
        <v>168.5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17482.65</v>
      </c>
      <c r="BA53" s="2" t="n">
        <v>13967.64</v>
      </c>
      <c r="BB53" s="2">
        <f>E53+K53+Q53+W53+AC53+AI53+AO53+AU53+IF(BC53="",0,BC53)</f>
        <v/>
      </c>
      <c r="BC53" s="2" t="n"/>
      <c r="BD53" s="2" t="n">
        <v>16187.63888888889</v>
      </c>
      <c r="BE53" s="2" t="n">
        <v>0</v>
      </c>
      <c r="BF53" s="2" t="n">
        <v>0</v>
      </c>
      <c r="BG53" s="2" t="n">
        <v>250.3346666666667</v>
      </c>
      <c r="BH53" s="2" t="n">
        <v>62.36983333333333</v>
      </c>
      <c r="BI53" s="2" t="n">
        <v>462.1969166666667</v>
      </c>
      <c r="BJ53" s="2" t="n">
        <v>150.5333333333333</v>
      </c>
      <c r="BK53" s="2" t="n">
        <v>0</v>
      </c>
      <c r="BL53" s="2" t="n">
        <v>77.71683333333334</v>
      </c>
      <c r="BM53" s="2" t="n">
        <v>208.0833333333333</v>
      </c>
      <c r="BN53" s="2" t="n">
        <v>215.101656</v>
      </c>
      <c r="BO53" s="2" t="n">
        <v>0</v>
      </c>
      <c r="BP53" s="2" t="n">
        <v>1426.336572666667</v>
      </c>
      <c r="BQ53" s="2" t="n">
        <v>1168.6945</v>
      </c>
      <c r="BR53" s="2" t="n">
        <v>0</v>
      </c>
      <c r="BS53" s="2" t="n">
        <v>619.5833333333334</v>
      </c>
      <c r="BT53" s="2" t="n">
        <v>475.9858833333334</v>
      </c>
      <c r="BU53" s="2" t="n">
        <v>2264.263716666667</v>
      </c>
      <c r="BV53" s="2" t="n">
        <v>3690.600289333333</v>
      </c>
      <c r="BW53" s="2" t="n">
        <v>13491.14</v>
      </c>
      <c r="BX53" s="2" t="n">
        <v>476.5</v>
      </c>
      <c r="BY53" s="2" t="n">
        <v>3515.01</v>
      </c>
      <c r="BZ53" s="2" t="n">
        <v>13967.64</v>
      </c>
      <c r="CA53" s="2">
        <f>BB53-BV53</f>
        <v/>
      </c>
    </row>
    <row r="54">
      <c r="A54" t="n">
        <v>1219</v>
      </c>
      <c r="B54" t="inlineStr">
        <is>
          <t>Armii Krajowej 3, 75-200 Koszalin</t>
        </is>
      </c>
      <c r="C54" t="inlineStr"/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4308.940000000001</v>
      </c>
      <c r="K54" s="2" t="n">
        <v>358.6793574074075</v>
      </c>
      <c r="L54" s="2" t="n">
        <v>3989.75925925926</v>
      </c>
      <c r="M54" s="2" t="n">
        <v>1541.57</v>
      </c>
      <c r="N54" s="2" t="n">
        <v>2289.77</v>
      </c>
      <c r="O54" s="2" t="n">
        <v>477.6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5553.740000000001</v>
      </c>
      <c r="AO54" s="2" t="n">
        <v>431.9575555555556</v>
      </c>
      <c r="AP54" s="2" t="n">
        <v>5142.351851851852</v>
      </c>
      <c r="AQ54" s="2" t="n">
        <v>1862.49</v>
      </c>
      <c r="AR54" s="2" t="n">
        <v>3365.86</v>
      </c>
      <c r="AS54" s="2" t="n">
        <v>325.39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9862.68</v>
      </c>
      <c r="BA54" s="2" t="n">
        <v>6458.62</v>
      </c>
      <c r="BB54" s="2">
        <f>E54+K54+Q54+W54+AC54+AI54+AO54+AU54+IF(BC54="",0,BC54)</f>
        <v/>
      </c>
      <c r="BC54" s="2" t="n"/>
      <c r="BD54" s="2" t="n">
        <v>9132.111111111111</v>
      </c>
      <c r="BE54" s="2" t="n">
        <v>0</v>
      </c>
      <c r="BF54" s="2" t="n">
        <v>0</v>
      </c>
      <c r="BG54" s="2" t="n">
        <v>250.3346666666667</v>
      </c>
      <c r="BH54" s="2" t="n">
        <v>62.36983333333333</v>
      </c>
      <c r="BI54" s="2" t="n">
        <v>462.1969166666667</v>
      </c>
      <c r="BJ54" s="2" t="n">
        <v>150.5333333333333</v>
      </c>
      <c r="BK54" s="2" t="n">
        <v>0</v>
      </c>
      <c r="BL54" s="2" t="n">
        <v>77.71683333333334</v>
      </c>
      <c r="BM54" s="2" t="n">
        <v>208.0833333333333</v>
      </c>
      <c r="BN54" s="2" t="n">
        <v>99.462748</v>
      </c>
      <c r="BO54" s="2" t="n">
        <v>0</v>
      </c>
      <c r="BP54" s="2" t="n">
        <v>1310.697664666666</v>
      </c>
      <c r="BQ54" s="2" t="n">
        <v>1168.6945</v>
      </c>
      <c r="BR54" s="2" t="n">
        <v>0</v>
      </c>
      <c r="BS54" s="2" t="n">
        <v>619.5833333333334</v>
      </c>
      <c r="BT54" s="2" t="n">
        <v>475.9858833333334</v>
      </c>
      <c r="BU54" s="2" t="n">
        <v>2264.263716666667</v>
      </c>
      <c r="BV54" s="2" t="n">
        <v>3574.961381333334</v>
      </c>
      <c r="BW54" s="2" t="n">
        <v>5655.63</v>
      </c>
      <c r="BX54" s="2" t="n">
        <v>802.99</v>
      </c>
      <c r="BY54" s="2" t="n">
        <v>3404.06</v>
      </c>
      <c r="BZ54" s="2" t="n">
        <v>6458.62</v>
      </c>
      <c r="CA54" s="2">
        <f>BB54-BV54</f>
        <v/>
      </c>
    </row>
    <row r="55">
      <c r="A55" t="n">
        <v>1220</v>
      </c>
      <c r="B55" t="inlineStr">
        <is>
          <t>Kotłątaja 32, 76-200 Słupsk</t>
        </is>
      </c>
      <c r="C55" t="inlineStr"/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4075.31</v>
      </c>
      <c r="K55" s="2" t="n">
        <v>339.2318231481481</v>
      </c>
      <c r="L55" s="2" t="n">
        <v>3773.435185185185</v>
      </c>
      <c r="M55" s="2" t="n">
        <v>2633.27</v>
      </c>
      <c r="N55" s="2" t="n">
        <v>1421.04</v>
      </c>
      <c r="O55" s="2" t="n">
        <v>21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5930.44</v>
      </c>
      <c r="AO55" s="2" t="n">
        <v>4150</v>
      </c>
      <c r="AP55" s="2" t="n">
        <v>5491.148148148148</v>
      </c>
      <c r="AQ55" s="2" t="n">
        <v>3291.5</v>
      </c>
      <c r="AR55" s="2" t="n">
        <v>2007.48</v>
      </c>
      <c r="AS55" s="2" t="n">
        <v>631.46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10005.75</v>
      </c>
      <c r="BA55" s="2" t="n">
        <v>4080.98</v>
      </c>
      <c r="BB55" s="2">
        <f>E55+K55+Q55+W55+AC55+AI55+AO55+AU55+IF(BC55="",0,BC55)</f>
        <v/>
      </c>
      <c r="BC55" s="2" t="n"/>
      <c r="BD55" s="2" t="n">
        <v>9264.583333333332</v>
      </c>
      <c r="BE55" s="2" t="n">
        <v>0</v>
      </c>
      <c r="BF55" s="2" t="n">
        <v>0</v>
      </c>
      <c r="BG55" s="2" t="n">
        <v>250.3346666666667</v>
      </c>
      <c r="BH55" s="2" t="n">
        <v>62.36983333333333</v>
      </c>
      <c r="BI55" s="2" t="n">
        <v>462.1969166666667</v>
      </c>
      <c r="BJ55" s="2" t="n">
        <v>150.5333333333333</v>
      </c>
      <c r="BK55" s="2" t="n">
        <v>0</v>
      </c>
      <c r="BL55" s="2" t="n">
        <v>77.71683333333334</v>
      </c>
      <c r="BM55" s="2" t="n">
        <v>208.0833333333333</v>
      </c>
      <c r="BN55" s="2" t="n">
        <v>62.847092</v>
      </c>
      <c r="BO55" s="2" t="n">
        <v>0</v>
      </c>
      <c r="BP55" s="2" t="n">
        <v>1274.082008666667</v>
      </c>
      <c r="BQ55" s="2" t="n">
        <v>1168.6945</v>
      </c>
      <c r="BR55" s="2" t="n">
        <v>0</v>
      </c>
      <c r="BS55" s="2" t="n">
        <v>619.5833333333334</v>
      </c>
      <c r="BT55" s="2" t="n">
        <v>475.9858833333334</v>
      </c>
      <c r="BU55" s="2" t="n">
        <v>2264.263716666667</v>
      </c>
      <c r="BV55" s="2" t="n">
        <v>3538.345725333334</v>
      </c>
      <c r="BW55" s="2" t="n">
        <v>3428.52</v>
      </c>
      <c r="BX55" s="2" t="n">
        <v>652.46</v>
      </c>
      <c r="BY55" s="2" t="n">
        <v>5924.77</v>
      </c>
      <c r="BZ55" s="2" t="n">
        <v>4080.98</v>
      </c>
      <c r="CA55" s="2">
        <f>BB55-BV55</f>
        <v/>
      </c>
    </row>
    <row r="56">
      <c r="A56" t="n">
        <v>1221</v>
      </c>
      <c r="B56" t="inlineStr">
        <is>
          <t>Dworcowa 2, 58-100 Świdnica</t>
        </is>
      </c>
      <c r="C56" t="inlineStr"/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30994.87</v>
      </c>
      <c r="Q56" s="2" t="n">
        <v>1600</v>
      </c>
      <c r="R56" s="2" t="n">
        <v>28698.9537037037</v>
      </c>
      <c r="S56" s="2" t="n">
        <v>8431.43</v>
      </c>
      <c r="T56" s="2" t="n">
        <v>20745.88</v>
      </c>
      <c r="U56" s="2" t="n">
        <v>1817.56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30994.87</v>
      </c>
      <c r="BA56" s="2" t="n">
        <v>22563.44</v>
      </c>
      <c r="BB56" s="2">
        <f>E56+K56+Q56+W56+AC56+AI56+AO56+AU56+IF(BC56="",0,BC56)</f>
        <v/>
      </c>
      <c r="BC56" s="2" t="n"/>
      <c r="BD56" s="2" t="n">
        <v>28698.9537037037</v>
      </c>
      <c r="BE56" s="2" t="n">
        <v>0</v>
      </c>
      <c r="BF56" s="2" t="n">
        <v>0</v>
      </c>
      <c r="BG56" s="2" t="n">
        <v>250.3346666666667</v>
      </c>
      <c r="BH56" s="2" t="n">
        <v>62.36983333333333</v>
      </c>
      <c r="BI56" s="2" t="n">
        <v>462.1969166666667</v>
      </c>
      <c r="BJ56" s="2" t="n">
        <v>150.5333333333333</v>
      </c>
      <c r="BK56" s="2" t="n">
        <v>0</v>
      </c>
      <c r="BL56" s="2" t="n">
        <v>77.71683333333334</v>
      </c>
      <c r="BM56" s="2" t="n">
        <v>208.0833333333333</v>
      </c>
      <c r="BN56" s="2" t="n">
        <v>347.476976</v>
      </c>
      <c r="BO56" s="2" t="n">
        <v>0</v>
      </c>
      <c r="BP56" s="2" t="n">
        <v>1558.711892666667</v>
      </c>
      <c r="BQ56" s="2" t="n">
        <v>1168.6945</v>
      </c>
      <c r="BR56" s="2" t="n">
        <v>0</v>
      </c>
      <c r="BS56" s="2" t="n">
        <v>619.5833333333334</v>
      </c>
      <c r="BT56" s="2" t="n">
        <v>475.9858833333334</v>
      </c>
      <c r="BU56" s="2" t="n">
        <v>2264.263716666667</v>
      </c>
      <c r="BV56" s="2" t="n">
        <v>3822.975609333334</v>
      </c>
      <c r="BW56" s="2" t="n">
        <v>20745.88</v>
      </c>
      <c r="BX56" s="2" t="n">
        <v>1817.56</v>
      </c>
      <c r="BY56" s="2" t="n">
        <v>8431.43</v>
      </c>
      <c r="BZ56" s="2" t="n">
        <v>22563.44</v>
      </c>
      <c r="CA56" s="2">
        <f>BB56-BV56</f>
        <v/>
      </c>
    </row>
    <row r="57">
      <c r="A57" t="n">
        <v>1222</v>
      </c>
      <c r="B57" t="inlineStr">
        <is>
          <t>Dworcowa 33, 83-400 Kościerzyna</t>
        </is>
      </c>
      <c r="C57" t="inlineStr"/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252.55</v>
      </c>
      <c r="AO57" s="2" t="n">
        <v>4050</v>
      </c>
      <c r="AP57" s="2" t="n">
        <v>233.8425925925926</v>
      </c>
      <c r="AQ57" s="2" t="n">
        <v>0</v>
      </c>
      <c r="AR57" s="2" t="n">
        <v>232.79</v>
      </c>
      <c r="AS57" s="2" t="n">
        <v>19.76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252.55</v>
      </c>
      <c r="BA57" s="2" t="n">
        <v>252.55</v>
      </c>
      <c r="BB57" s="2">
        <f>E57+K57+Q57+W57+AC57+AI57+AO57+AU57+IF(BC57="",0,BC57)</f>
        <v/>
      </c>
      <c r="BC57" s="2" t="n"/>
      <c r="BD57" s="2" t="n">
        <v>233.8425925925926</v>
      </c>
      <c r="BE57" s="2" t="n">
        <v>0</v>
      </c>
      <c r="BF57" s="2" t="n">
        <v>0</v>
      </c>
      <c r="BG57" s="2" t="n">
        <v>250.3346666666667</v>
      </c>
      <c r="BH57" s="2" t="n">
        <v>62.36983333333333</v>
      </c>
      <c r="BI57" s="2" t="n">
        <v>462.1969166666667</v>
      </c>
      <c r="BJ57" s="2" t="n">
        <v>150.5333333333333</v>
      </c>
      <c r="BK57" s="2" t="n">
        <v>0</v>
      </c>
      <c r="BL57" s="2" t="n">
        <v>77.71683333333334</v>
      </c>
      <c r="BM57" s="2" t="n">
        <v>208.0833333333333</v>
      </c>
      <c r="BN57" s="2" t="n">
        <v>3.88927</v>
      </c>
      <c r="BO57" s="2" t="n">
        <v>0</v>
      </c>
      <c r="BP57" s="2" t="n">
        <v>1215.124186666666</v>
      </c>
      <c r="BQ57" s="2" t="n">
        <v>1168.6945</v>
      </c>
      <c r="BR57" s="2" t="n">
        <v>0</v>
      </c>
      <c r="BS57" s="2" t="n">
        <v>619.5833333333334</v>
      </c>
      <c r="BT57" s="2" t="n">
        <v>475.9858833333334</v>
      </c>
      <c r="BU57" s="2" t="n">
        <v>2264.263716666667</v>
      </c>
      <c r="BV57" s="2" t="n">
        <v>3479.387903333333</v>
      </c>
      <c r="BW57" s="2" t="n">
        <v>232.79</v>
      </c>
      <c r="BX57" s="2" t="n">
        <v>19.76</v>
      </c>
      <c r="BY57" s="2" t="n">
        <v>0</v>
      </c>
      <c r="BZ57" s="2" t="n">
        <v>252.55</v>
      </c>
      <c r="CA57" s="2">
        <f>BB57-BV57</f>
        <v/>
      </c>
    </row>
    <row r="58">
      <c r="A58" t="n">
        <v>1223</v>
      </c>
      <c r="B58" t="inlineStr">
        <is>
          <t>Dworcowa 17, 82-200 Malbork</t>
        </is>
      </c>
      <c r="C58" t="inlineStr"/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6703.309999999999</v>
      </c>
      <c r="K58" s="2" t="n">
        <v>557.9884898148148</v>
      </c>
      <c r="L58" s="2" t="n">
        <v>6206.768518518517</v>
      </c>
      <c r="M58" s="2" t="n">
        <v>913.28</v>
      </c>
      <c r="N58" s="2" t="n">
        <v>5061.53</v>
      </c>
      <c r="O58" s="2" t="n">
        <v>728.5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12878.45</v>
      </c>
      <c r="AO58" s="2" t="n">
        <v>1001.657222222222</v>
      </c>
      <c r="AP58" s="2" t="n">
        <v>11924.49074074074</v>
      </c>
      <c r="AQ58" s="2" t="n">
        <v>3237.97</v>
      </c>
      <c r="AR58" s="2" t="n">
        <v>8939.25</v>
      </c>
      <c r="AS58" s="2" t="n">
        <v>701.23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19581.76</v>
      </c>
      <c r="BA58" s="2" t="n">
        <v>15430.51</v>
      </c>
      <c r="BB58" s="2">
        <f>E58+K58+Q58+W58+AC58+AI58+AO58+AU58+IF(BC58="",0,BC58)</f>
        <v/>
      </c>
      <c r="BC58" s="2" t="n"/>
      <c r="BD58" s="2" t="n">
        <v>18131.25925925926</v>
      </c>
      <c r="BE58" s="2" t="n">
        <v>0</v>
      </c>
      <c r="BF58" s="2" t="n">
        <v>0</v>
      </c>
      <c r="BG58" s="2" t="n">
        <v>250.3346666666667</v>
      </c>
      <c r="BH58" s="2" t="n">
        <v>62.36983333333333</v>
      </c>
      <c r="BI58" s="2" t="n">
        <v>462.1969166666667</v>
      </c>
      <c r="BJ58" s="2" t="n">
        <v>150.5333333333333</v>
      </c>
      <c r="BK58" s="2" t="n">
        <v>0</v>
      </c>
      <c r="BL58" s="2" t="n">
        <v>77.71683333333334</v>
      </c>
      <c r="BM58" s="2" t="n">
        <v>208.0833333333333</v>
      </c>
      <c r="BN58" s="2" t="n">
        <v>237.629854</v>
      </c>
      <c r="BO58" s="2" t="n">
        <v>0</v>
      </c>
      <c r="BP58" s="2" t="n">
        <v>1448.864770666667</v>
      </c>
      <c r="BQ58" s="2" t="n">
        <v>1168.6945</v>
      </c>
      <c r="BR58" s="2" t="n">
        <v>0</v>
      </c>
      <c r="BS58" s="2" t="n">
        <v>619.5833333333334</v>
      </c>
      <c r="BT58" s="2" t="n">
        <v>475.9858833333334</v>
      </c>
      <c r="BU58" s="2" t="n">
        <v>2264.263716666667</v>
      </c>
      <c r="BV58" s="2" t="n">
        <v>3713.128487333333</v>
      </c>
      <c r="BW58" s="2" t="n">
        <v>14000.78</v>
      </c>
      <c r="BX58" s="2" t="n">
        <v>1429.73</v>
      </c>
      <c r="BY58" s="2" t="n">
        <v>4151.25</v>
      </c>
      <c r="BZ58" s="2" t="n">
        <v>15430.51</v>
      </c>
      <c r="CA58" s="2">
        <f>BB58-BV58</f>
        <v/>
      </c>
    </row>
    <row r="59">
      <c r="A59" t="n">
        <v>1224</v>
      </c>
      <c r="B59" t="inlineStr">
        <is>
          <t>84-130 Kuźnica</t>
        </is>
      </c>
      <c r="C59" t="inlineStr"/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1233.02</v>
      </c>
      <c r="AO59" s="2" t="n">
        <v>4050</v>
      </c>
      <c r="AP59" s="2" t="n">
        <v>1141.685185185185</v>
      </c>
      <c r="AQ59" s="2" t="n">
        <v>0</v>
      </c>
      <c r="AR59" s="2" t="n">
        <v>937.72</v>
      </c>
      <c r="AS59" s="2" t="n">
        <v>295.3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1233.02</v>
      </c>
      <c r="BA59" s="2" t="n">
        <v>1233.02</v>
      </c>
      <c r="BB59" s="2">
        <f>E59+K59+Q59+W59+AC59+AI59+AO59+AU59+IF(BC59="",0,BC59)</f>
        <v/>
      </c>
      <c r="BC59" s="2" t="n"/>
      <c r="BD59" s="2" t="n">
        <v>1141.685185185185</v>
      </c>
      <c r="BE59" s="2" t="n">
        <v>0</v>
      </c>
      <c r="BF59" s="2" t="n">
        <v>0</v>
      </c>
      <c r="BG59" s="2" t="n">
        <v>250.3346666666667</v>
      </c>
      <c r="BH59" s="2" t="n">
        <v>62.36983333333333</v>
      </c>
      <c r="BI59" s="2" t="n">
        <v>462.1969166666667</v>
      </c>
      <c r="BJ59" s="2" t="n">
        <v>150.5333333333333</v>
      </c>
      <c r="BK59" s="2" t="n">
        <v>0</v>
      </c>
      <c r="BL59" s="2" t="n">
        <v>77.71683333333334</v>
      </c>
      <c r="BM59" s="2" t="n">
        <v>208.0833333333333</v>
      </c>
      <c r="BN59" s="2" t="n">
        <v>18.988508</v>
      </c>
      <c r="BO59" s="2" t="n">
        <v>0</v>
      </c>
      <c r="BP59" s="2" t="n">
        <v>1230.223424666666</v>
      </c>
      <c r="BQ59" s="2" t="n">
        <v>1168.6945</v>
      </c>
      <c r="BR59" s="2" t="n">
        <v>0</v>
      </c>
      <c r="BS59" s="2" t="n">
        <v>619.5833333333334</v>
      </c>
      <c r="BT59" s="2" t="n">
        <v>475.9858833333334</v>
      </c>
      <c r="BU59" s="2" t="n">
        <v>2264.263716666667</v>
      </c>
      <c r="BV59" s="2" t="n">
        <v>3494.487141333333</v>
      </c>
      <c r="BW59" s="2" t="n">
        <v>937.72</v>
      </c>
      <c r="BX59" s="2" t="n">
        <v>295.3</v>
      </c>
      <c r="BY59" s="2" t="n">
        <v>0</v>
      </c>
      <c r="BZ59" s="2" t="n">
        <v>1233.02</v>
      </c>
      <c r="CA59" s="2">
        <f>BB59-BV59</f>
        <v/>
      </c>
    </row>
    <row r="60">
      <c r="A60" t="n">
        <v>1225</v>
      </c>
      <c r="B60" t="inlineStr">
        <is>
          <t>Plac Legionów 2, 37-700 Przemyśl</t>
        </is>
      </c>
      <c r="C60" t="inlineStr"/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22123.65</v>
      </c>
      <c r="K60" s="2" t="n">
        <v>1841.589013888889</v>
      </c>
      <c r="L60" s="2" t="n">
        <v>20484.86111111111</v>
      </c>
      <c r="M60" s="2" t="n">
        <v>2144.61</v>
      </c>
      <c r="N60" s="2" t="n">
        <v>19849.85</v>
      </c>
      <c r="O60" s="2" t="n">
        <v>129.19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4575.2</v>
      </c>
      <c r="AO60" s="2" t="n">
        <v>355.8488888888888</v>
      </c>
      <c r="AP60" s="2" t="n">
        <v>4236.296296296296</v>
      </c>
      <c r="AQ60" s="2" t="n">
        <v>1155.36</v>
      </c>
      <c r="AR60" s="2" t="n">
        <v>3368.97</v>
      </c>
      <c r="AS60" s="2" t="n">
        <v>50.87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26698.85</v>
      </c>
      <c r="BA60" s="2" t="n">
        <v>23398.88</v>
      </c>
      <c r="BB60" s="2">
        <f>E60+K60+Q60+W60+AC60+AI60+AO60+AU60+IF(BC60="",0,BC60)</f>
        <v/>
      </c>
      <c r="BC60" s="2" t="n"/>
      <c r="BD60" s="2" t="n">
        <v>24721.15740740741</v>
      </c>
      <c r="BE60" s="2" t="n">
        <v>456.34</v>
      </c>
      <c r="BF60" s="2" t="n">
        <v>129</v>
      </c>
      <c r="BG60" s="2" t="n">
        <v>250.3346666666667</v>
      </c>
      <c r="BH60" s="2" t="n">
        <v>62.36983333333333</v>
      </c>
      <c r="BI60" s="2" t="n">
        <v>462.1969166666667</v>
      </c>
      <c r="BJ60" s="2" t="n">
        <v>150.5333333333333</v>
      </c>
      <c r="BK60" s="2" t="n">
        <v>0</v>
      </c>
      <c r="BL60" s="2" t="n">
        <v>77.71683333333334</v>
      </c>
      <c r="BM60" s="2" t="n">
        <v>208.0833333333333</v>
      </c>
      <c r="BN60" s="2" t="n">
        <v>360.342752</v>
      </c>
      <c r="BO60" s="2" t="n">
        <v>0</v>
      </c>
      <c r="BP60" s="2" t="n">
        <v>2156.917668666666</v>
      </c>
      <c r="BQ60" s="2" t="n">
        <v>1168.6945</v>
      </c>
      <c r="BR60" s="2" t="n">
        <v>0</v>
      </c>
      <c r="BS60" s="2" t="n">
        <v>619.5833333333334</v>
      </c>
      <c r="BT60" s="2" t="n">
        <v>593.0538833333334</v>
      </c>
      <c r="BU60" s="2" t="n">
        <v>2381.331716666667</v>
      </c>
      <c r="BV60" s="2" t="n">
        <v>4538.249385333334</v>
      </c>
      <c r="BW60" s="2" t="n">
        <v>23218.82</v>
      </c>
      <c r="BX60" s="2" t="n">
        <v>180.06</v>
      </c>
      <c r="BY60" s="2" t="n">
        <v>3299.97</v>
      </c>
      <c r="BZ60" s="2" t="n">
        <v>23398.88</v>
      </c>
      <c r="CA60" s="2">
        <f>BB60-BV60</f>
        <v/>
      </c>
    </row>
    <row r="61">
      <c r="A61" t="n">
        <v>1226</v>
      </c>
      <c r="B61" t="inlineStr">
        <is>
          <t>Plac Dworcowy 3, 33-100 Tarnów</t>
        </is>
      </c>
      <c r="C61" t="inlineStr"/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6779.009999999999</v>
      </c>
      <c r="K61" s="2" t="n">
        <v>564.2898138888888</v>
      </c>
      <c r="L61" s="2" t="n">
        <v>6276.86111111111</v>
      </c>
      <c r="M61" s="2" t="n">
        <v>1206.52</v>
      </c>
      <c r="N61" s="2" t="n">
        <v>5468.36</v>
      </c>
      <c r="O61" s="2" t="n">
        <v>104.13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7441.5</v>
      </c>
      <c r="AO61" s="2" t="n">
        <v>578.7833333333333</v>
      </c>
      <c r="AP61" s="2" t="n">
        <v>6890.277777777777</v>
      </c>
      <c r="AQ61" s="2" t="n">
        <v>1481.62</v>
      </c>
      <c r="AR61" s="2" t="n">
        <v>5789.84</v>
      </c>
      <c r="AS61" s="2" t="n">
        <v>170.04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14220.51</v>
      </c>
      <c r="BA61" s="2" t="n">
        <v>11532.37</v>
      </c>
      <c r="BB61" s="2">
        <f>E61+K61+Q61+W61+AC61+AI61+AO61+AU61+IF(BC61="",0,BC61)</f>
        <v/>
      </c>
      <c r="BC61" s="2" t="n"/>
      <c r="BD61" s="2" t="n">
        <v>13167.13888888889</v>
      </c>
      <c r="BE61" s="2" t="n">
        <v>456.24</v>
      </c>
      <c r="BF61" s="2" t="n">
        <v>131</v>
      </c>
      <c r="BG61" s="2" t="n">
        <v>250.3346666666667</v>
      </c>
      <c r="BH61" s="2" t="n">
        <v>62.36983333333333</v>
      </c>
      <c r="BI61" s="2" t="n">
        <v>462.1969166666667</v>
      </c>
      <c r="BJ61" s="2" t="n">
        <v>150.5333333333333</v>
      </c>
      <c r="BK61" s="2" t="n">
        <v>0</v>
      </c>
      <c r="BL61" s="2" t="n">
        <v>77.71683333333334</v>
      </c>
      <c r="BM61" s="2" t="n">
        <v>208.0833333333333</v>
      </c>
      <c r="BN61" s="2" t="n">
        <v>177.598498</v>
      </c>
      <c r="BO61" s="2" t="n">
        <v>0</v>
      </c>
      <c r="BP61" s="2" t="n">
        <v>1976.073414666667</v>
      </c>
      <c r="BQ61" s="2" t="n">
        <v>1168.6945</v>
      </c>
      <c r="BR61" s="2" t="n">
        <v>0</v>
      </c>
      <c r="BS61" s="2" t="n">
        <v>619.5833333333334</v>
      </c>
      <c r="BT61" s="2" t="n">
        <v>593.4338833333334</v>
      </c>
      <c r="BU61" s="2" t="n">
        <v>2381.711716666667</v>
      </c>
      <c r="BV61" s="2" t="n">
        <v>4357.785131333333</v>
      </c>
      <c r="BW61" s="2" t="n">
        <v>11258.2</v>
      </c>
      <c r="BX61" s="2" t="n">
        <v>274.17</v>
      </c>
      <c r="BY61" s="2" t="n">
        <v>2688.14</v>
      </c>
      <c r="BZ61" s="2" t="n">
        <v>11532.37</v>
      </c>
      <c r="CA61" s="2">
        <f>BB61-BV61</f>
        <v/>
      </c>
    </row>
    <row r="62">
      <c r="A62" t="n">
        <v>1230</v>
      </c>
      <c r="B62" t="inlineStr">
        <is>
          <t>Bohaterów Getta Warszawskiego 12, 44-100 Gliwice</t>
        </is>
      </c>
      <c r="C62" t="inlineStr"/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6933.58</v>
      </c>
      <c r="K62" s="2" t="n">
        <v>577.1563351851852</v>
      </c>
      <c r="L62" s="2" t="n">
        <v>6419.981481481481</v>
      </c>
      <c r="M62" s="2" t="n">
        <v>1573.36</v>
      </c>
      <c r="N62" s="2" t="n">
        <v>4936.62</v>
      </c>
      <c r="O62" s="2" t="n">
        <v>423.6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6933.58</v>
      </c>
      <c r="BA62" s="2" t="n">
        <v>5360.22</v>
      </c>
      <c r="BB62" s="2">
        <f>E62+K62+Q62+W62+AC62+AI62+AO62+AU62+IF(BC62="",0,BC62)</f>
        <v/>
      </c>
      <c r="BC62" s="2" t="n"/>
      <c r="BD62" s="2" t="n">
        <v>6419.981481481481</v>
      </c>
      <c r="BE62" s="2" t="n">
        <v>500</v>
      </c>
      <c r="BF62" s="2" t="n">
        <v>109.6</v>
      </c>
      <c r="BG62" s="2" t="n">
        <v>250.3346666666667</v>
      </c>
      <c r="BH62" s="2" t="n">
        <v>62.36983333333333</v>
      </c>
      <c r="BI62" s="2" t="n">
        <v>462.1969166666667</v>
      </c>
      <c r="BJ62" s="2" t="n">
        <v>150.5333333333333</v>
      </c>
      <c r="BK62" s="2" t="n">
        <v>0</v>
      </c>
      <c r="BL62" s="2" t="n">
        <v>77.71683333333334</v>
      </c>
      <c r="BM62" s="2" t="n">
        <v>208.0833333333333</v>
      </c>
      <c r="BN62" s="2" t="n">
        <v>82.54738800000001</v>
      </c>
      <c r="BO62" s="2" t="n">
        <v>0</v>
      </c>
      <c r="BP62" s="2" t="n">
        <v>1903.382304666666</v>
      </c>
      <c r="BQ62" s="2" t="n">
        <v>1168.6945</v>
      </c>
      <c r="BR62" s="2" t="n">
        <v>0</v>
      </c>
      <c r="BS62" s="2" t="n">
        <v>619.5833333333334</v>
      </c>
      <c r="BT62" s="2" t="n">
        <v>597.9058833333333</v>
      </c>
      <c r="BU62" s="2" t="n">
        <v>2386.183716666667</v>
      </c>
      <c r="BV62" s="2" t="n">
        <v>4289.566021333333</v>
      </c>
      <c r="BW62" s="2" t="n">
        <v>4936.62</v>
      </c>
      <c r="BX62" s="2" t="n">
        <v>423.6</v>
      </c>
      <c r="BY62" s="2" t="n">
        <v>1573.36</v>
      </c>
      <c r="BZ62" s="2" t="n">
        <v>5360.22</v>
      </c>
      <c r="CA62" s="2">
        <f>BB62-BV62</f>
        <v/>
      </c>
    </row>
    <row r="63">
      <c r="A63" t="n">
        <v>1232</v>
      </c>
      <c r="B63" t="inlineStr">
        <is>
          <t>Brylantowa, 55-200 Oława</t>
        </is>
      </c>
      <c r="C63" t="inlineStr"/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88.40000000000001</v>
      </c>
      <c r="Q63" s="2" t="n">
        <v>2500</v>
      </c>
      <c r="R63" s="2" t="n">
        <v>81.85185185185185</v>
      </c>
      <c r="S63" s="2" t="n">
        <v>0</v>
      </c>
      <c r="T63" s="2" t="n">
        <v>88.40000000000001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88.40000000000001</v>
      </c>
      <c r="BA63" s="2" t="n">
        <v>88.40000000000001</v>
      </c>
      <c r="BB63" s="2">
        <f>E63+K63+Q63+W63+AC63+AI63+AO63+AU63+IF(BC63="",0,BC63)</f>
        <v/>
      </c>
      <c r="BC63" s="2" t="n"/>
      <c r="BD63" s="2" t="n">
        <v>81.85185185185185</v>
      </c>
      <c r="BE63" s="2" t="n">
        <v>0</v>
      </c>
      <c r="BF63" s="2" t="n">
        <v>0</v>
      </c>
      <c r="BG63" s="2" t="n">
        <v>250.3346666666667</v>
      </c>
      <c r="BH63" s="2" t="n">
        <v>62.36983333333333</v>
      </c>
      <c r="BI63" s="2" t="n">
        <v>462.1969166666667</v>
      </c>
      <c r="BJ63" s="2" t="n">
        <v>150.5333333333333</v>
      </c>
      <c r="BK63" s="2" t="n">
        <v>0</v>
      </c>
      <c r="BL63" s="2" t="n">
        <v>77.71683333333334</v>
      </c>
      <c r="BM63" s="2" t="n">
        <v>208.0833333333333</v>
      </c>
      <c r="BN63" s="2" t="n">
        <v>1.36136</v>
      </c>
      <c r="BO63" s="2" t="n">
        <v>0</v>
      </c>
      <c r="BP63" s="2" t="n">
        <v>1212.596276666667</v>
      </c>
      <c r="BQ63" s="2" t="n">
        <v>1168.6945</v>
      </c>
      <c r="BR63" s="2" t="n">
        <v>0</v>
      </c>
      <c r="BS63" s="2" t="n">
        <v>619.5833333333334</v>
      </c>
      <c r="BT63" s="2" t="n">
        <v>475.9858833333334</v>
      </c>
      <c r="BU63" s="2" t="n">
        <v>2264.263716666667</v>
      </c>
      <c r="BV63" s="2" t="n">
        <v>3476.859993333333</v>
      </c>
      <c r="BW63" s="2" t="n">
        <v>88.40000000000001</v>
      </c>
      <c r="BX63" s="2" t="n">
        <v>0</v>
      </c>
      <c r="BY63" s="2" t="n">
        <v>0</v>
      </c>
      <c r="BZ63" s="2" t="n">
        <v>88.40000000000001</v>
      </c>
      <c r="CA63" s="2">
        <f>BB63-BV63</f>
        <v/>
      </c>
    </row>
    <row r="64">
      <c r="A64" t="n">
        <v>1234</v>
      </c>
      <c r="B64" t="inlineStr">
        <is>
          <t>Kolejowa 88, 68-100 Żagań</t>
        </is>
      </c>
      <c r="C64" t="inlineStr"/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135.5</v>
      </c>
      <c r="K64" s="2" t="n">
        <v>11.27912037037037</v>
      </c>
      <c r="L64" s="2" t="n">
        <v>125.4629629629629</v>
      </c>
      <c r="M64" s="2" t="n">
        <v>0</v>
      </c>
      <c r="N64" s="2" t="n">
        <v>135.5</v>
      </c>
      <c r="O64" s="2" t="n">
        <v>0</v>
      </c>
      <c r="P64" s="2" t="n">
        <v>2846.69</v>
      </c>
      <c r="Q64" s="2" t="n">
        <v>1600</v>
      </c>
      <c r="R64" s="2" t="n">
        <v>2635.824074074074</v>
      </c>
      <c r="S64" s="2" t="n">
        <v>0</v>
      </c>
      <c r="T64" s="2" t="n">
        <v>2675.66</v>
      </c>
      <c r="U64" s="2" t="n">
        <v>171.03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1407.1</v>
      </c>
      <c r="AO64" s="2" t="n">
        <v>109.4411111111111</v>
      </c>
      <c r="AP64" s="2" t="n">
        <v>1302.87037037037</v>
      </c>
      <c r="AQ64" s="2" t="n">
        <v>0</v>
      </c>
      <c r="AR64" s="2" t="n">
        <v>1243.8</v>
      </c>
      <c r="AS64" s="2" t="n">
        <v>163.3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4389.29</v>
      </c>
      <c r="BA64" s="2" t="n">
        <v>4389.29</v>
      </c>
      <c r="BB64" s="2">
        <f>E64+K64+Q64+W64+AC64+AI64+AO64+AU64+IF(BC64="",0,BC64)</f>
        <v/>
      </c>
      <c r="BC64" s="2" t="n"/>
      <c r="BD64" s="2" t="n">
        <v>4064.157407407407</v>
      </c>
      <c r="BE64" s="2" t="n">
        <v>594.14</v>
      </c>
      <c r="BF64" s="2" t="n">
        <v>219</v>
      </c>
      <c r="BG64" s="2" t="n">
        <v>250.3346666666667</v>
      </c>
      <c r="BH64" s="2" t="n">
        <v>62.36983333333333</v>
      </c>
      <c r="BI64" s="2" t="n">
        <v>462.1969166666667</v>
      </c>
      <c r="BJ64" s="2" t="n">
        <v>150.5333333333333</v>
      </c>
      <c r="BK64" s="2" t="n">
        <v>0</v>
      </c>
      <c r="BL64" s="2" t="n">
        <v>77.71683333333334</v>
      </c>
      <c r="BM64" s="2" t="n">
        <v>208.0833333333333</v>
      </c>
      <c r="BN64" s="2" t="n">
        <v>67.595066</v>
      </c>
      <c r="BO64" s="2" t="n">
        <v>0</v>
      </c>
      <c r="BP64" s="2" t="n">
        <v>2091.969982666667</v>
      </c>
      <c r="BQ64" s="2" t="n">
        <v>1168.6945</v>
      </c>
      <c r="BR64" s="2" t="n">
        <v>0</v>
      </c>
      <c r="BS64" s="2" t="n">
        <v>619.5833333333334</v>
      </c>
      <c r="BT64" s="2" t="n">
        <v>638.6138833333334</v>
      </c>
      <c r="BU64" s="2" t="n">
        <v>2426.891716666667</v>
      </c>
      <c r="BV64" s="2" t="n">
        <v>4518.861699333334</v>
      </c>
      <c r="BW64" s="2" t="n">
        <v>4054.96</v>
      </c>
      <c r="BX64" s="2" t="n">
        <v>334.33</v>
      </c>
      <c r="BY64" s="2" t="n">
        <v>0</v>
      </c>
      <c r="BZ64" s="2" t="n">
        <v>4389.29</v>
      </c>
      <c r="CA64" s="2">
        <f>BB64-BV64</f>
        <v/>
      </c>
    </row>
    <row r="65">
      <c r="A65" t="n">
        <v>1235</v>
      </c>
      <c r="B65" t="inlineStr">
        <is>
          <t>Dworcowa 2, 61-801 Poznań</t>
        </is>
      </c>
      <c r="C65" t="inlineStr"/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8638.76</v>
      </c>
      <c r="K65" s="2" t="n">
        <v>719.0967814814815</v>
      </c>
      <c r="L65" s="2" t="n">
        <v>7998.851851851851</v>
      </c>
      <c r="M65" s="2" t="n">
        <v>1914.79</v>
      </c>
      <c r="N65" s="2" t="n">
        <v>6723.97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14684.56</v>
      </c>
      <c r="AC65" s="2" t="n">
        <v>951.7770370370372</v>
      </c>
      <c r="AD65" s="2" t="n">
        <v>13596.81481481482</v>
      </c>
      <c r="AE65" s="2" t="n">
        <v>3245.63</v>
      </c>
      <c r="AF65" s="2" t="n">
        <v>11438.93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6286.95</v>
      </c>
      <c r="AO65" s="2" t="n">
        <v>488.985</v>
      </c>
      <c r="AP65" s="2" t="n">
        <v>5821.249999999999</v>
      </c>
      <c r="AQ65" s="2" t="n">
        <v>1088.79</v>
      </c>
      <c r="AR65" s="2" t="n">
        <v>5198.16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29610.27</v>
      </c>
      <c r="BA65" s="2" t="n">
        <v>23361.06</v>
      </c>
      <c r="BB65" s="2">
        <f>E65+K65+Q65+W65+AC65+AI65+AO65+AU65+IF(BC65="",0,BC65)</f>
        <v/>
      </c>
      <c r="BC65" s="2" t="n"/>
      <c r="BD65" s="2" t="n">
        <v>27416.91666666667</v>
      </c>
      <c r="BE65" s="2" t="n">
        <v>0</v>
      </c>
      <c r="BF65" s="2" t="n">
        <v>0</v>
      </c>
      <c r="BG65" s="2" t="n">
        <v>250.3346666666667</v>
      </c>
      <c r="BH65" s="2" t="n">
        <v>62.36983333333333</v>
      </c>
      <c r="BI65" s="2" t="n">
        <v>462.1969166666667</v>
      </c>
      <c r="BJ65" s="2" t="n">
        <v>150.5333333333333</v>
      </c>
      <c r="BK65" s="2" t="n">
        <v>0</v>
      </c>
      <c r="BL65" s="2" t="n">
        <v>77.71683333333334</v>
      </c>
      <c r="BM65" s="2" t="n">
        <v>208.0833333333333</v>
      </c>
      <c r="BN65" s="2" t="n">
        <v>359.760324</v>
      </c>
      <c r="BO65" s="2" t="n">
        <v>0</v>
      </c>
      <c r="BP65" s="2" t="n">
        <v>1570.995240666667</v>
      </c>
      <c r="BQ65" s="2" t="n">
        <v>1168.6945</v>
      </c>
      <c r="BR65" s="2" t="n">
        <v>0</v>
      </c>
      <c r="BS65" s="2" t="n">
        <v>619.5833333333334</v>
      </c>
      <c r="BT65" s="2" t="n">
        <v>475.9858833333334</v>
      </c>
      <c r="BU65" s="2" t="n">
        <v>2264.263716666667</v>
      </c>
      <c r="BV65" s="2" t="n">
        <v>3835.258957333333</v>
      </c>
      <c r="BW65" s="2" t="n">
        <v>23361.06</v>
      </c>
      <c r="BX65" s="2" t="n">
        <v>0</v>
      </c>
      <c r="BY65" s="2" t="n">
        <v>6249.21</v>
      </c>
      <c r="BZ65" s="2" t="n">
        <v>23361.06</v>
      </c>
      <c r="CA65" s="2">
        <f>BB65-BV65</f>
        <v/>
      </c>
    </row>
    <row r="66">
      <c r="A66" t="n">
        <v>1236</v>
      </c>
      <c r="B66" t="inlineStr">
        <is>
          <t>Dworcowa 7, 83-130 Pelplin</t>
        </is>
      </c>
      <c r="C66" t="inlineStr"/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1254.09</v>
      </c>
      <c r="AO66" s="2" t="n">
        <v>3900</v>
      </c>
      <c r="AP66" s="2" t="n">
        <v>1161.194444444444</v>
      </c>
      <c r="AQ66" s="2" t="n">
        <v>0</v>
      </c>
      <c r="AR66" s="2" t="n">
        <v>1127.57</v>
      </c>
      <c r="AS66" s="2" t="n">
        <v>126.52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1254.09</v>
      </c>
      <c r="BA66" s="2" t="n">
        <v>1254.09</v>
      </c>
      <c r="BB66" s="2">
        <f>E66+K66+Q66+W66+AC66+AI66+AO66+AU66+IF(BC66="",0,BC66)</f>
        <v/>
      </c>
      <c r="BC66" s="2" t="n"/>
      <c r="BD66" s="2" t="n">
        <v>1161.194444444444</v>
      </c>
      <c r="BE66" s="2" t="n">
        <v>0</v>
      </c>
      <c r="BF66" s="2" t="n">
        <v>0</v>
      </c>
      <c r="BG66" s="2" t="n">
        <v>250.3346666666667</v>
      </c>
      <c r="BH66" s="2" t="n">
        <v>62.36983333333333</v>
      </c>
      <c r="BI66" s="2" t="n">
        <v>462.1969166666667</v>
      </c>
      <c r="BJ66" s="2" t="n">
        <v>150.5333333333333</v>
      </c>
      <c r="BK66" s="2" t="n">
        <v>0</v>
      </c>
      <c r="BL66" s="2" t="n">
        <v>77.71683333333334</v>
      </c>
      <c r="BM66" s="2" t="n">
        <v>208.0833333333333</v>
      </c>
      <c r="BN66" s="2" t="n">
        <v>19.312986</v>
      </c>
      <c r="BO66" s="2" t="n">
        <v>0</v>
      </c>
      <c r="BP66" s="2" t="n">
        <v>1230.547902666666</v>
      </c>
      <c r="BQ66" s="2" t="n">
        <v>1168.6945</v>
      </c>
      <c r="BR66" s="2" t="n">
        <v>0</v>
      </c>
      <c r="BS66" s="2" t="n">
        <v>619.5833333333334</v>
      </c>
      <c r="BT66" s="2" t="n">
        <v>475.9858833333334</v>
      </c>
      <c r="BU66" s="2" t="n">
        <v>2264.263716666667</v>
      </c>
      <c r="BV66" s="2" t="n">
        <v>3494.811619333334</v>
      </c>
      <c r="BW66" s="2" t="n">
        <v>1127.57</v>
      </c>
      <c r="BX66" s="2" t="n">
        <v>126.52</v>
      </c>
      <c r="BY66" s="2" t="n">
        <v>0</v>
      </c>
      <c r="BZ66" s="2" t="n">
        <v>1254.09</v>
      </c>
      <c r="CA66" s="2">
        <f>BB66-BV66</f>
        <v/>
      </c>
    </row>
    <row r="67">
      <c r="A67" t="n">
        <v>1237</v>
      </c>
      <c r="B67" t="inlineStr">
        <is>
          <t>Dworcowa 2, 61-801 Poznań</t>
        </is>
      </c>
      <c r="C67" t="inlineStr"/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10124.38</v>
      </c>
      <c r="K67" s="2" t="n">
        <v>842.7608907407407</v>
      </c>
      <c r="L67" s="2" t="n">
        <v>9374.425925925925</v>
      </c>
      <c r="M67" s="2" t="n">
        <v>1762.62</v>
      </c>
      <c r="N67" s="2" t="n">
        <v>7649.95</v>
      </c>
      <c r="O67" s="2" t="n">
        <v>711.8099999999999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19730.73</v>
      </c>
      <c r="AC67" s="2" t="n">
        <v>1278.843611111111</v>
      </c>
      <c r="AD67" s="2" t="n">
        <v>18269.19444444444</v>
      </c>
      <c r="AE67" s="2" t="n">
        <v>2882.34</v>
      </c>
      <c r="AF67" s="2" t="n">
        <v>15643.12</v>
      </c>
      <c r="AG67" s="2" t="n">
        <v>1205.27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7001.800000000001</v>
      </c>
      <c r="AO67" s="2" t="n">
        <v>544.5844444444446</v>
      </c>
      <c r="AP67" s="2" t="n">
        <v>6483.148148148149</v>
      </c>
      <c r="AQ67" s="2" t="n">
        <v>1039.48</v>
      </c>
      <c r="AR67" s="2" t="n">
        <v>5464.55</v>
      </c>
      <c r="AS67" s="2" t="n">
        <v>497.77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36856.91</v>
      </c>
      <c r="BA67" s="2" t="n">
        <v>31172.47</v>
      </c>
      <c r="BB67" s="2">
        <f>E67+K67+Q67+W67+AC67+AI67+AO67+AU67+IF(BC67="",0,BC67)</f>
        <v/>
      </c>
      <c r="BC67" s="2" t="n"/>
      <c r="BD67" s="2" t="n">
        <v>34126.76851851851</v>
      </c>
      <c r="BE67" s="2" t="n">
        <v>0</v>
      </c>
      <c r="BF67" s="2" t="n">
        <v>0</v>
      </c>
      <c r="BG67" s="2" t="n">
        <v>250.3346666666667</v>
      </c>
      <c r="BH67" s="2" t="n">
        <v>62.36983333333333</v>
      </c>
      <c r="BI67" s="2" t="n">
        <v>462.1969166666667</v>
      </c>
      <c r="BJ67" s="2" t="n">
        <v>150.5333333333333</v>
      </c>
      <c r="BK67" s="2" t="n">
        <v>0</v>
      </c>
      <c r="BL67" s="2" t="n">
        <v>77.71683333333334</v>
      </c>
      <c r="BM67" s="2" t="n">
        <v>208.0833333333333</v>
      </c>
      <c r="BN67" s="2" t="n">
        <v>480.056038</v>
      </c>
      <c r="BO67" s="2" t="n">
        <v>0</v>
      </c>
      <c r="BP67" s="2" t="n">
        <v>1691.290954666666</v>
      </c>
      <c r="BQ67" s="2" t="n">
        <v>1168.6945</v>
      </c>
      <c r="BR67" s="2" t="n">
        <v>0</v>
      </c>
      <c r="BS67" s="2" t="n">
        <v>619.5833333333334</v>
      </c>
      <c r="BT67" s="2" t="n">
        <v>475.9858833333334</v>
      </c>
      <c r="BU67" s="2" t="n">
        <v>2264.263716666667</v>
      </c>
      <c r="BV67" s="2" t="n">
        <v>3955.554671333333</v>
      </c>
      <c r="BW67" s="2" t="n">
        <v>28757.62</v>
      </c>
      <c r="BX67" s="2" t="n">
        <v>2414.85</v>
      </c>
      <c r="BY67" s="2" t="n">
        <v>5684.440000000001</v>
      </c>
      <c r="BZ67" s="2" t="n">
        <v>31172.47</v>
      </c>
      <c r="CA67" s="2">
        <f>BB67-BV67</f>
        <v/>
      </c>
    </row>
    <row r="68">
      <c r="A68" t="n">
        <v>1238</v>
      </c>
      <c r="B68" t="inlineStr">
        <is>
          <t>Dworcowa 2, 61-801 Poznań</t>
        </is>
      </c>
      <c r="C68" t="inlineStr"/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2775.15</v>
      </c>
      <c r="K68" s="2" t="n">
        <v>231.0055416666667</v>
      </c>
      <c r="L68" s="2" t="n">
        <v>2569.583333333333</v>
      </c>
      <c r="M68" s="2" t="n">
        <v>504.82</v>
      </c>
      <c r="N68" s="2" t="n">
        <v>2238.48</v>
      </c>
      <c r="O68" s="2" t="n">
        <v>31.85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7563.150000000001</v>
      </c>
      <c r="AC68" s="2" t="n">
        <v>490.2041666666667</v>
      </c>
      <c r="AD68" s="2" t="n">
        <v>7002.916666666667</v>
      </c>
      <c r="AE68" s="2" t="n">
        <v>1998.94</v>
      </c>
      <c r="AF68" s="2" t="n">
        <v>5107.25</v>
      </c>
      <c r="AG68" s="2" t="n">
        <v>456.96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2453.15</v>
      </c>
      <c r="AO68" s="2" t="n">
        <v>190.8005555555555</v>
      </c>
      <c r="AP68" s="2" t="n">
        <v>2271.435185185185</v>
      </c>
      <c r="AQ68" s="2" t="n">
        <v>565.22</v>
      </c>
      <c r="AR68" s="2" t="n">
        <v>1865.73</v>
      </c>
      <c r="AS68" s="2" t="n">
        <v>22.2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12791.45</v>
      </c>
      <c r="BA68" s="2" t="n">
        <v>9722.469999999999</v>
      </c>
      <c r="BB68" s="2">
        <f>E68+K68+Q68+W68+AC68+AI68+AO68+AU68+IF(BC68="",0,BC68)</f>
        <v/>
      </c>
      <c r="BC68" s="2" t="n"/>
      <c r="BD68" s="2" t="n">
        <v>11843.93518518518</v>
      </c>
      <c r="BE68" s="2" t="n">
        <v>0</v>
      </c>
      <c r="BF68" s="2" t="n">
        <v>0</v>
      </c>
      <c r="BG68" s="2" t="n">
        <v>250.3346666666667</v>
      </c>
      <c r="BH68" s="2" t="n">
        <v>62.36983333333333</v>
      </c>
      <c r="BI68" s="2" t="n">
        <v>462.1969166666667</v>
      </c>
      <c r="BJ68" s="2" t="n">
        <v>150.5333333333333</v>
      </c>
      <c r="BK68" s="2" t="n">
        <v>0</v>
      </c>
      <c r="BL68" s="2" t="n">
        <v>77.71683333333334</v>
      </c>
      <c r="BM68" s="2" t="n">
        <v>208.0833333333333</v>
      </c>
      <c r="BN68" s="2" t="n">
        <v>149.726038</v>
      </c>
      <c r="BO68" s="2" t="n">
        <v>0</v>
      </c>
      <c r="BP68" s="2" t="n">
        <v>1360.960954666667</v>
      </c>
      <c r="BQ68" s="2" t="n">
        <v>1168.6945</v>
      </c>
      <c r="BR68" s="2" t="n">
        <v>0</v>
      </c>
      <c r="BS68" s="2" t="n">
        <v>619.5833333333334</v>
      </c>
      <c r="BT68" s="2" t="n">
        <v>475.9858833333334</v>
      </c>
      <c r="BU68" s="2" t="n">
        <v>2264.263716666667</v>
      </c>
      <c r="BV68" s="2" t="n">
        <v>3625.224671333333</v>
      </c>
      <c r="BW68" s="2" t="n">
        <v>9211.459999999999</v>
      </c>
      <c r="BX68" s="2" t="n">
        <v>511.01</v>
      </c>
      <c r="BY68" s="2" t="n">
        <v>3068.98</v>
      </c>
      <c r="BZ68" s="2" t="n">
        <v>9722.469999999999</v>
      </c>
      <c r="CA68" s="2">
        <f>BB68-BV68</f>
        <v/>
      </c>
    </row>
    <row r="69">
      <c r="A69" t="n">
        <v>1239</v>
      </c>
      <c r="B69" t="inlineStr">
        <is>
          <t>Dworcowa 2, 61-801 Poznań</t>
        </is>
      </c>
      <c r="C69" t="inlineStr"/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20455.93</v>
      </c>
      <c r="K69" s="2" t="n">
        <v>1702.766765740741</v>
      </c>
      <c r="L69" s="2" t="n">
        <v>18940.67592592592</v>
      </c>
      <c r="M69" s="2" t="n">
        <v>4282.3</v>
      </c>
      <c r="N69" s="2" t="n">
        <v>14903.27</v>
      </c>
      <c r="O69" s="2" t="n">
        <v>1270.36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38241.79</v>
      </c>
      <c r="AC69" s="2" t="n">
        <v>2478.634537037037</v>
      </c>
      <c r="AD69" s="2" t="n">
        <v>35409.06481481481</v>
      </c>
      <c r="AE69" s="2" t="n">
        <v>6146.28</v>
      </c>
      <c r="AF69" s="2" t="n">
        <v>30637.53</v>
      </c>
      <c r="AG69" s="2" t="n">
        <v>1457.98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12246.62</v>
      </c>
      <c r="AO69" s="2" t="n">
        <v>952.5148888888889</v>
      </c>
      <c r="AP69" s="2" t="n">
        <v>11339.46296296296</v>
      </c>
      <c r="AQ69" s="2" t="n">
        <v>2612.24</v>
      </c>
      <c r="AR69" s="2" t="n">
        <v>9135.16</v>
      </c>
      <c r="AS69" s="2" t="n">
        <v>499.22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70944.34</v>
      </c>
      <c r="BA69" s="2" t="n">
        <v>57903.52</v>
      </c>
      <c r="BB69" s="2">
        <f>E69+K69+Q69+W69+AC69+AI69+AO69+AU69+IF(BC69="",0,BC69)</f>
        <v/>
      </c>
      <c r="BC69" s="2" t="n"/>
      <c r="BD69" s="2" t="n">
        <v>65689.20370370369</v>
      </c>
      <c r="BE69" s="2" t="n">
        <v>0</v>
      </c>
      <c r="BF69" s="2" t="n">
        <v>0</v>
      </c>
      <c r="BG69" s="2" t="n">
        <v>250.3346666666667</v>
      </c>
      <c r="BH69" s="2" t="n">
        <v>62.36983333333333</v>
      </c>
      <c r="BI69" s="2" t="n">
        <v>462.1969166666667</v>
      </c>
      <c r="BJ69" s="2" t="n">
        <v>150.5333333333333</v>
      </c>
      <c r="BK69" s="2" t="n">
        <v>0</v>
      </c>
      <c r="BL69" s="2" t="n">
        <v>77.71683333333334</v>
      </c>
      <c r="BM69" s="2" t="n">
        <v>208.0833333333333</v>
      </c>
      <c r="BN69" s="2" t="n">
        <v>891.714208</v>
      </c>
      <c r="BO69" s="2" t="n">
        <v>0</v>
      </c>
      <c r="BP69" s="2" t="n">
        <v>2102.949124666667</v>
      </c>
      <c r="BQ69" s="2" t="n">
        <v>1168.6945</v>
      </c>
      <c r="BR69" s="2" t="n">
        <v>0</v>
      </c>
      <c r="BS69" s="2" t="n">
        <v>619.5833333333334</v>
      </c>
      <c r="BT69" s="2" t="n">
        <v>475.9858833333334</v>
      </c>
      <c r="BU69" s="2" t="n">
        <v>2264.263716666667</v>
      </c>
      <c r="BV69" s="2" t="n">
        <v>4367.212841333334</v>
      </c>
      <c r="BW69" s="2" t="n">
        <v>54675.96000000001</v>
      </c>
      <c r="BX69" s="2" t="n">
        <v>3227.56</v>
      </c>
      <c r="BY69" s="2" t="n">
        <v>13040.82</v>
      </c>
      <c r="BZ69" s="2" t="n">
        <v>57903.52</v>
      </c>
      <c r="CA69" s="2">
        <f>BB69-BV69</f>
        <v/>
      </c>
    </row>
    <row r="70">
      <c r="A70" t="n">
        <v>1240</v>
      </c>
      <c r="B70" t="inlineStr">
        <is>
          <t>Dworcowa 2, 61-801 Poznań</t>
        </is>
      </c>
      <c r="C70" t="inlineStr"/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17499.85</v>
      </c>
      <c r="K70" s="2" t="n">
        <v>1456.700476851852</v>
      </c>
      <c r="L70" s="2" t="n">
        <v>16203.56481481482</v>
      </c>
      <c r="M70" s="2" t="n">
        <v>2955.18</v>
      </c>
      <c r="N70" s="2" t="n">
        <v>13891.93</v>
      </c>
      <c r="O70" s="2" t="n">
        <v>652.74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36946.14</v>
      </c>
      <c r="AC70" s="2" t="n">
        <v>2394.657222222222</v>
      </c>
      <c r="AD70" s="2" t="n">
        <v>34209.38888888888</v>
      </c>
      <c r="AE70" s="2" t="n">
        <v>5276.49</v>
      </c>
      <c r="AF70" s="2" t="n">
        <v>29763.71</v>
      </c>
      <c r="AG70" s="2" t="n">
        <v>1905.94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10402</v>
      </c>
      <c r="AO70" s="2" t="n">
        <v>809.0444444444445</v>
      </c>
      <c r="AP70" s="2" t="n">
        <v>9631.481481481482</v>
      </c>
      <c r="AQ70" s="2" t="n">
        <v>1807.27</v>
      </c>
      <c r="AR70" s="2" t="n">
        <v>7964.39</v>
      </c>
      <c r="AS70" s="2" t="n">
        <v>630.34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64847.99000000001</v>
      </c>
      <c r="BA70" s="2" t="n">
        <v>54809.05</v>
      </c>
      <c r="BB70" s="2">
        <f>E70+K70+Q70+W70+AC70+AI70+AO70+AU70+IF(BC70="",0,BC70)</f>
        <v/>
      </c>
      <c r="BC70" s="2" t="n"/>
      <c r="BD70" s="2" t="n">
        <v>60044.43518518518</v>
      </c>
      <c r="BE70" s="2" t="n">
        <v>0</v>
      </c>
      <c r="BF70" s="2" t="n">
        <v>0</v>
      </c>
      <c r="BG70" s="2" t="n">
        <v>250.3346666666667</v>
      </c>
      <c r="BH70" s="2" t="n">
        <v>62.36983333333333</v>
      </c>
      <c r="BI70" s="2" t="n">
        <v>462.1969166666667</v>
      </c>
      <c r="BJ70" s="2" t="n">
        <v>150.5333333333333</v>
      </c>
      <c r="BK70" s="2" t="n">
        <v>0</v>
      </c>
      <c r="BL70" s="2" t="n">
        <v>77.71683333333334</v>
      </c>
      <c r="BM70" s="2" t="n">
        <v>208.0833333333333</v>
      </c>
      <c r="BN70" s="2" t="n">
        <v>844.0593699999999</v>
      </c>
      <c r="BO70" s="2" t="n">
        <v>0</v>
      </c>
      <c r="BP70" s="2" t="n">
        <v>2055.294286666666</v>
      </c>
      <c r="BQ70" s="2" t="n">
        <v>1168.6945</v>
      </c>
      <c r="BR70" s="2" t="n">
        <v>0</v>
      </c>
      <c r="BS70" s="2" t="n">
        <v>619.5833333333334</v>
      </c>
      <c r="BT70" s="2" t="n">
        <v>475.9858833333334</v>
      </c>
      <c r="BU70" s="2" t="n">
        <v>2264.263716666667</v>
      </c>
      <c r="BV70" s="2" t="n">
        <v>4319.558003333334</v>
      </c>
      <c r="BW70" s="2" t="n">
        <v>51620.03</v>
      </c>
      <c r="BX70" s="2" t="n">
        <v>3189.02</v>
      </c>
      <c r="BY70" s="2" t="n">
        <v>10038.94</v>
      </c>
      <c r="BZ70" s="2" t="n">
        <v>54809.05</v>
      </c>
      <c r="CA70" s="2">
        <f>BB70-BV70</f>
        <v/>
      </c>
    </row>
    <row r="71">
      <c r="A71" t="n">
        <v>1241</v>
      </c>
      <c r="B71" t="inlineStr">
        <is>
          <t>Kolejowa 1, 62-510 Konin</t>
        </is>
      </c>
      <c r="C71" t="inlineStr"/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2759.74</v>
      </c>
      <c r="K71" s="2" t="n">
        <v>229.7228018518518</v>
      </c>
      <c r="L71" s="2" t="n">
        <v>2555.314814814814</v>
      </c>
      <c r="M71" s="2" t="n">
        <v>934.34</v>
      </c>
      <c r="N71" s="2" t="n">
        <v>1688.49</v>
      </c>
      <c r="O71" s="2" t="n">
        <v>136.91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6413.2</v>
      </c>
      <c r="AC71" s="2" t="n">
        <v>415.6703703703704</v>
      </c>
      <c r="AD71" s="2" t="n">
        <v>5938.148148148148</v>
      </c>
      <c r="AE71" s="2" t="n">
        <v>1139.58</v>
      </c>
      <c r="AF71" s="2" t="n">
        <v>5012.58</v>
      </c>
      <c r="AG71" s="2" t="n">
        <v>261.04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73.8</v>
      </c>
      <c r="AO71" s="2" t="n">
        <v>5.74</v>
      </c>
      <c r="AP71" s="2" t="n">
        <v>68.33333333333333</v>
      </c>
      <c r="AQ71" s="2" t="n">
        <v>0</v>
      </c>
      <c r="AR71" s="2" t="n">
        <v>73.8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9246.739999999998</v>
      </c>
      <c r="BA71" s="2" t="n">
        <v>7172.820000000001</v>
      </c>
      <c r="BB71" s="2">
        <f>E71+K71+Q71+W71+AC71+AI71+AO71+AU71+IF(BC71="",0,BC71)</f>
        <v/>
      </c>
      <c r="BC71" s="2" t="n"/>
      <c r="BD71" s="2" t="n">
        <v>8561.796296296296</v>
      </c>
      <c r="BE71" s="2" t="n">
        <v>420</v>
      </c>
      <c r="BF71" s="2" t="n">
        <v>187</v>
      </c>
      <c r="BG71" s="2" t="n">
        <v>250.3346666666667</v>
      </c>
      <c r="BH71" s="2" t="n">
        <v>62.36983333333333</v>
      </c>
      <c r="BI71" s="2" t="n">
        <v>462.1969166666667</v>
      </c>
      <c r="BJ71" s="2" t="n">
        <v>150.5333333333333</v>
      </c>
      <c r="BK71" s="2" t="n">
        <v>0</v>
      </c>
      <c r="BL71" s="2" t="n">
        <v>77.71683333333334</v>
      </c>
      <c r="BM71" s="2" t="n">
        <v>208.0833333333333</v>
      </c>
      <c r="BN71" s="2" t="n">
        <v>110.461428</v>
      </c>
      <c r="BO71" s="2" t="n">
        <v>0</v>
      </c>
      <c r="BP71" s="2" t="n">
        <v>1928.696344666667</v>
      </c>
      <c r="BQ71" s="2" t="n">
        <v>1168.6945</v>
      </c>
      <c r="BR71" s="2" t="n">
        <v>0</v>
      </c>
      <c r="BS71" s="2" t="n">
        <v>619.5833333333334</v>
      </c>
      <c r="BT71" s="2" t="n">
        <v>597.3858833333334</v>
      </c>
      <c r="BU71" s="2" t="n">
        <v>2385.663716666667</v>
      </c>
      <c r="BV71" s="2" t="n">
        <v>4314.360061333334</v>
      </c>
      <c r="BW71" s="2" t="n">
        <v>6774.87</v>
      </c>
      <c r="BX71" s="2" t="n">
        <v>397.95</v>
      </c>
      <c r="BY71" s="2" t="n">
        <v>2073.92</v>
      </c>
      <c r="BZ71" s="2" t="n">
        <v>7172.82</v>
      </c>
      <c r="CA71" s="2">
        <f>BB71-BV71</f>
        <v/>
      </c>
    </row>
    <row r="72">
      <c r="A72" t="n">
        <v>1242</v>
      </c>
      <c r="B72" t="inlineStr">
        <is>
          <t>Dworcowa 1, 62-800 Kalisz</t>
        </is>
      </c>
      <c r="C72" t="inlineStr"/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6685.69</v>
      </c>
      <c r="K72" s="2" t="n">
        <v>556.5217879629629</v>
      </c>
      <c r="L72" s="2" t="n">
        <v>6190.453703703703</v>
      </c>
      <c r="M72" s="2" t="n">
        <v>2692.22</v>
      </c>
      <c r="N72" s="2" t="n">
        <v>3600.65</v>
      </c>
      <c r="O72" s="2" t="n">
        <v>392.82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3980.74</v>
      </c>
      <c r="AC72" s="2" t="n">
        <v>258.0109259259259</v>
      </c>
      <c r="AD72" s="2" t="n">
        <v>3685.87037037037</v>
      </c>
      <c r="AE72" s="2" t="n">
        <v>1504.27</v>
      </c>
      <c r="AF72" s="2" t="n">
        <v>2368.87</v>
      </c>
      <c r="AG72" s="2" t="n">
        <v>107.6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4715.49</v>
      </c>
      <c r="AO72" s="2" t="n">
        <v>366.7603333333333</v>
      </c>
      <c r="AP72" s="2" t="n">
        <v>4366.194444444444</v>
      </c>
      <c r="AQ72" s="2" t="n">
        <v>1673.3</v>
      </c>
      <c r="AR72" s="2" t="n">
        <v>2710.15</v>
      </c>
      <c r="AS72" s="2" t="n">
        <v>332.04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15381.92</v>
      </c>
      <c r="BA72" s="2" t="n">
        <v>9512.130000000001</v>
      </c>
      <c r="BB72" s="2">
        <f>E72+K72+Q72+W72+AC72+AI72+AO72+AU72+IF(BC72="",0,BC72)</f>
        <v/>
      </c>
      <c r="BC72" s="2" t="n"/>
      <c r="BD72" s="2" t="n">
        <v>14242.51851851852</v>
      </c>
      <c r="BE72" s="2" t="n">
        <v>550.4299999999999</v>
      </c>
      <c r="BF72" s="2" t="n">
        <v>213</v>
      </c>
      <c r="BG72" s="2" t="n">
        <v>250.3346666666667</v>
      </c>
      <c r="BH72" s="2" t="n">
        <v>62.36983333333333</v>
      </c>
      <c r="BI72" s="2" t="n">
        <v>462.1969166666667</v>
      </c>
      <c r="BJ72" s="2" t="n">
        <v>150.5333333333333</v>
      </c>
      <c r="BK72" s="2" t="n">
        <v>0</v>
      </c>
      <c r="BL72" s="2" t="n">
        <v>77.71683333333334</v>
      </c>
      <c r="BM72" s="2" t="n">
        <v>208.0833333333333</v>
      </c>
      <c r="BN72" s="2" t="n">
        <v>146.486802</v>
      </c>
      <c r="BO72" s="2" t="n">
        <v>0</v>
      </c>
      <c r="BP72" s="2" t="n">
        <v>2121.151718666667</v>
      </c>
      <c r="BQ72" s="2" t="n">
        <v>1168.6945</v>
      </c>
      <c r="BR72" s="2" t="n">
        <v>0</v>
      </c>
      <c r="BS72" s="2" t="n">
        <v>619.5833333333334</v>
      </c>
      <c r="BT72" s="2" t="n">
        <v>628.6718833333334</v>
      </c>
      <c r="BU72" s="2" t="n">
        <v>2416.949716666667</v>
      </c>
      <c r="BV72" s="2" t="n">
        <v>4538.101435333334</v>
      </c>
      <c r="BW72" s="2" t="n">
        <v>8679.67</v>
      </c>
      <c r="BX72" s="2" t="n">
        <v>832.46</v>
      </c>
      <c r="BY72" s="2" t="n">
        <v>5869.79</v>
      </c>
      <c r="BZ72" s="2" t="n">
        <v>9512.130000000001</v>
      </c>
      <c r="CA72" s="2">
        <f>BB72-BV72</f>
        <v/>
      </c>
    </row>
    <row r="73">
      <c r="A73" t="n">
        <v>1243</v>
      </c>
      <c r="B73" t="inlineStr">
        <is>
          <t>Garbary 89, 61-757 Poznań</t>
        </is>
      </c>
      <c r="C73" t="inlineStr"/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96.87</v>
      </c>
      <c r="K73" s="2" t="n">
        <v>8.063530555555555</v>
      </c>
      <c r="L73" s="2" t="n">
        <v>89.69444444444444</v>
      </c>
      <c r="M73" s="2" t="n">
        <v>0</v>
      </c>
      <c r="N73" s="2" t="n">
        <v>96.87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13127.87</v>
      </c>
      <c r="AC73" s="2" t="n">
        <v>850.880462962963</v>
      </c>
      <c r="AD73" s="2" t="n">
        <v>12155.43518518518</v>
      </c>
      <c r="AE73" s="2" t="n">
        <v>1421.66</v>
      </c>
      <c r="AF73" s="2" t="n">
        <v>11169.13</v>
      </c>
      <c r="AG73" s="2" t="n">
        <v>537.08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1994.92</v>
      </c>
      <c r="AO73" s="2" t="n">
        <v>155.1604444444444</v>
      </c>
      <c r="AP73" s="2" t="n">
        <v>1847.148148148148</v>
      </c>
      <c r="AQ73" s="2" t="n">
        <v>253.88</v>
      </c>
      <c r="AR73" s="2" t="n">
        <v>1675.66</v>
      </c>
      <c r="AS73" s="2" t="n">
        <v>65.38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15219.66</v>
      </c>
      <c r="BA73" s="2" t="n">
        <v>13544.12</v>
      </c>
      <c r="BB73" s="2">
        <f>E73+K73+Q73+W73+AC73+AI73+AO73+AU73+IF(BC73="",0,BC73)</f>
        <v/>
      </c>
      <c r="BC73" s="2" t="n"/>
      <c r="BD73" s="2" t="n">
        <v>14092.27777777778</v>
      </c>
      <c r="BE73" s="2" t="n">
        <v>587.13</v>
      </c>
      <c r="BF73" s="2" t="n">
        <v>187</v>
      </c>
      <c r="BG73" s="2" t="n">
        <v>250.3346666666667</v>
      </c>
      <c r="BH73" s="2" t="n">
        <v>62.36983333333333</v>
      </c>
      <c r="BI73" s="2" t="n">
        <v>462.1969166666667</v>
      </c>
      <c r="BJ73" s="2" t="n">
        <v>150.5333333333333</v>
      </c>
      <c r="BK73" s="2" t="n">
        <v>0</v>
      </c>
      <c r="BL73" s="2" t="n">
        <v>77.71683333333334</v>
      </c>
      <c r="BM73" s="2" t="n">
        <v>208.0833333333333</v>
      </c>
      <c r="BN73" s="2" t="n">
        <v>208.579448</v>
      </c>
      <c r="BO73" s="2" t="n">
        <v>0</v>
      </c>
      <c r="BP73" s="2" t="n">
        <v>2193.944364666667</v>
      </c>
      <c r="BQ73" s="2" t="n">
        <v>1168.6945</v>
      </c>
      <c r="BR73" s="2" t="n">
        <v>0</v>
      </c>
      <c r="BS73" s="2" t="n">
        <v>619.5833333333334</v>
      </c>
      <c r="BT73" s="2" t="n">
        <v>630.8118833333334</v>
      </c>
      <c r="BU73" s="2" t="n">
        <v>2419.089716666667</v>
      </c>
      <c r="BV73" s="2" t="n">
        <v>4613.034081333333</v>
      </c>
      <c r="BW73" s="2" t="n">
        <v>12941.66</v>
      </c>
      <c r="BX73" s="2" t="n">
        <v>602.46</v>
      </c>
      <c r="BY73" s="2" t="n">
        <v>1675.54</v>
      </c>
      <c r="BZ73" s="2" t="n">
        <v>13544.12</v>
      </c>
      <c r="CA73" s="2">
        <f>BB73-BV73</f>
        <v/>
      </c>
    </row>
    <row r="74">
      <c r="A74" t="n">
        <v>1244</v>
      </c>
      <c r="B74" t="inlineStr">
        <is>
          <t>Dworcowa 7, 62-200 Gniezno</t>
        </is>
      </c>
      <c r="C74" t="inlineStr"/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10259.62</v>
      </c>
      <c r="K74" s="2" t="n">
        <v>854.0183685185184</v>
      </c>
      <c r="L74" s="2" t="n">
        <v>9499.648148148146</v>
      </c>
      <c r="M74" s="2" t="n">
        <v>1923.54</v>
      </c>
      <c r="N74" s="2" t="n">
        <v>7796.17</v>
      </c>
      <c r="O74" s="2" t="n">
        <v>539.91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13802.26</v>
      </c>
      <c r="AC74" s="2" t="n">
        <v>894.5909259259262</v>
      </c>
      <c r="AD74" s="2" t="n">
        <v>12779.87037037037</v>
      </c>
      <c r="AE74" s="2" t="n">
        <v>3370.62</v>
      </c>
      <c r="AF74" s="2" t="n">
        <v>9360.120000000001</v>
      </c>
      <c r="AG74" s="2" t="n">
        <v>1071.52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4761.2</v>
      </c>
      <c r="AO74" s="2" t="n">
        <v>370.3155555555555</v>
      </c>
      <c r="AP74" s="2" t="n">
        <v>4408.518518518518</v>
      </c>
      <c r="AQ74" s="2" t="n">
        <v>1398.44</v>
      </c>
      <c r="AR74" s="2" t="n">
        <v>3130.62</v>
      </c>
      <c r="AS74" s="2" t="n">
        <v>232.14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28823.08</v>
      </c>
      <c r="BA74" s="2" t="n">
        <v>22130.48</v>
      </c>
      <c r="BB74" s="2">
        <f>E74+K74+Q74+W74+AC74+AI74+AO74+AU74+IF(BC74="",0,BC74)</f>
        <v/>
      </c>
      <c r="BC74" s="2" t="n"/>
      <c r="BD74" s="2" t="n">
        <v>26688.03703703704</v>
      </c>
      <c r="BE74" s="2" t="n">
        <v>0</v>
      </c>
      <c r="BF74" s="2" t="n">
        <v>0</v>
      </c>
      <c r="BG74" s="2" t="n">
        <v>250.3346666666667</v>
      </c>
      <c r="BH74" s="2" t="n">
        <v>62.36983333333333</v>
      </c>
      <c r="BI74" s="2" t="n">
        <v>462.1969166666667</v>
      </c>
      <c r="BJ74" s="2" t="n">
        <v>150.5333333333333</v>
      </c>
      <c r="BK74" s="2" t="n">
        <v>0</v>
      </c>
      <c r="BL74" s="2" t="n">
        <v>77.71683333333334</v>
      </c>
      <c r="BM74" s="2" t="n">
        <v>208.0833333333333</v>
      </c>
      <c r="BN74" s="2" t="n">
        <v>340.809392</v>
      </c>
      <c r="BO74" s="2" t="n">
        <v>0</v>
      </c>
      <c r="BP74" s="2" t="n">
        <v>1552.044308666666</v>
      </c>
      <c r="BQ74" s="2" t="n">
        <v>1168.6945</v>
      </c>
      <c r="BR74" s="2" t="n">
        <v>0</v>
      </c>
      <c r="BS74" s="2" t="n">
        <v>619.5833333333334</v>
      </c>
      <c r="BT74" s="2" t="n">
        <v>475.9858833333334</v>
      </c>
      <c r="BU74" s="2" t="n">
        <v>2264.263716666667</v>
      </c>
      <c r="BV74" s="2" t="n">
        <v>3816.308025333333</v>
      </c>
      <c r="BW74" s="2" t="n">
        <v>20286.91</v>
      </c>
      <c r="BX74" s="2" t="n">
        <v>1843.57</v>
      </c>
      <c r="BY74" s="2" t="n">
        <v>6692.6</v>
      </c>
      <c r="BZ74" s="2" t="n">
        <v>22130.48</v>
      </c>
      <c r="CA74" s="2">
        <f>BB74-BV74</f>
        <v/>
      </c>
    </row>
    <row r="75">
      <c r="A75" t="n">
        <v>1245</v>
      </c>
      <c r="B75" t="inlineStr">
        <is>
          <t>Plac Dworcowy 1, 80-321 Gdańsk</t>
        </is>
      </c>
      <c r="C75" t="inlineStr"/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2867.59</v>
      </c>
      <c r="K75" s="2" t="n">
        <v>238.7003157407408</v>
      </c>
      <c r="L75" s="2" t="n">
        <v>2655.175925925926</v>
      </c>
      <c r="M75" s="2" t="n">
        <v>733.92</v>
      </c>
      <c r="N75" s="2" t="n">
        <v>1976.27</v>
      </c>
      <c r="O75" s="2" t="n">
        <v>157.4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3279.61</v>
      </c>
      <c r="AO75" s="2" t="n">
        <v>255.0807777777778</v>
      </c>
      <c r="AP75" s="2" t="n">
        <v>3036.675925925926</v>
      </c>
      <c r="AQ75" s="2" t="n">
        <v>754.74</v>
      </c>
      <c r="AR75" s="2" t="n">
        <v>2445.93</v>
      </c>
      <c r="AS75" s="2" t="n">
        <v>78.94</v>
      </c>
      <c r="AT75" s="2" t="n">
        <v>1125.65</v>
      </c>
      <c r="AU75" s="2" t="n">
        <v>44.81754629629629</v>
      </c>
      <c r="AV75" s="2" t="n">
        <v>1042.268518518518</v>
      </c>
      <c r="AW75" s="2" t="n">
        <v>415.1</v>
      </c>
      <c r="AX75" s="2" t="n">
        <v>696.35</v>
      </c>
      <c r="AY75" s="2" t="n">
        <v>14.2</v>
      </c>
      <c r="AZ75" s="2" t="n">
        <v>7272.85</v>
      </c>
      <c r="BA75" s="2" t="n">
        <v>5369.09</v>
      </c>
      <c r="BB75" s="2">
        <f>E75+K75+Q75+W75+AC75+AI75+AO75+AU75+IF(BC75="",0,BC75)</f>
        <v/>
      </c>
      <c r="BC75" s="2" t="n"/>
      <c r="BD75" s="2" t="n">
        <v>6734.12037037037</v>
      </c>
      <c r="BE75" s="2" t="n">
        <v>0</v>
      </c>
      <c r="BF75" s="2" t="n">
        <v>0</v>
      </c>
      <c r="BG75" s="2" t="n">
        <v>250.3346666666667</v>
      </c>
      <c r="BH75" s="2" t="n">
        <v>62.36983333333333</v>
      </c>
      <c r="BI75" s="2" t="n">
        <v>462.1969166666667</v>
      </c>
      <c r="BJ75" s="2" t="n">
        <v>150.5333333333333</v>
      </c>
      <c r="BK75" s="2" t="n">
        <v>0</v>
      </c>
      <c r="BL75" s="2" t="n">
        <v>77.71683333333334</v>
      </c>
      <c r="BM75" s="2" t="n">
        <v>208.0833333333333</v>
      </c>
      <c r="BN75" s="2" t="n">
        <v>82.683986</v>
      </c>
      <c r="BO75" s="2" t="n">
        <v>0</v>
      </c>
      <c r="BP75" s="2" t="n">
        <v>1293.918902666667</v>
      </c>
      <c r="BQ75" s="2" t="n">
        <v>1168.6945</v>
      </c>
      <c r="BR75" s="2" t="n">
        <v>0</v>
      </c>
      <c r="BS75" s="2" t="n">
        <v>619.5833333333334</v>
      </c>
      <c r="BT75" s="2" t="n">
        <v>475.9858833333334</v>
      </c>
      <c r="BU75" s="2" t="n">
        <v>2264.263716666667</v>
      </c>
      <c r="BV75" s="2" t="n">
        <v>3558.182619333334</v>
      </c>
      <c r="BW75" s="2" t="n">
        <v>5118.55</v>
      </c>
      <c r="BX75" s="2" t="n">
        <v>250.54</v>
      </c>
      <c r="BY75" s="2" t="n">
        <v>1903.76</v>
      </c>
      <c r="BZ75" s="2" t="n">
        <v>5369.09</v>
      </c>
      <c r="CA75" s="2">
        <f>BB75-BV75</f>
        <v/>
      </c>
    </row>
    <row r="76">
      <c r="A76" t="n">
        <v>1246</v>
      </c>
      <c r="B76" t="inlineStr">
        <is>
          <t>Dworcowa 1, 63-400 Ostrów Wlkp.</t>
        </is>
      </c>
      <c r="C76" t="inlineStr"/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4116.79</v>
      </c>
      <c r="K76" s="2" t="n">
        <v>342.6846490740741</v>
      </c>
      <c r="L76" s="2" t="n">
        <v>3811.842592592592</v>
      </c>
      <c r="M76" s="2" t="n">
        <v>1711.31</v>
      </c>
      <c r="N76" s="2" t="n">
        <v>2327.28</v>
      </c>
      <c r="O76" s="2" t="n">
        <v>78.2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7735.46</v>
      </c>
      <c r="AC76" s="2" t="n">
        <v>501.3724074074074</v>
      </c>
      <c r="AD76" s="2" t="n">
        <v>7162.462962962963</v>
      </c>
      <c r="AE76" s="2" t="n">
        <v>2488.54</v>
      </c>
      <c r="AF76" s="2" t="n">
        <v>4959.8</v>
      </c>
      <c r="AG76" s="2" t="n">
        <v>287.12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7386.940000000001</v>
      </c>
      <c r="AO76" s="2" t="n">
        <v>574.5397777777778</v>
      </c>
      <c r="AP76" s="2" t="n">
        <v>6839.759259259259</v>
      </c>
      <c r="AQ76" s="2" t="n">
        <v>1789.6</v>
      </c>
      <c r="AR76" s="2" t="n">
        <v>5156.92</v>
      </c>
      <c r="AS76" s="2" t="n">
        <v>440.42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19239.19</v>
      </c>
      <c r="BA76" s="2" t="n">
        <v>13249.74</v>
      </c>
      <c r="BB76" s="2">
        <f>E76+K76+Q76+W76+AC76+AI76+AO76+AU76+IF(BC76="",0,BC76)</f>
        <v/>
      </c>
      <c r="BC76" s="2" t="n"/>
      <c r="BD76" s="2" t="n">
        <v>17814.06481481481</v>
      </c>
      <c r="BE76" s="2" t="n">
        <v>0</v>
      </c>
      <c r="BF76" s="2" t="n">
        <v>0</v>
      </c>
      <c r="BG76" s="2" t="n">
        <v>250.3346666666667</v>
      </c>
      <c r="BH76" s="2" t="n">
        <v>62.36983333333333</v>
      </c>
      <c r="BI76" s="2" t="n">
        <v>462.1969166666667</v>
      </c>
      <c r="BJ76" s="2" t="n">
        <v>150.5333333333333</v>
      </c>
      <c r="BK76" s="2" t="n">
        <v>0</v>
      </c>
      <c r="BL76" s="2" t="n">
        <v>77.71683333333334</v>
      </c>
      <c r="BM76" s="2" t="n">
        <v>208.0833333333333</v>
      </c>
      <c r="BN76" s="2" t="n">
        <v>204.045996</v>
      </c>
      <c r="BO76" s="2" t="n">
        <v>0</v>
      </c>
      <c r="BP76" s="2" t="n">
        <v>1415.280912666667</v>
      </c>
      <c r="BQ76" s="2" t="n">
        <v>1168.6945</v>
      </c>
      <c r="BR76" s="2" t="n">
        <v>0</v>
      </c>
      <c r="BS76" s="2" t="n">
        <v>619.5833333333334</v>
      </c>
      <c r="BT76" s="2" t="n">
        <v>475.9858833333334</v>
      </c>
      <c r="BU76" s="2" t="n">
        <v>2264.263716666667</v>
      </c>
      <c r="BV76" s="2" t="n">
        <v>3679.544629333333</v>
      </c>
      <c r="BW76" s="2" t="n">
        <v>12444</v>
      </c>
      <c r="BX76" s="2" t="n">
        <v>805.74</v>
      </c>
      <c r="BY76" s="2" t="n">
        <v>5989.450000000001</v>
      </c>
      <c r="BZ76" s="2" t="n">
        <v>13249.74</v>
      </c>
      <c r="CA76" s="2">
        <f>BB76-BV76</f>
        <v/>
      </c>
    </row>
    <row r="77">
      <c r="A77" t="n">
        <v>1247</v>
      </c>
      <c r="B77" t="inlineStr">
        <is>
          <t>Kujawska 1, 87-100 Toruń</t>
        </is>
      </c>
      <c r="C77" t="inlineStr"/>
      <c r="D77" s="2" t="n">
        <v>1006.91</v>
      </c>
      <c r="E77" s="2" t="n">
        <v>1100</v>
      </c>
      <c r="F77" s="2" t="n">
        <v>932.3240740740741</v>
      </c>
      <c r="G77" s="2" t="n">
        <v>362.16</v>
      </c>
      <c r="H77" s="2" t="n">
        <v>545.72</v>
      </c>
      <c r="I77" s="2" t="n">
        <v>99.03</v>
      </c>
      <c r="J77" s="2" t="n">
        <v>3273.38</v>
      </c>
      <c r="K77" s="2" t="n">
        <v>272.478575925926</v>
      </c>
      <c r="L77" s="2" t="n">
        <v>3030.907407407407</v>
      </c>
      <c r="M77" s="2" t="n">
        <v>766.87</v>
      </c>
      <c r="N77" s="2" t="n">
        <v>2423.32</v>
      </c>
      <c r="O77" s="2" t="n">
        <v>83.19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7948.76</v>
      </c>
      <c r="AO77" s="2" t="n">
        <v>618.2368888888889</v>
      </c>
      <c r="AP77" s="2" t="n">
        <v>7359.962962962963</v>
      </c>
      <c r="AQ77" s="2" t="n">
        <v>2213.23</v>
      </c>
      <c r="AR77" s="2" t="n">
        <v>5409.01</v>
      </c>
      <c r="AS77" s="2" t="n">
        <v>326.52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12229.05</v>
      </c>
      <c r="BA77" s="2" t="n">
        <v>8886.790000000001</v>
      </c>
      <c r="BB77" s="2">
        <f>E77+K77+Q77+W77+AC77+AI77+AO77+AU77+IF(BC77="",0,BC77)</f>
        <v/>
      </c>
      <c r="BC77" s="2" t="n"/>
      <c r="BD77" s="2" t="n">
        <v>11323.19444444445</v>
      </c>
      <c r="BE77" s="2" t="n">
        <v>0</v>
      </c>
      <c r="BF77" s="2" t="n">
        <v>0</v>
      </c>
      <c r="BG77" s="2" t="n">
        <v>250.3346666666667</v>
      </c>
      <c r="BH77" s="2" t="n">
        <v>62.36983333333333</v>
      </c>
      <c r="BI77" s="2" t="n">
        <v>462.1969166666667</v>
      </c>
      <c r="BJ77" s="2" t="n">
        <v>150.5333333333333</v>
      </c>
      <c r="BK77" s="2" t="n">
        <v>0</v>
      </c>
      <c r="BL77" s="2" t="n">
        <v>77.71683333333334</v>
      </c>
      <c r="BM77" s="2" t="n">
        <v>208.0833333333333</v>
      </c>
      <c r="BN77" s="2" t="n">
        <v>136.856566</v>
      </c>
      <c r="BO77" s="2" t="n">
        <v>0</v>
      </c>
      <c r="BP77" s="2" t="n">
        <v>1348.091482666666</v>
      </c>
      <c r="BQ77" s="2" t="n">
        <v>1168.6945</v>
      </c>
      <c r="BR77" s="2" t="n">
        <v>0</v>
      </c>
      <c r="BS77" s="2" t="n">
        <v>619.5833333333334</v>
      </c>
      <c r="BT77" s="2" t="n">
        <v>475.9858833333334</v>
      </c>
      <c r="BU77" s="2" t="n">
        <v>2264.263716666667</v>
      </c>
      <c r="BV77" s="2" t="n">
        <v>3612.355199333333</v>
      </c>
      <c r="BW77" s="2" t="n">
        <v>8378.049999999999</v>
      </c>
      <c r="BX77" s="2" t="n">
        <v>508.74</v>
      </c>
      <c r="BY77" s="2" t="n">
        <v>3342.26</v>
      </c>
      <c r="BZ77" s="2" t="n">
        <v>8886.789999999999</v>
      </c>
      <c r="CA77" s="2">
        <f>BB77-BV77</f>
        <v/>
      </c>
    </row>
    <row r="78">
      <c r="A78" t="n">
        <v>1249</v>
      </c>
      <c r="B78" t="inlineStr">
        <is>
          <t>Stefana Okrzei 65, 87-810 Włocławek</t>
        </is>
      </c>
      <c r="C78" t="inlineStr"/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1480.71</v>
      </c>
      <c r="K78" s="2" t="n">
        <v>123.2553972222222</v>
      </c>
      <c r="L78" s="2" t="n">
        <v>1371.027777777778</v>
      </c>
      <c r="M78" s="2" t="n">
        <v>524.34</v>
      </c>
      <c r="N78" s="2" t="n">
        <v>749.51</v>
      </c>
      <c r="O78" s="2" t="n">
        <v>206.86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4057.59</v>
      </c>
      <c r="AO78" s="2" t="n">
        <v>315.5903333333334</v>
      </c>
      <c r="AP78" s="2" t="n">
        <v>3757.027777777778</v>
      </c>
      <c r="AQ78" s="2" t="n">
        <v>1194.31</v>
      </c>
      <c r="AR78" s="2" t="n">
        <v>2663.65</v>
      </c>
      <c r="AS78" s="2" t="n">
        <v>199.63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5538.3</v>
      </c>
      <c r="BA78" s="2" t="n">
        <v>3819.65</v>
      </c>
      <c r="BB78" s="2">
        <f>E78+K78+Q78+W78+AC78+AI78+AO78+AU78+IF(BC78="",0,BC78)</f>
        <v/>
      </c>
      <c r="BC78" s="2" t="n"/>
      <c r="BD78" s="2" t="n">
        <v>5128.055555555556</v>
      </c>
      <c r="BE78" s="2" t="n">
        <v>694.8000000000001</v>
      </c>
      <c r="BF78" s="2" t="n">
        <v>106</v>
      </c>
      <c r="BG78" s="2" t="n">
        <v>250.3346666666667</v>
      </c>
      <c r="BH78" s="2" t="n">
        <v>62.36983333333333</v>
      </c>
      <c r="BI78" s="2" t="n">
        <v>462.1969166666667</v>
      </c>
      <c r="BJ78" s="2" t="n">
        <v>150.5333333333333</v>
      </c>
      <c r="BK78" s="2" t="n">
        <v>0</v>
      </c>
      <c r="BL78" s="2" t="n">
        <v>77.71683333333334</v>
      </c>
      <c r="BM78" s="2" t="n">
        <v>208.0833333333333</v>
      </c>
      <c r="BN78" s="2" t="n">
        <v>58.82261</v>
      </c>
      <c r="BO78" s="2" t="n">
        <v>0</v>
      </c>
      <c r="BP78" s="2" t="n">
        <v>2070.857526666667</v>
      </c>
      <c r="BQ78" s="2" t="n">
        <v>1168.6945</v>
      </c>
      <c r="BR78" s="2" t="n">
        <v>0</v>
      </c>
      <c r="BS78" s="2" t="n">
        <v>619.5833333333334</v>
      </c>
      <c r="BT78" s="2" t="n">
        <v>636.1458833333335</v>
      </c>
      <c r="BU78" s="2" t="n">
        <v>2424.423716666667</v>
      </c>
      <c r="BV78" s="2" t="n">
        <v>4495.281243333334</v>
      </c>
      <c r="BW78" s="2" t="n">
        <v>3413.16</v>
      </c>
      <c r="BX78" s="2" t="n">
        <v>406.49</v>
      </c>
      <c r="BY78" s="2" t="n">
        <v>1718.65</v>
      </c>
      <c r="BZ78" s="2" t="n">
        <v>3819.65</v>
      </c>
      <c r="CA78" s="2">
        <f>BB78-BV78</f>
        <v/>
      </c>
    </row>
    <row r="79">
      <c r="A79" t="n">
        <v>1250</v>
      </c>
      <c r="B79" t="inlineStr">
        <is>
          <t>Kolejowa 3, 58-540 Karpacz</t>
        </is>
      </c>
      <c r="C79" t="inlineStr"/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14556.96</v>
      </c>
      <c r="Q79" s="2" t="n">
        <v>2500</v>
      </c>
      <c r="R79" s="2" t="n">
        <v>13478.66666666667</v>
      </c>
      <c r="S79" s="2" t="n">
        <v>0</v>
      </c>
      <c r="T79" s="2" t="n">
        <v>12535.2</v>
      </c>
      <c r="U79" s="2" t="n">
        <v>2021.76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14556.96</v>
      </c>
      <c r="BA79" s="2" t="n">
        <v>14556.96</v>
      </c>
      <c r="BB79" s="2">
        <f>E79+K79+Q79+W79+AC79+AI79+AO79+AU79+IF(BC79="",0,BC79)</f>
        <v/>
      </c>
      <c r="BC79" s="2" t="n"/>
      <c r="BD79" s="2" t="n">
        <v>13478.66666666667</v>
      </c>
      <c r="BE79" s="2" t="n">
        <v>0</v>
      </c>
      <c r="BF79" s="2" t="n">
        <v>0</v>
      </c>
      <c r="BG79" s="2" t="n">
        <v>250.3346666666667</v>
      </c>
      <c r="BH79" s="2" t="n">
        <v>62.36983333333333</v>
      </c>
      <c r="BI79" s="2" t="n">
        <v>462.1969166666667</v>
      </c>
      <c r="BJ79" s="2" t="n">
        <v>150.5333333333333</v>
      </c>
      <c r="BK79" s="2" t="n">
        <v>0</v>
      </c>
      <c r="BL79" s="2" t="n">
        <v>77.71683333333334</v>
      </c>
      <c r="BM79" s="2" t="n">
        <v>208.0833333333333</v>
      </c>
      <c r="BN79" s="2" t="n">
        <v>224.177184</v>
      </c>
      <c r="BO79" s="2" t="n">
        <v>0</v>
      </c>
      <c r="BP79" s="2" t="n">
        <v>1435.412100666666</v>
      </c>
      <c r="BQ79" s="2" t="n">
        <v>1168.6945</v>
      </c>
      <c r="BR79" s="2" t="n">
        <v>0</v>
      </c>
      <c r="BS79" s="2" t="n">
        <v>619.5833333333334</v>
      </c>
      <c r="BT79" s="2" t="n">
        <v>475.9858833333334</v>
      </c>
      <c r="BU79" s="2" t="n">
        <v>2264.263716666667</v>
      </c>
      <c r="BV79" s="2" t="n">
        <v>3699.675817333333</v>
      </c>
      <c r="BW79" s="2" t="n">
        <v>12535.2</v>
      </c>
      <c r="BX79" s="2" t="n">
        <v>2021.76</v>
      </c>
      <c r="BY79" s="2" t="n">
        <v>0</v>
      </c>
      <c r="BZ79" s="2" t="n">
        <v>14556.96</v>
      </c>
      <c r="CA79" s="2">
        <f>BB79-BV79</f>
        <v/>
      </c>
    </row>
    <row r="80">
      <c r="A80" t="n">
        <v>1252</v>
      </c>
      <c r="B80" t="inlineStr">
        <is>
          <t>Krakowska 48, 46-020 Opole</t>
        </is>
      </c>
      <c r="C80" t="inlineStr"/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5503.84</v>
      </c>
      <c r="K80" s="2" t="n">
        <v>458.1437185185185</v>
      </c>
      <c r="L80" s="2" t="n">
        <v>5096.148148148148</v>
      </c>
      <c r="M80" s="2" t="n">
        <v>1763.21</v>
      </c>
      <c r="N80" s="2" t="n">
        <v>3740.63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10783.13</v>
      </c>
      <c r="AO80" s="2" t="n">
        <v>838.6878888888888</v>
      </c>
      <c r="AP80" s="2" t="n">
        <v>9984.379629629628</v>
      </c>
      <c r="AQ80" s="2" t="n">
        <v>3231.97</v>
      </c>
      <c r="AR80" s="2" t="n">
        <v>7551.16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16286.97</v>
      </c>
      <c r="BA80" s="2" t="n">
        <v>11291.79</v>
      </c>
      <c r="BB80" s="2">
        <f>E80+K80+Q80+W80+AC80+AI80+AO80+AU80+IF(BC80="",0,BC80)</f>
        <v/>
      </c>
      <c r="BC80" s="2" t="n"/>
      <c r="BD80" s="2" t="n">
        <v>15080.52777777778</v>
      </c>
      <c r="BE80" s="2" t="n">
        <v>0</v>
      </c>
      <c r="BF80" s="2" t="n">
        <v>0</v>
      </c>
      <c r="BG80" s="2" t="n">
        <v>250.3346666666667</v>
      </c>
      <c r="BH80" s="2" t="n">
        <v>62.36983333333333</v>
      </c>
      <c r="BI80" s="2" t="n">
        <v>462.1969166666667</v>
      </c>
      <c r="BJ80" s="2" t="n">
        <v>150.5333333333333</v>
      </c>
      <c r="BK80" s="2" t="n">
        <v>0</v>
      </c>
      <c r="BL80" s="2" t="n">
        <v>77.71683333333334</v>
      </c>
      <c r="BM80" s="2" t="n">
        <v>208.0833333333333</v>
      </c>
      <c r="BN80" s="2" t="n">
        <v>173.893566</v>
      </c>
      <c r="BO80" s="2" t="n">
        <v>0</v>
      </c>
      <c r="BP80" s="2" t="n">
        <v>1385.128482666667</v>
      </c>
      <c r="BQ80" s="2" t="n">
        <v>1168.6945</v>
      </c>
      <c r="BR80" s="2" t="n">
        <v>0</v>
      </c>
      <c r="BS80" s="2" t="n">
        <v>619.5833333333334</v>
      </c>
      <c r="BT80" s="2" t="n">
        <v>475.9858833333334</v>
      </c>
      <c r="BU80" s="2" t="n">
        <v>2264.263716666667</v>
      </c>
      <c r="BV80" s="2" t="n">
        <v>3649.392199333333</v>
      </c>
      <c r="BW80" s="2" t="n">
        <v>11291.79</v>
      </c>
      <c r="BX80" s="2" t="n">
        <v>0</v>
      </c>
      <c r="BY80" s="2" t="n">
        <v>4995.18</v>
      </c>
      <c r="BZ80" s="2" t="n">
        <v>11291.79</v>
      </c>
      <c r="CA80" s="2">
        <f>BB80-BV80</f>
        <v/>
      </c>
    </row>
    <row r="81">
      <c r="A81" t="n">
        <v>1254</v>
      </c>
      <c r="B81" t="inlineStr">
        <is>
          <t>Stacyjna 5, 53-600 Wrocław</t>
        </is>
      </c>
      <c r="C81" t="inlineStr"/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2723.24</v>
      </c>
      <c r="K81" s="2" t="n">
        <v>226.6845148148149</v>
      </c>
      <c r="L81" s="2" t="n">
        <v>2521.518518518519</v>
      </c>
      <c r="M81" s="2" t="n">
        <v>1001.56</v>
      </c>
      <c r="N81" s="2" t="n">
        <v>1681.38</v>
      </c>
      <c r="O81" s="2" t="n">
        <v>40.3</v>
      </c>
      <c r="P81" s="2" t="n">
        <v>10855.22</v>
      </c>
      <c r="Q81" s="2" t="n">
        <v>1600</v>
      </c>
      <c r="R81" s="2" t="n">
        <v>10051.12962962963</v>
      </c>
      <c r="S81" s="2" t="n">
        <v>1961.12</v>
      </c>
      <c r="T81" s="2" t="n">
        <v>8602.120000000001</v>
      </c>
      <c r="U81" s="2" t="n">
        <v>291.98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7374.89</v>
      </c>
      <c r="AO81" s="2" t="n">
        <v>573.6025555555556</v>
      </c>
      <c r="AP81" s="2" t="n">
        <v>6828.601851851851</v>
      </c>
      <c r="AQ81" s="2" t="n">
        <v>1668.76</v>
      </c>
      <c r="AR81" s="2" t="n">
        <v>5411.57</v>
      </c>
      <c r="AS81" s="2" t="n">
        <v>294.56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20953.35</v>
      </c>
      <c r="BA81" s="2" t="n">
        <v>16321.91</v>
      </c>
      <c r="BB81" s="2">
        <f>E81+K81+Q81+W81+AC81+AI81+AO81+AU81+IF(BC81="",0,BC81)</f>
        <v/>
      </c>
      <c r="BC81" s="2" t="n"/>
      <c r="BD81" s="2" t="n">
        <v>19401.25</v>
      </c>
      <c r="BE81" s="2" t="n">
        <v>0</v>
      </c>
      <c r="BF81" s="2" t="n">
        <v>0</v>
      </c>
      <c r="BG81" s="2" t="n">
        <v>250.3346666666667</v>
      </c>
      <c r="BH81" s="2" t="n">
        <v>62.36983333333333</v>
      </c>
      <c r="BI81" s="2" t="n">
        <v>462.1969166666667</v>
      </c>
      <c r="BJ81" s="2" t="n">
        <v>150.5333333333333</v>
      </c>
      <c r="BK81" s="2" t="n">
        <v>0</v>
      </c>
      <c r="BL81" s="2" t="n">
        <v>77.71683333333334</v>
      </c>
      <c r="BM81" s="2" t="n">
        <v>208.0833333333333</v>
      </c>
      <c r="BN81" s="2" t="n">
        <v>251.357414</v>
      </c>
      <c r="BO81" s="2" t="n">
        <v>0</v>
      </c>
      <c r="BP81" s="2" t="n">
        <v>1462.592330666667</v>
      </c>
      <c r="BQ81" s="2" t="n">
        <v>1168.6945</v>
      </c>
      <c r="BR81" s="2" t="n">
        <v>0</v>
      </c>
      <c r="BS81" s="2" t="n">
        <v>619.5833333333334</v>
      </c>
      <c r="BT81" s="2" t="n">
        <v>475.9858833333334</v>
      </c>
      <c r="BU81" s="2" t="n">
        <v>2264.263716666667</v>
      </c>
      <c r="BV81" s="2" t="n">
        <v>3726.856047333334</v>
      </c>
      <c r="BW81" s="2" t="n">
        <v>15695.07</v>
      </c>
      <c r="BX81" s="2" t="n">
        <v>626.84</v>
      </c>
      <c r="BY81" s="2" t="n">
        <v>4631.44</v>
      </c>
      <c r="BZ81" s="2" t="n">
        <v>16321.91</v>
      </c>
      <c r="CA81" s="2">
        <f>BB81-BV81</f>
        <v/>
      </c>
    </row>
    <row r="82">
      <c r="A82" t="n">
        <v>1256</v>
      </c>
      <c r="B82" t="inlineStr">
        <is>
          <t>Dworcowa 2, 61-801 Poznań</t>
        </is>
      </c>
      <c r="C82" t="inlineStr"/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1704.78</v>
      </c>
      <c r="K82" s="2" t="n">
        <v>141.90715</v>
      </c>
      <c r="L82" s="2" t="n">
        <v>1578.5</v>
      </c>
      <c r="M82" s="2" t="n">
        <v>216.32</v>
      </c>
      <c r="N82" s="2" t="n">
        <v>1439.46</v>
      </c>
      <c r="O82" s="2" t="n">
        <v>49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3378.25</v>
      </c>
      <c r="AC82" s="2" t="n">
        <v>218.9606481481482</v>
      </c>
      <c r="AD82" s="2" t="n">
        <v>3128.009259259259</v>
      </c>
      <c r="AE82" s="2" t="n">
        <v>816.1</v>
      </c>
      <c r="AF82" s="2" t="n">
        <v>2384.12</v>
      </c>
      <c r="AG82" s="2" t="n">
        <v>178.03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1188.82</v>
      </c>
      <c r="AO82" s="2" t="n">
        <v>92.46377777777778</v>
      </c>
      <c r="AP82" s="2" t="n">
        <v>1100.759259259259</v>
      </c>
      <c r="AQ82" s="2" t="n">
        <v>243.99</v>
      </c>
      <c r="AR82" s="2" t="n">
        <v>779.8099999999999</v>
      </c>
      <c r="AS82" s="2" t="n">
        <v>165.02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6271.849999999999</v>
      </c>
      <c r="BA82" s="2" t="n">
        <v>4995.440000000001</v>
      </c>
      <c r="BB82" s="2">
        <f>E82+K82+Q82+W82+AC82+AI82+AO82+AU82+IF(BC82="",0,BC82)</f>
        <v/>
      </c>
      <c r="BC82" s="2" t="n"/>
      <c r="BD82" s="2" t="n">
        <v>5807.268518518518</v>
      </c>
      <c r="BE82" s="2" t="n">
        <v>0</v>
      </c>
      <c r="BF82" s="2" t="n">
        <v>0</v>
      </c>
      <c r="BG82" s="2" t="n">
        <v>250.3346666666667</v>
      </c>
      <c r="BH82" s="2" t="n">
        <v>62.36983333333333</v>
      </c>
      <c r="BI82" s="2" t="n">
        <v>462.1969166666667</v>
      </c>
      <c r="BJ82" s="2" t="n">
        <v>150.5333333333333</v>
      </c>
      <c r="BK82" s="2" t="n">
        <v>0</v>
      </c>
      <c r="BL82" s="2" t="n">
        <v>77.71683333333334</v>
      </c>
      <c r="BM82" s="2" t="n">
        <v>208.0833333333333</v>
      </c>
      <c r="BN82" s="2" t="n">
        <v>76.929776</v>
      </c>
      <c r="BO82" s="2" t="n">
        <v>0</v>
      </c>
      <c r="BP82" s="2" t="n">
        <v>1288.164692666666</v>
      </c>
      <c r="BQ82" s="2" t="n">
        <v>1168.6945</v>
      </c>
      <c r="BR82" s="2" t="n">
        <v>0</v>
      </c>
      <c r="BS82" s="2" t="n">
        <v>619.5833333333334</v>
      </c>
      <c r="BT82" s="2" t="n">
        <v>475.9858833333334</v>
      </c>
      <c r="BU82" s="2" t="n">
        <v>2264.263716666667</v>
      </c>
      <c r="BV82" s="2" t="n">
        <v>3552.428409333334</v>
      </c>
      <c r="BW82" s="2" t="n">
        <v>4603.389999999999</v>
      </c>
      <c r="BX82" s="2" t="n">
        <v>392.05</v>
      </c>
      <c r="BY82" s="2" t="n">
        <v>1276.41</v>
      </c>
      <c r="BZ82" s="2" t="n">
        <v>4995.44</v>
      </c>
      <c r="CA82" s="2">
        <f>BB82-BV82</f>
        <v/>
      </c>
    </row>
    <row r="83">
      <c r="A83" t="n">
        <v>1257</v>
      </c>
      <c r="B83" t="inlineStr">
        <is>
          <t>Dworcowa 2, 61-801 Poznań</t>
        </is>
      </c>
      <c r="C83" t="inlineStr"/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2564.82</v>
      </c>
      <c r="K83" s="2" t="n">
        <v>213.4975166666667</v>
      </c>
      <c r="L83" s="2" t="n">
        <v>2374.833333333333</v>
      </c>
      <c r="M83" s="2" t="n">
        <v>1388.81</v>
      </c>
      <c r="N83" s="2" t="n">
        <v>1176.01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4154.18</v>
      </c>
      <c r="AC83" s="2" t="n">
        <v>269.2524074074074</v>
      </c>
      <c r="AD83" s="2" t="n">
        <v>3846.462962962963</v>
      </c>
      <c r="AE83" s="2" t="n">
        <v>1454.73</v>
      </c>
      <c r="AF83" s="2" t="n">
        <v>2699.45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1599.08</v>
      </c>
      <c r="AO83" s="2" t="n">
        <v>124.3728888888889</v>
      </c>
      <c r="AP83" s="2" t="n">
        <v>1480.62962962963</v>
      </c>
      <c r="AQ83" s="2" t="n">
        <v>380.21</v>
      </c>
      <c r="AR83" s="2" t="n">
        <v>1218.87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8318.08</v>
      </c>
      <c r="BA83" s="2" t="n">
        <v>5094.33</v>
      </c>
      <c r="BB83" s="2">
        <f>E83+K83+Q83+W83+AC83+AI83+AO83+AU83+IF(BC83="",0,BC83)</f>
        <v/>
      </c>
      <c r="BC83" s="2" t="n"/>
      <c r="BD83" s="2" t="n">
        <v>7701.925925925925</v>
      </c>
      <c r="BE83" s="2" t="n">
        <v>0</v>
      </c>
      <c r="BF83" s="2" t="n">
        <v>0</v>
      </c>
      <c r="BG83" s="2" t="n">
        <v>250.3346666666667</v>
      </c>
      <c r="BH83" s="2" t="n">
        <v>62.36983333333333</v>
      </c>
      <c r="BI83" s="2" t="n">
        <v>462.1969166666667</v>
      </c>
      <c r="BJ83" s="2" t="n">
        <v>150.5333333333333</v>
      </c>
      <c r="BK83" s="2" t="n">
        <v>0</v>
      </c>
      <c r="BL83" s="2" t="n">
        <v>77.71683333333334</v>
      </c>
      <c r="BM83" s="2" t="n">
        <v>208.0833333333333</v>
      </c>
      <c r="BN83" s="2" t="n">
        <v>78.452682</v>
      </c>
      <c r="BO83" s="2" t="n">
        <v>0</v>
      </c>
      <c r="BP83" s="2" t="n">
        <v>1289.687598666667</v>
      </c>
      <c r="BQ83" s="2" t="n">
        <v>1168.6945</v>
      </c>
      <c r="BR83" s="2" t="n">
        <v>0</v>
      </c>
      <c r="BS83" s="2" t="n">
        <v>619.5833333333334</v>
      </c>
      <c r="BT83" s="2" t="n">
        <v>475.9858833333334</v>
      </c>
      <c r="BU83" s="2" t="n">
        <v>2264.263716666667</v>
      </c>
      <c r="BV83" s="2" t="n">
        <v>3553.951315333334</v>
      </c>
      <c r="BW83" s="2" t="n">
        <v>5094.33</v>
      </c>
      <c r="BX83" s="2" t="n">
        <v>0</v>
      </c>
      <c r="BY83" s="2" t="n">
        <v>3223.75</v>
      </c>
      <c r="BZ83" s="2" t="n">
        <v>5094.33</v>
      </c>
      <c r="CA83" s="2">
        <f>BB83-BV83</f>
        <v/>
      </c>
    </row>
    <row r="84">
      <c r="A84" t="n">
        <v>1259</v>
      </c>
      <c r="B84" t="inlineStr">
        <is>
          <t>Kolejowa 4, 64-020 Czempin</t>
        </is>
      </c>
      <c r="C84" t="inlineStr"/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2573.46</v>
      </c>
      <c r="AC84" s="2" t="n">
        <v>166.7983333333333</v>
      </c>
      <c r="AD84" s="2" t="n">
        <v>2382.833333333333</v>
      </c>
      <c r="AE84" s="2" t="n">
        <v>751.08</v>
      </c>
      <c r="AF84" s="2" t="n">
        <v>1562.25</v>
      </c>
      <c r="AG84" s="2" t="n">
        <v>260.13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1651.46</v>
      </c>
      <c r="AO84" s="2" t="n">
        <v>128.4468888888889</v>
      </c>
      <c r="AP84" s="2" t="n">
        <v>1529.12962962963</v>
      </c>
      <c r="AQ84" s="2" t="n">
        <v>385.91</v>
      </c>
      <c r="AR84" s="2" t="n">
        <v>1232.33</v>
      </c>
      <c r="AS84" s="2" t="n">
        <v>33.22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4224.92</v>
      </c>
      <c r="BA84" s="2" t="n">
        <v>3087.93</v>
      </c>
      <c r="BB84" s="2">
        <f>E84+K84+Q84+W84+AC84+AI84+AO84+AU84+IF(BC84="",0,BC84)</f>
        <v/>
      </c>
      <c r="BC84" s="2" t="n"/>
      <c r="BD84" s="2" t="n">
        <v>3911.962962962963</v>
      </c>
      <c r="BE84" s="2" t="n">
        <v>0</v>
      </c>
      <c r="BF84" s="2" t="n">
        <v>0</v>
      </c>
      <c r="BG84" s="2" t="n">
        <v>250.3346666666667</v>
      </c>
      <c r="BH84" s="2" t="n">
        <v>62.36983333333333</v>
      </c>
      <c r="BI84" s="2" t="n">
        <v>462.1969166666667</v>
      </c>
      <c r="BJ84" s="2" t="n">
        <v>150.5333333333333</v>
      </c>
      <c r="BK84" s="2" t="n">
        <v>0</v>
      </c>
      <c r="BL84" s="2" t="n">
        <v>77.71683333333334</v>
      </c>
      <c r="BM84" s="2" t="n">
        <v>208.0833333333333</v>
      </c>
      <c r="BN84" s="2" t="n">
        <v>47.55412200000001</v>
      </c>
      <c r="BO84" s="2" t="n">
        <v>0</v>
      </c>
      <c r="BP84" s="2" t="n">
        <v>1258.789038666667</v>
      </c>
      <c r="BQ84" s="2" t="n">
        <v>1168.6945</v>
      </c>
      <c r="BR84" s="2" t="n">
        <v>0</v>
      </c>
      <c r="BS84" s="2" t="n">
        <v>619.5833333333334</v>
      </c>
      <c r="BT84" s="2" t="n">
        <v>475.9858833333334</v>
      </c>
      <c r="BU84" s="2" t="n">
        <v>2264.263716666667</v>
      </c>
      <c r="BV84" s="2" t="n">
        <v>3523.052755333333</v>
      </c>
      <c r="BW84" s="2" t="n">
        <v>2794.58</v>
      </c>
      <c r="BX84" s="2" t="n">
        <v>293.35</v>
      </c>
      <c r="BY84" s="2" t="n">
        <v>1136.99</v>
      </c>
      <c r="BZ84" s="2" t="n">
        <v>3087.93</v>
      </c>
      <c r="CA84" s="2">
        <f>BB84-BV84</f>
        <v/>
      </c>
    </row>
    <row r="85">
      <c r="A85" t="n">
        <v>1261</v>
      </c>
      <c r="B85" t="inlineStr">
        <is>
          <t>Pawia 5a, 31-154 Kraków</t>
        </is>
      </c>
      <c r="C85" t="inlineStr"/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11864.26</v>
      </c>
      <c r="K85" s="2" t="n">
        <v>987.5897907407408</v>
      </c>
      <c r="L85" s="2" t="n">
        <v>10985.42592592593</v>
      </c>
      <c r="M85" s="2" t="n">
        <v>2164.76</v>
      </c>
      <c r="N85" s="2" t="n">
        <v>8815.42</v>
      </c>
      <c r="O85" s="2" t="n">
        <v>884.08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11776.25</v>
      </c>
      <c r="W85" s="2" t="n">
        <v>880</v>
      </c>
      <c r="X85" s="2" t="n">
        <v>10903.93518518518</v>
      </c>
      <c r="Y85" s="2" t="n">
        <v>1003.49</v>
      </c>
      <c r="Z85" s="2" t="n">
        <v>10463.83</v>
      </c>
      <c r="AA85" s="2" t="n">
        <v>308.93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4921.52</v>
      </c>
      <c r="AO85" s="2" t="n">
        <v>382.7848888888889</v>
      </c>
      <c r="AP85" s="2" t="n">
        <v>4556.962962962963</v>
      </c>
      <c r="AQ85" s="2" t="n">
        <v>1209.61</v>
      </c>
      <c r="AR85" s="2" t="n">
        <v>3631.54</v>
      </c>
      <c r="AS85" s="2" t="n">
        <v>80.37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28562.03</v>
      </c>
      <c r="BA85" s="2" t="n">
        <v>24184.17</v>
      </c>
      <c r="BB85" s="2">
        <f>E85+K85+Q85+W85+AC85+AI85+AO85+AU85+IF(BC85="",0,BC85)</f>
        <v/>
      </c>
      <c r="BC85" s="2" t="n"/>
      <c r="BD85" s="2" t="n">
        <v>26446.32407407407</v>
      </c>
      <c r="BE85" s="2" t="n">
        <v>0</v>
      </c>
      <c r="BF85" s="2" t="n">
        <v>0</v>
      </c>
      <c r="BG85" s="2" t="n">
        <v>250.3346666666667</v>
      </c>
      <c r="BH85" s="2" t="n">
        <v>62.36983333333333</v>
      </c>
      <c r="BI85" s="2" t="n">
        <v>462.1969166666667</v>
      </c>
      <c r="BJ85" s="2" t="n">
        <v>150.5333333333333</v>
      </c>
      <c r="BK85" s="2" t="n">
        <v>0</v>
      </c>
      <c r="BL85" s="2" t="n">
        <v>77.71683333333334</v>
      </c>
      <c r="BM85" s="2" t="n">
        <v>208.0833333333333</v>
      </c>
      <c r="BN85" s="2" t="n">
        <v>351.967974</v>
      </c>
      <c r="BO85" s="2" t="n">
        <v>0</v>
      </c>
      <c r="BP85" s="2" t="n">
        <v>1563.202890666666</v>
      </c>
      <c r="BQ85" s="2" t="n">
        <v>1168.6945</v>
      </c>
      <c r="BR85" s="2" t="n">
        <v>0</v>
      </c>
      <c r="BS85" s="2" t="n">
        <v>619.5833333333334</v>
      </c>
      <c r="BT85" s="2" t="n">
        <v>475.9858833333334</v>
      </c>
      <c r="BU85" s="2" t="n">
        <v>2264.263716666667</v>
      </c>
      <c r="BV85" s="2" t="n">
        <v>3827.466607333333</v>
      </c>
      <c r="BW85" s="2" t="n">
        <v>22910.79</v>
      </c>
      <c r="BX85" s="2" t="n">
        <v>1273.38</v>
      </c>
      <c r="BY85" s="2" t="n">
        <v>4377.86</v>
      </c>
      <c r="BZ85" s="2" t="n">
        <v>24184.17</v>
      </c>
      <c r="CA85" s="2">
        <f>BB85-BV85</f>
        <v/>
      </c>
    </row>
    <row r="86">
      <c r="A86" t="n">
        <v>1262</v>
      </c>
      <c r="B86" t="inlineStr">
        <is>
          <t>Pawia 5a, 31-154 Kraków</t>
        </is>
      </c>
      <c r="C86" t="inlineStr"/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10414.68</v>
      </c>
      <c r="K86" s="2" t="n">
        <v>866.9256777777778</v>
      </c>
      <c r="L86" s="2" t="n">
        <v>9643.222222222221</v>
      </c>
      <c r="M86" s="2" t="n">
        <v>1631.64</v>
      </c>
      <c r="N86" s="2" t="n">
        <v>8546.129999999999</v>
      </c>
      <c r="O86" s="2" t="n">
        <v>236.91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11287.68</v>
      </c>
      <c r="W86" s="2" t="n">
        <v>880</v>
      </c>
      <c r="X86" s="2" t="n">
        <v>10451.55555555555</v>
      </c>
      <c r="Y86" s="2" t="n">
        <v>1857.15</v>
      </c>
      <c r="Z86" s="2" t="n">
        <v>9166.459999999999</v>
      </c>
      <c r="AA86" s="2" t="n">
        <v>264.07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5533.690000000001</v>
      </c>
      <c r="AO86" s="2" t="n">
        <v>430.3981111111112</v>
      </c>
      <c r="AP86" s="2" t="n">
        <v>5123.787037037037</v>
      </c>
      <c r="AQ86" s="2" t="n">
        <v>1304.78</v>
      </c>
      <c r="AR86" s="2" t="n">
        <v>4093.6</v>
      </c>
      <c r="AS86" s="2" t="n">
        <v>135.31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27236.05</v>
      </c>
      <c r="BA86" s="2" t="n">
        <v>22442.48</v>
      </c>
      <c r="BB86" s="2">
        <f>E86+K86+Q86+W86+AC86+AI86+AO86+AU86+IF(BC86="",0,BC86)</f>
        <v/>
      </c>
      <c r="BC86" s="2" t="n"/>
      <c r="BD86" s="2" t="n">
        <v>25218.56481481481</v>
      </c>
      <c r="BE86" s="2" t="n">
        <v>0</v>
      </c>
      <c r="BF86" s="2" t="n">
        <v>0</v>
      </c>
      <c r="BG86" s="2" t="n">
        <v>250.3346666666667</v>
      </c>
      <c r="BH86" s="2" t="n">
        <v>62.36983333333333</v>
      </c>
      <c r="BI86" s="2" t="n">
        <v>462.1969166666667</v>
      </c>
      <c r="BJ86" s="2" t="n">
        <v>150.5333333333333</v>
      </c>
      <c r="BK86" s="2" t="n">
        <v>0</v>
      </c>
      <c r="BL86" s="2" t="n">
        <v>77.71683333333334</v>
      </c>
      <c r="BM86" s="2" t="n">
        <v>208.0833333333333</v>
      </c>
      <c r="BN86" s="2" t="n">
        <v>327.696185</v>
      </c>
      <c r="BO86" s="2" t="n">
        <v>0</v>
      </c>
      <c r="BP86" s="2" t="n">
        <v>1538.931101666667</v>
      </c>
      <c r="BQ86" s="2" t="n">
        <v>1168.6945</v>
      </c>
      <c r="BR86" s="2" t="n">
        <v>0</v>
      </c>
      <c r="BS86" s="2" t="n">
        <v>619.5833333333334</v>
      </c>
      <c r="BT86" s="2" t="n">
        <v>475.9858833333334</v>
      </c>
      <c r="BU86" s="2" t="n">
        <v>2264.263716666667</v>
      </c>
      <c r="BV86" s="2" t="n">
        <v>3803.194818333333</v>
      </c>
      <c r="BW86" s="2" t="n">
        <v>21806.19</v>
      </c>
      <c r="BX86" s="2" t="n">
        <v>636.29</v>
      </c>
      <c r="BY86" s="2" t="n">
        <v>4793.57</v>
      </c>
      <c r="BZ86" s="2" t="n">
        <v>22442.48</v>
      </c>
      <c r="CA86" s="2">
        <f>BB86-BV86</f>
        <v/>
      </c>
    </row>
    <row r="87">
      <c r="A87" t="n">
        <v>1263</v>
      </c>
      <c r="B87" t="inlineStr">
        <is>
          <t>Pawia 5a, 31-154 Kraków</t>
        </is>
      </c>
      <c r="C87" t="inlineStr"/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51644.52</v>
      </c>
      <c r="K87" s="2" t="n">
        <v>4298.9281</v>
      </c>
      <c r="L87" s="2" t="n">
        <v>47819</v>
      </c>
      <c r="M87" s="2" t="n">
        <v>6611.64</v>
      </c>
      <c r="N87" s="2" t="n">
        <v>43634.23</v>
      </c>
      <c r="O87" s="2" t="n">
        <v>1398.65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72205.09000000001</v>
      </c>
      <c r="W87" s="2" t="n">
        <v>880</v>
      </c>
      <c r="X87" s="2" t="n">
        <v>66856.56481481482</v>
      </c>
      <c r="Y87" s="2" t="n">
        <v>5307.42</v>
      </c>
      <c r="Z87" s="2" t="n">
        <v>65583.82000000001</v>
      </c>
      <c r="AA87" s="2" t="n">
        <v>1313.85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19731.26</v>
      </c>
      <c r="AO87" s="2" t="n">
        <v>1534.653555555556</v>
      </c>
      <c r="AP87" s="2" t="n">
        <v>18269.68518518519</v>
      </c>
      <c r="AQ87" s="2" t="n">
        <v>1989.5</v>
      </c>
      <c r="AR87" s="2" t="n">
        <v>16883.18</v>
      </c>
      <c r="AS87" s="2" t="n">
        <v>858.58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143580.87</v>
      </c>
      <c r="BA87" s="2" t="n">
        <v>129672.31</v>
      </c>
      <c r="BB87" s="2">
        <f>E87+K87+Q87+W87+AC87+AI87+AO87+AU87+IF(BC87="",0,BC87)</f>
        <v/>
      </c>
      <c r="BC87" s="2" t="n"/>
      <c r="BD87" s="2" t="n">
        <v>132945.25</v>
      </c>
      <c r="BE87" s="2" t="n">
        <v>0</v>
      </c>
      <c r="BF87" s="2" t="n">
        <v>0</v>
      </c>
      <c r="BG87" s="2" t="n">
        <v>250.3346666666667</v>
      </c>
      <c r="BH87" s="2" t="n">
        <v>62.36983333333333</v>
      </c>
      <c r="BI87" s="2" t="n">
        <v>462.1969166666667</v>
      </c>
      <c r="BJ87" s="2" t="n">
        <v>150.5333333333333</v>
      </c>
      <c r="BK87" s="2" t="n">
        <v>0</v>
      </c>
      <c r="BL87" s="2" t="n">
        <v>77.71683333333334</v>
      </c>
      <c r="BM87" s="2" t="n">
        <v>208.0833333333333</v>
      </c>
      <c r="BN87" s="2" t="n">
        <v>1869.848001</v>
      </c>
      <c r="BO87" s="2" t="n">
        <v>0</v>
      </c>
      <c r="BP87" s="2" t="n">
        <v>3081.082917666667</v>
      </c>
      <c r="BQ87" s="2" t="n">
        <v>1168.6945</v>
      </c>
      <c r="BR87" s="2" t="n">
        <v>0</v>
      </c>
      <c r="BS87" s="2" t="n">
        <v>619.5833333333334</v>
      </c>
      <c r="BT87" s="2" t="n">
        <v>475.9858833333334</v>
      </c>
      <c r="BU87" s="2" t="n">
        <v>2264.263716666667</v>
      </c>
      <c r="BV87" s="2" t="n">
        <v>5345.346634333333</v>
      </c>
      <c r="BW87" s="2" t="n">
        <v>126101.23</v>
      </c>
      <c r="BX87" s="2" t="n">
        <v>3571.08</v>
      </c>
      <c r="BY87" s="2" t="n">
        <v>13908.56</v>
      </c>
      <c r="BZ87" s="2" t="n">
        <v>129672.31</v>
      </c>
      <c r="CA87" s="2">
        <f>BB87-BV87</f>
        <v/>
      </c>
    </row>
    <row r="88">
      <c r="A88" t="n">
        <v>1264</v>
      </c>
      <c r="B88" t="inlineStr">
        <is>
          <t>Dworcowa 1, 66-400 Gorzów Wlkp</t>
        </is>
      </c>
      <c r="C88" t="inlineStr"/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1428.94</v>
      </c>
      <c r="K88" s="2" t="n">
        <v>118.9460240740741</v>
      </c>
      <c r="L88" s="2" t="n">
        <v>1323.092592592593</v>
      </c>
      <c r="M88" s="2" t="n">
        <v>361.39</v>
      </c>
      <c r="N88" s="2" t="n">
        <v>1012.37</v>
      </c>
      <c r="O88" s="2" t="n">
        <v>55.18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7665.32</v>
      </c>
      <c r="AO88" s="2" t="n">
        <v>596.1915555555555</v>
      </c>
      <c r="AP88" s="2" t="n">
        <v>7097.518518518517</v>
      </c>
      <c r="AQ88" s="2" t="n">
        <v>2245.73</v>
      </c>
      <c r="AR88" s="2" t="n">
        <v>4788.19</v>
      </c>
      <c r="AS88" s="2" t="n">
        <v>631.4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9094.26</v>
      </c>
      <c r="BA88" s="2" t="n">
        <v>6487.139999999999</v>
      </c>
      <c r="BB88" s="2">
        <f>E88+K88+Q88+W88+AC88+AI88+AO88+AU88+IF(BC88="",0,BC88)</f>
        <v/>
      </c>
      <c r="BC88" s="2" t="n"/>
      <c r="BD88" s="2" t="n">
        <v>8420.611111111109</v>
      </c>
      <c r="BE88" s="2" t="n">
        <v>366.96</v>
      </c>
      <c r="BF88" s="2" t="n">
        <v>261</v>
      </c>
      <c r="BG88" s="2" t="n">
        <v>250.3346666666667</v>
      </c>
      <c r="BH88" s="2" t="n">
        <v>62.36983333333333</v>
      </c>
      <c r="BI88" s="2" t="n">
        <v>462.1969166666667</v>
      </c>
      <c r="BJ88" s="2" t="n">
        <v>150.5333333333333</v>
      </c>
      <c r="BK88" s="2" t="n">
        <v>0</v>
      </c>
      <c r="BL88" s="2" t="n">
        <v>77.71683333333334</v>
      </c>
      <c r="BM88" s="2" t="n">
        <v>208.0833333333333</v>
      </c>
      <c r="BN88" s="2" t="n">
        <v>99.90195599999998</v>
      </c>
      <c r="BO88" s="2" t="n">
        <v>0</v>
      </c>
      <c r="BP88" s="2" t="n">
        <v>1939.096872666667</v>
      </c>
      <c r="BQ88" s="2" t="n">
        <v>1168.6945</v>
      </c>
      <c r="BR88" s="2" t="n">
        <v>0</v>
      </c>
      <c r="BS88" s="2" t="n">
        <v>619.5833333333334</v>
      </c>
      <c r="BT88" s="2" t="n">
        <v>601.5778833333334</v>
      </c>
      <c r="BU88" s="2" t="n">
        <v>2389.855716666667</v>
      </c>
      <c r="BV88" s="2" t="n">
        <v>4328.952589333334</v>
      </c>
      <c r="BW88" s="2" t="n">
        <v>5800.559999999999</v>
      </c>
      <c r="BX88" s="2" t="n">
        <v>686.5799999999999</v>
      </c>
      <c r="BY88" s="2" t="n">
        <v>2607.12</v>
      </c>
      <c r="BZ88" s="2" t="n">
        <v>6487.139999999999</v>
      </c>
      <c r="CA88" s="2">
        <f>BB88-BV88</f>
        <v/>
      </c>
    </row>
    <row r="89">
      <c r="A89" t="n">
        <v>1265</v>
      </c>
      <c r="B89" t="inlineStr">
        <is>
          <t>pl. Kolejarza 1, 65-024 Zielona Góra</t>
        </is>
      </c>
      <c r="C89" t="inlineStr"/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2608.7</v>
      </c>
      <c r="K89" s="2" t="n">
        <v>217.1501203703704</v>
      </c>
      <c r="L89" s="2" t="n">
        <v>2415.462962962963</v>
      </c>
      <c r="M89" s="2" t="n">
        <v>904.17</v>
      </c>
      <c r="N89" s="2" t="n">
        <v>940.67</v>
      </c>
      <c r="O89" s="2" t="n">
        <v>763.86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4608.740000000001</v>
      </c>
      <c r="AO89" s="2" t="n">
        <v>358.4575555555556</v>
      </c>
      <c r="AP89" s="2" t="n">
        <v>4267.351851851852</v>
      </c>
      <c r="AQ89" s="2" t="n">
        <v>2757.96</v>
      </c>
      <c r="AR89" s="2" t="n">
        <v>1361.43</v>
      </c>
      <c r="AS89" s="2" t="n">
        <v>489.35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7217.440000000001</v>
      </c>
      <c r="BA89" s="2" t="n">
        <v>3555.31</v>
      </c>
      <c r="BB89" s="2">
        <f>E89+K89+Q89+W89+AC89+AI89+AO89+AU89+IF(BC89="",0,BC89)</f>
        <v/>
      </c>
      <c r="BC89" s="2" t="n"/>
      <c r="BD89" s="2" t="n">
        <v>6682.814814814815</v>
      </c>
      <c r="BE89" s="2" t="n">
        <v>366.96</v>
      </c>
      <c r="BF89" s="2" t="n">
        <v>159</v>
      </c>
      <c r="BG89" s="2" t="n">
        <v>250.3346666666667</v>
      </c>
      <c r="BH89" s="2" t="n">
        <v>62.36983333333333</v>
      </c>
      <c r="BI89" s="2" t="n">
        <v>462.1969166666667</v>
      </c>
      <c r="BJ89" s="2" t="n">
        <v>150.5333333333333</v>
      </c>
      <c r="BK89" s="2" t="n">
        <v>0</v>
      </c>
      <c r="BL89" s="2" t="n">
        <v>77.71683333333334</v>
      </c>
      <c r="BM89" s="2" t="n">
        <v>208.0833333333333</v>
      </c>
      <c r="BN89" s="2" t="n">
        <v>54.751774</v>
      </c>
      <c r="BO89" s="2" t="n">
        <v>0</v>
      </c>
      <c r="BP89" s="2" t="n">
        <v>1791.946690666667</v>
      </c>
      <c r="BQ89" s="2" t="n">
        <v>1168.6945</v>
      </c>
      <c r="BR89" s="2" t="n">
        <v>0</v>
      </c>
      <c r="BS89" s="2" t="n">
        <v>619.5833333333334</v>
      </c>
      <c r="BT89" s="2" t="n">
        <v>581.1778833333334</v>
      </c>
      <c r="BU89" s="2" t="n">
        <v>2369.455716666667</v>
      </c>
      <c r="BV89" s="2" t="n">
        <v>4161.402407333333</v>
      </c>
      <c r="BW89" s="2" t="n">
        <v>2302.1</v>
      </c>
      <c r="BX89" s="2" t="n">
        <v>1253.21</v>
      </c>
      <c r="BY89" s="2" t="n">
        <v>3662.13</v>
      </c>
      <c r="BZ89" s="2" t="n">
        <v>3555.31</v>
      </c>
      <c r="CA89" s="2">
        <f>BB89-BV89</f>
        <v/>
      </c>
    </row>
    <row r="90">
      <c r="A90" t="n">
        <v>1266</v>
      </c>
      <c r="B90" t="inlineStr">
        <is>
          <t>Dworcowa 1, 64-100 Leszno</t>
        </is>
      </c>
      <c r="C90" t="inlineStr"/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6052.53</v>
      </c>
      <c r="K90" s="2" t="n">
        <v>503.8170805555555</v>
      </c>
      <c r="L90" s="2" t="n">
        <v>5604.194444444443</v>
      </c>
      <c r="M90" s="2" t="n">
        <v>0</v>
      </c>
      <c r="N90" s="2" t="n">
        <v>5418.92</v>
      </c>
      <c r="O90" s="2" t="n">
        <v>633.61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5406.39</v>
      </c>
      <c r="AC90" s="2" t="n">
        <v>350.4141666666667</v>
      </c>
      <c r="AD90" s="2" t="n">
        <v>5005.916666666667</v>
      </c>
      <c r="AE90" s="2" t="n">
        <v>0</v>
      </c>
      <c r="AF90" s="2" t="n">
        <v>5036.75</v>
      </c>
      <c r="AG90" s="2" t="n">
        <v>369.64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3614.7</v>
      </c>
      <c r="AO90" s="2" t="n">
        <v>281.1433333333333</v>
      </c>
      <c r="AP90" s="2" t="n">
        <v>3346.944444444444</v>
      </c>
      <c r="AQ90" s="2" t="n">
        <v>0</v>
      </c>
      <c r="AR90" s="2" t="n">
        <v>3390.37</v>
      </c>
      <c r="AS90" s="2" t="n">
        <v>224.33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15073.62</v>
      </c>
      <c r="BA90" s="2" t="n">
        <v>15073.62</v>
      </c>
      <c r="BB90" s="2">
        <f>E90+K90+Q90+W90+AC90+AI90+AO90+AU90+IF(BC90="",0,BC90)</f>
        <v/>
      </c>
      <c r="BC90" s="2" t="n"/>
      <c r="BD90" s="2" t="n">
        <v>13957.05555555555</v>
      </c>
      <c r="BE90" s="2" t="n">
        <v>0</v>
      </c>
      <c r="BF90" s="2" t="n">
        <v>0</v>
      </c>
      <c r="BG90" s="2" t="n">
        <v>250.3346666666667</v>
      </c>
      <c r="BH90" s="2" t="n">
        <v>62.36983333333333</v>
      </c>
      <c r="BI90" s="2" t="n">
        <v>462.1969166666667</v>
      </c>
      <c r="BJ90" s="2" t="n">
        <v>150.5333333333333</v>
      </c>
      <c r="BK90" s="2" t="n">
        <v>0</v>
      </c>
      <c r="BL90" s="2" t="n">
        <v>77.71683333333334</v>
      </c>
      <c r="BM90" s="2" t="n">
        <v>208.0833333333333</v>
      </c>
      <c r="BN90" s="2" t="n">
        <v>232.133748</v>
      </c>
      <c r="BO90" s="2" t="n">
        <v>0</v>
      </c>
      <c r="BP90" s="2" t="n">
        <v>1443.368664666667</v>
      </c>
      <c r="BQ90" s="2" t="n">
        <v>1168.6945</v>
      </c>
      <c r="BR90" s="2" t="n">
        <v>0</v>
      </c>
      <c r="BS90" s="2" t="n">
        <v>619.5833333333334</v>
      </c>
      <c r="BT90" s="2" t="n">
        <v>475.9858833333334</v>
      </c>
      <c r="BU90" s="2" t="n">
        <v>2264.263716666667</v>
      </c>
      <c r="BV90" s="2" t="n">
        <v>3707.632381333333</v>
      </c>
      <c r="BW90" s="2" t="n">
        <v>13846.04</v>
      </c>
      <c r="BX90" s="2" t="n">
        <v>1227.58</v>
      </c>
      <c r="BY90" s="2" t="n">
        <v>0</v>
      </c>
      <c r="BZ90" s="2" t="n">
        <v>15073.62</v>
      </c>
      <c r="CA90" s="2">
        <f>BB90-BV90</f>
        <v/>
      </c>
    </row>
    <row r="91">
      <c r="A91" t="n">
        <v>1267</v>
      </c>
      <c r="B91" t="inlineStr">
        <is>
          <t>Pawia 5a, 31-154 Kraków</t>
        </is>
      </c>
      <c r="C91" t="inlineStr"/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10020.31</v>
      </c>
      <c r="K91" s="2" t="n">
        <v>834.0980268518518</v>
      </c>
      <c r="L91" s="2" t="n">
        <v>9278.064814814814</v>
      </c>
      <c r="M91" s="2" t="n">
        <v>1019.98</v>
      </c>
      <c r="N91" s="2" t="n">
        <v>8545.49</v>
      </c>
      <c r="O91" s="2" t="n">
        <v>454.84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26498.1</v>
      </c>
      <c r="W91" s="2" t="n">
        <v>880</v>
      </c>
      <c r="X91" s="2" t="n">
        <v>24535.27777777777</v>
      </c>
      <c r="Y91" s="2" t="n">
        <v>2347.68</v>
      </c>
      <c r="Z91" s="2" t="n">
        <v>23521.67</v>
      </c>
      <c r="AA91" s="2" t="n">
        <v>628.75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4494.65</v>
      </c>
      <c r="AO91" s="2" t="n">
        <v>349.5838888888889</v>
      </c>
      <c r="AP91" s="2" t="n">
        <v>4161.712962962963</v>
      </c>
      <c r="AQ91" s="2" t="n">
        <v>1062.83</v>
      </c>
      <c r="AR91" s="2" t="n">
        <v>3248.34</v>
      </c>
      <c r="AS91" s="2" t="n">
        <v>183.48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41013.06</v>
      </c>
      <c r="BA91" s="2" t="n">
        <v>36582.57</v>
      </c>
      <c r="BB91" s="2">
        <f>E91+K91+Q91+W91+AC91+AI91+AO91+AU91+IF(BC91="",0,BC91)</f>
        <v/>
      </c>
      <c r="BC91" s="2" t="n"/>
      <c r="BD91" s="2" t="n">
        <v>37975.05555555555</v>
      </c>
      <c r="BE91" s="2" t="n">
        <v>1056.72</v>
      </c>
      <c r="BF91" s="2" t="n">
        <v>276</v>
      </c>
      <c r="BG91" s="2" t="n">
        <v>250.3346666666667</v>
      </c>
      <c r="BH91" s="2" t="n">
        <v>62.36983333333333</v>
      </c>
      <c r="BI91" s="2" t="n">
        <v>462.1969166666667</v>
      </c>
      <c r="BJ91" s="2" t="n">
        <v>150.5333333333333</v>
      </c>
      <c r="BK91" s="2" t="n">
        <v>0</v>
      </c>
      <c r="BL91" s="2" t="n">
        <v>77.71683333333334</v>
      </c>
      <c r="BM91" s="2" t="n">
        <v>208.0833333333333</v>
      </c>
      <c r="BN91" s="2" t="n">
        <v>517.48578</v>
      </c>
      <c r="BO91" s="2" t="n">
        <v>0</v>
      </c>
      <c r="BP91" s="2" t="n">
        <v>3061.440696666667</v>
      </c>
      <c r="BQ91" s="2" t="n">
        <v>1168.6945</v>
      </c>
      <c r="BR91" s="2" t="n">
        <v>0</v>
      </c>
      <c r="BS91" s="2" t="n">
        <v>619.5833333333334</v>
      </c>
      <c r="BT91" s="2" t="n">
        <v>742.5298833333334</v>
      </c>
      <c r="BU91" s="2" t="n">
        <v>2530.807716666667</v>
      </c>
      <c r="BV91" s="2" t="n">
        <v>5592.248413333335</v>
      </c>
      <c r="BW91" s="2" t="n">
        <v>35315.5</v>
      </c>
      <c r="BX91" s="2" t="n">
        <v>1267.07</v>
      </c>
      <c r="BY91" s="2" t="n">
        <v>4430.49</v>
      </c>
      <c r="BZ91" s="2" t="n">
        <v>36582.57</v>
      </c>
      <c r="CA91" s="2">
        <f>BB91-BV91</f>
        <v/>
      </c>
    </row>
    <row r="92">
      <c r="A92" t="n">
        <v>1268</v>
      </c>
      <c r="B92" t="inlineStr">
        <is>
          <t>Kolejowa 5, 83-200 Starogard Gdański</t>
        </is>
      </c>
      <c r="C92" t="inlineStr"/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17531.46</v>
      </c>
      <c r="AO92" s="2" t="n">
        <v>4200</v>
      </c>
      <c r="AP92" s="2" t="n">
        <v>16232.83333333333</v>
      </c>
      <c r="AQ92" s="2" t="n">
        <v>6249.55</v>
      </c>
      <c r="AR92" s="2" t="n">
        <v>10354.13</v>
      </c>
      <c r="AS92" s="2" t="n">
        <v>927.78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17531.46</v>
      </c>
      <c r="BA92" s="2" t="n">
        <v>11281.91</v>
      </c>
      <c r="BB92" s="2">
        <f>E92+K92+Q92+W92+AC92+AI92+AO92+AU92+IF(BC92="",0,BC92)</f>
        <v/>
      </c>
      <c r="BC92" s="2" t="n"/>
      <c r="BD92" s="2" t="n">
        <v>16232.83333333333</v>
      </c>
      <c r="BE92" s="2" t="n">
        <v>0</v>
      </c>
      <c r="BF92" s="2" t="n">
        <v>0</v>
      </c>
      <c r="BG92" s="2" t="n">
        <v>250.3346666666667</v>
      </c>
      <c r="BH92" s="2" t="n">
        <v>62.36983333333333</v>
      </c>
      <c r="BI92" s="2" t="n">
        <v>462.1969166666667</v>
      </c>
      <c r="BJ92" s="2" t="n">
        <v>150.5333333333333</v>
      </c>
      <c r="BK92" s="2" t="n">
        <v>0</v>
      </c>
      <c r="BL92" s="2" t="n">
        <v>77.71683333333334</v>
      </c>
      <c r="BM92" s="2" t="n">
        <v>208.0833333333333</v>
      </c>
      <c r="BN92" s="2" t="n">
        <v>173.741414</v>
      </c>
      <c r="BO92" s="2" t="n">
        <v>0</v>
      </c>
      <c r="BP92" s="2" t="n">
        <v>1384.976330666667</v>
      </c>
      <c r="BQ92" s="2" t="n">
        <v>1168.6945</v>
      </c>
      <c r="BR92" s="2" t="n">
        <v>0</v>
      </c>
      <c r="BS92" s="2" t="n">
        <v>619.5833333333334</v>
      </c>
      <c r="BT92" s="2" t="n">
        <v>475.9858833333334</v>
      </c>
      <c r="BU92" s="2" t="n">
        <v>2264.263716666667</v>
      </c>
      <c r="BV92" s="2" t="n">
        <v>3649.240047333334</v>
      </c>
      <c r="BW92" s="2" t="n">
        <v>10354.13</v>
      </c>
      <c r="BX92" s="2" t="n">
        <v>927.78</v>
      </c>
      <c r="BY92" s="2" t="n">
        <v>6249.55</v>
      </c>
      <c r="BZ92" s="2" t="n">
        <v>11281.91</v>
      </c>
      <c r="CA92" s="2">
        <f>BB92-BV92</f>
        <v/>
      </c>
    </row>
    <row r="93">
      <c r="A93" t="n">
        <v>1269</v>
      </c>
      <c r="B93" t="inlineStr">
        <is>
          <t>Podwale Grodzkie 1, 80-895 Gdańsk</t>
        </is>
      </c>
      <c r="C93" t="inlineStr"/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10201.39</v>
      </c>
      <c r="K93" s="2" t="n">
        <v>849.1712601851852</v>
      </c>
      <c r="L93" s="2" t="n">
        <v>9445.731481481482</v>
      </c>
      <c r="M93" s="2" t="n">
        <v>2877.95</v>
      </c>
      <c r="N93" s="2" t="n">
        <v>6967.34</v>
      </c>
      <c r="O93" s="2" t="n">
        <v>356.1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5948.74</v>
      </c>
      <c r="AO93" s="2" t="n">
        <v>462.6797777777778</v>
      </c>
      <c r="AP93" s="2" t="n">
        <v>5508.092592592592</v>
      </c>
      <c r="AQ93" s="2" t="n">
        <v>2383.24</v>
      </c>
      <c r="AR93" s="2" t="n">
        <v>3425.85</v>
      </c>
      <c r="AS93" s="2" t="n">
        <v>139.65</v>
      </c>
      <c r="AT93" s="2" t="n">
        <v>2804.9</v>
      </c>
      <c r="AU93" s="2" t="n">
        <v>111.6765740740741</v>
      </c>
      <c r="AV93" s="2" t="n">
        <v>2597.12962962963</v>
      </c>
      <c r="AW93" s="2" t="n">
        <v>576.65</v>
      </c>
      <c r="AX93" s="2" t="n">
        <v>2182.05</v>
      </c>
      <c r="AY93" s="2" t="n">
        <v>46.2</v>
      </c>
      <c r="AZ93" s="2" t="n">
        <v>18955.03</v>
      </c>
      <c r="BA93" s="2" t="n">
        <v>13117.19</v>
      </c>
      <c r="BB93" s="2">
        <f>E93+K93+Q93+W93+AC93+AI93+AO93+AU93+IF(BC93="",0,BC93)</f>
        <v/>
      </c>
      <c r="BC93" s="2" t="n"/>
      <c r="BD93" s="2" t="n">
        <v>17550.9537037037</v>
      </c>
      <c r="BE93" s="2" t="n">
        <v>0</v>
      </c>
      <c r="BF93" s="2" t="n">
        <v>0</v>
      </c>
      <c r="BG93" s="2" t="n">
        <v>250.3346666666667</v>
      </c>
      <c r="BH93" s="2" t="n">
        <v>62.36983333333333</v>
      </c>
      <c r="BI93" s="2" t="n">
        <v>462.1969166666667</v>
      </c>
      <c r="BJ93" s="2" t="n">
        <v>150.5333333333333</v>
      </c>
      <c r="BK93" s="2" t="n">
        <v>0</v>
      </c>
      <c r="BL93" s="2" t="n">
        <v>77.71683333333334</v>
      </c>
      <c r="BM93" s="2" t="n">
        <v>208.0833333333333</v>
      </c>
      <c r="BN93" s="2" t="n">
        <v>202.004726</v>
      </c>
      <c r="BO93" s="2" t="n">
        <v>0</v>
      </c>
      <c r="BP93" s="2" t="n">
        <v>1413.239642666666</v>
      </c>
      <c r="BQ93" s="2" t="n">
        <v>1168.6945</v>
      </c>
      <c r="BR93" s="2" t="n">
        <v>0</v>
      </c>
      <c r="BS93" s="2" t="n">
        <v>619.5833333333334</v>
      </c>
      <c r="BT93" s="2" t="n">
        <v>475.9858833333334</v>
      </c>
      <c r="BU93" s="2" t="n">
        <v>2264.263716666667</v>
      </c>
      <c r="BV93" s="2" t="n">
        <v>3677.503359333333</v>
      </c>
      <c r="BW93" s="2" t="n">
        <v>12575.24</v>
      </c>
      <c r="BX93" s="2" t="n">
        <v>541.95</v>
      </c>
      <c r="BY93" s="2" t="n">
        <v>5837.839999999999</v>
      </c>
      <c r="BZ93" s="2" t="n">
        <v>13117.19</v>
      </c>
      <c r="CA93" s="2">
        <f>BB93-BV93</f>
        <v/>
      </c>
    </row>
    <row r="94">
      <c r="A94" t="n">
        <v>1270</v>
      </c>
      <c r="B94" t="inlineStr">
        <is>
          <t>Marii Konopnickiej 10, 10-168 Olsztyn</t>
        </is>
      </c>
      <c r="C94" t="inlineStr"/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9638.639999999999</v>
      </c>
      <c r="K94" s="2" t="n">
        <v>802.3275333333333</v>
      </c>
      <c r="L94" s="2" t="n">
        <v>8924.666666666666</v>
      </c>
      <c r="M94" s="2" t="n">
        <v>2482.33</v>
      </c>
      <c r="N94" s="2" t="n">
        <v>6986.04</v>
      </c>
      <c r="O94" s="2" t="n">
        <v>170.27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6667.43</v>
      </c>
      <c r="AO94" s="2" t="n">
        <v>518.577888888889</v>
      </c>
      <c r="AP94" s="2" t="n">
        <v>6173.546296296297</v>
      </c>
      <c r="AQ94" s="2" t="n">
        <v>1625.41</v>
      </c>
      <c r="AR94" s="2" t="n">
        <v>4748.39</v>
      </c>
      <c r="AS94" s="2" t="n">
        <v>293.63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16306.07</v>
      </c>
      <c r="BA94" s="2" t="n">
        <v>12198.33</v>
      </c>
      <c r="BB94" s="2">
        <f>E94+K94+Q94+W94+AC94+AI94+AO94+AU94+IF(BC94="",0,BC94)</f>
        <v/>
      </c>
      <c r="BC94" s="2" t="n"/>
      <c r="BD94" s="2" t="n">
        <v>15098.21296296296</v>
      </c>
      <c r="BE94" s="2" t="n">
        <v>343</v>
      </c>
      <c r="BF94" s="2" t="n">
        <v>0</v>
      </c>
      <c r="BG94" s="2" t="n">
        <v>250.3346666666667</v>
      </c>
      <c r="BH94" s="2" t="n">
        <v>62.36983333333333</v>
      </c>
      <c r="BI94" s="2" t="n">
        <v>462.1969166666667</v>
      </c>
      <c r="BJ94" s="2" t="n">
        <v>150.5333333333333</v>
      </c>
      <c r="BK94" s="2" t="n">
        <v>0</v>
      </c>
      <c r="BL94" s="2" t="n">
        <v>77.71683333333334</v>
      </c>
      <c r="BM94" s="2" t="n">
        <v>208.0833333333333</v>
      </c>
      <c r="BN94" s="2" t="n">
        <v>187.854282</v>
      </c>
      <c r="BO94" s="2" t="n">
        <v>0</v>
      </c>
      <c r="BP94" s="2" t="n">
        <v>1742.089198666667</v>
      </c>
      <c r="BQ94" s="2" t="n">
        <v>1168.6945</v>
      </c>
      <c r="BR94" s="2" t="n">
        <v>0</v>
      </c>
      <c r="BS94" s="2" t="n">
        <v>619.5833333333334</v>
      </c>
      <c r="BT94" s="2" t="n">
        <v>544.5858833333334</v>
      </c>
      <c r="BU94" s="2" t="n">
        <v>2332.863716666667</v>
      </c>
      <c r="BV94" s="2" t="n">
        <v>4074.952915333333</v>
      </c>
      <c r="BW94" s="2" t="n">
        <v>11734.43</v>
      </c>
      <c r="BX94" s="2" t="n">
        <v>463.9</v>
      </c>
      <c r="BY94" s="2" t="n">
        <v>4107.74</v>
      </c>
      <c r="BZ94" s="2" t="n">
        <v>12198.33</v>
      </c>
      <c r="CA94" s="2">
        <f>BB94-BV94</f>
        <v/>
      </c>
    </row>
    <row r="95">
      <c r="A95" t="n">
        <v>1271</v>
      </c>
      <c r="B95" t="inlineStr">
        <is>
          <t>Zygmunta Augusta 7, 85-082 Bydgoszcz</t>
        </is>
      </c>
      <c r="C95" t="inlineStr"/>
      <c r="D95" s="2" t="n">
        <v>6162.440000000001</v>
      </c>
      <c r="E95" s="2" t="n">
        <v>1100</v>
      </c>
      <c r="F95" s="2" t="n">
        <v>5705.962962962964</v>
      </c>
      <c r="G95" s="2" t="n">
        <v>1675.72</v>
      </c>
      <c r="H95" s="2" t="n">
        <v>4076.87</v>
      </c>
      <c r="I95" s="2" t="n">
        <v>409.85</v>
      </c>
      <c r="J95" s="2" t="n">
        <v>10388.45</v>
      </c>
      <c r="K95" s="2" t="n">
        <v>864.7422731481481</v>
      </c>
      <c r="L95" s="2" t="n">
        <v>9618.935185185184</v>
      </c>
      <c r="M95" s="2" t="n">
        <v>2592.03</v>
      </c>
      <c r="N95" s="2" t="n">
        <v>7169.37</v>
      </c>
      <c r="O95" s="2" t="n">
        <v>627.05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14579.04</v>
      </c>
      <c r="AO95" s="2" t="n">
        <v>1133.925333333333</v>
      </c>
      <c r="AP95" s="2" t="n">
        <v>13499.11111111111</v>
      </c>
      <c r="AQ95" s="2" t="n">
        <v>3618.07</v>
      </c>
      <c r="AR95" s="2" t="n">
        <v>10237.17</v>
      </c>
      <c r="AS95" s="2" t="n">
        <v>723.8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31129.93</v>
      </c>
      <c r="BA95" s="2" t="n">
        <v>23244.11</v>
      </c>
      <c r="BB95" s="2">
        <f>E95+K95+Q95+W95+AC95+AI95+AO95+AU95+IF(BC95="",0,BC95)</f>
        <v/>
      </c>
      <c r="BC95" s="2" t="n"/>
      <c r="BD95" s="2" t="n">
        <v>28824.00925925926</v>
      </c>
      <c r="BE95" s="2" t="n">
        <v>381.79</v>
      </c>
      <c r="BF95" s="2" t="n">
        <v>119.07</v>
      </c>
      <c r="BG95" s="2" t="n">
        <v>250.3346666666667</v>
      </c>
      <c r="BH95" s="2" t="n">
        <v>62.36983333333333</v>
      </c>
      <c r="BI95" s="2" t="n">
        <v>462.1969166666667</v>
      </c>
      <c r="BJ95" s="2" t="n">
        <v>150.5333333333333</v>
      </c>
      <c r="BK95" s="2" t="n">
        <v>0</v>
      </c>
      <c r="BL95" s="2" t="n">
        <v>77.71683333333334</v>
      </c>
      <c r="BM95" s="2" t="n">
        <v>208.0833333333333</v>
      </c>
      <c r="BN95" s="2" t="n">
        <v>357.959294</v>
      </c>
      <c r="BO95" s="2" t="n">
        <v>0</v>
      </c>
      <c r="BP95" s="2" t="n">
        <v>2070.054210666667</v>
      </c>
      <c r="BQ95" s="2" t="n">
        <v>1168.6945</v>
      </c>
      <c r="BR95" s="2" t="n">
        <v>0</v>
      </c>
      <c r="BS95" s="2" t="n">
        <v>619.5833333333334</v>
      </c>
      <c r="BT95" s="2" t="n">
        <v>576.1578833333333</v>
      </c>
      <c r="BU95" s="2" t="n">
        <v>2364.435716666667</v>
      </c>
      <c r="BV95" s="2" t="n">
        <v>4434.489927333334</v>
      </c>
      <c r="BW95" s="2" t="n">
        <v>21483.41</v>
      </c>
      <c r="BX95" s="2" t="n">
        <v>1760.7</v>
      </c>
      <c r="BY95" s="2" t="n">
        <v>7885.82</v>
      </c>
      <c r="BZ95" s="2" t="n">
        <v>23244.11</v>
      </c>
      <c r="CA95" s="2">
        <f>BB95-BV95</f>
        <v/>
      </c>
    </row>
    <row r="96">
      <c r="A96" t="n">
        <v>1272</v>
      </c>
      <c r="B96" t="inlineStr">
        <is>
          <t>Dworcowa 115, 88-110 Inowrocław</t>
        </is>
      </c>
      <c r="C96" t="inlineStr"/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4773.07</v>
      </c>
      <c r="K96" s="2" t="n">
        <v>397.3138824074074</v>
      </c>
      <c r="L96" s="2" t="n">
        <v>4419.509259259259</v>
      </c>
      <c r="M96" s="2" t="n">
        <v>980.65</v>
      </c>
      <c r="N96" s="2" t="n">
        <v>3317.42</v>
      </c>
      <c r="O96" s="2" t="n">
        <v>475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5845.379999999999</v>
      </c>
      <c r="AO96" s="2" t="n">
        <v>454.6406666666666</v>
      </c>
      <c r="AP96" s="2" t="n">
        <v>5412.388888888888</v>
      </c>
      <c r="AQ96" s="2" t="n">
        <v>1303.59</v>
      </c>
      <c r="AR96" s="2" t="n">
        <v>4055.14</v>
      </c>
      <c r="AS96" s="2" t="n">
        <v>486.65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10618.45</v>
      </c>
      <c r="BA96" s="2" t="n">
        <v>8334.209999999999</v>
      </c>
      <c r="BB96" s="2">
        <f>E96+K96+Q96+W96+AC96+AI96+AO96+AU96+IF(BC96="",0,BC96)</f>
        <v/>
      </c>
      <c r="BC96" s="2" t="n"/>
      <c r="BD96" s="2" t="n">
        <v>9831.898148148146</v>
      </c>
      <c r="BE96" s="2" t="n">
        <v>382.1</v>
      </c>
      <c r="BF96" s="2" t="n">
        <v>143</v>
      </c>
      <c r="BG96" s="2" t="n">
        <v>250.3346666666667</v>
      </c>
      <c r="BH96" s="2" t="n">
        <v>62.36983333333333</v>
      </c>
      <c r="BI96" s="2" t="n">
        <v>462.1969166666667</v>
      </c>
      <c r="BJ96" s="2" t="n">
        <v>150.5333333333333</v>
      </c>
      <c r="BK96" s="2" t="n">
        <v>0</v>
      </c>
      <c r="BL96" s="2" t="n">
        <v>77.71683333333334</v>
      </c>
      <c r="BM96" s="2" t="n">
        <v>208.0833333333333</v>
      </c>
      <c r="BN96" s="2" t="n">
        <v>128.346834</v>
      </c>
      <c r="BO96" s="2" t="n">
        <v>0</v>
      </c>
      <c r="BP96" s="2" t="n">
        <v>1864.681750666666</v>
      </c>
      <c r="BQ96" s="2" t="n">
        <v>1168.6945</v>
      </c>
      <c r="BR96" s="2" t="n">
        <v>0</v>
      </c>
      <c r="BS96" s="2" t="n">
        <v>619.5833333333334</v>
      </c>
      <c r="BT96" s="2" t="n">
        <v>581.0058833333334</v>
      </c>
      <c r="BU96" s="2" t="n">
        <v>2369.283716666667</v>
      </c>
      <c r="BV96" s="2" t="n">
        <v>4233.965467333333</v>
      </c>
      <c r="BW96" s="2" t="n">
        <v>7372.559999999999</v>
      </c>
      <c r="BX96" s="2" t="n">
        <v>961.65</v>
      </c>
      <c r="BY96" s="2" t="n">
        <v>2284.24</v>
      </c>
      <c r="BZ96" s="2" t="n">
        <v>8334.209999999999</v>
      </c>
      <c r="CA96" s="2">
        <f>BB96-BV96</f>
        <v/>
      </c>
    </row>
    <row r="97">
      <c r="A97" t="n">
        <v>1273</v>
      </c>
      <c r="B97" t="inlineStr">
        <is>
          <t>Towarowa 5, 84-120 Władysławowo</t>
        </is>
      </c>
      <c r="C97" t="inlineStr"/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158.9</v>
      </c>
      <c r="K97" s="2" t="n">
        <v>13.2269537037037</v>
      </c>
      <c r="L97" s="2" t="n">
        <v>147.1296296296296</v>
      </c>
      <c r="M97" s="2" t="n">
        <v>0</v>
      </c>
      <c r="N97" s="2" t="n">
        <v>158.9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5971.32</v>
      </c>
      <c r="AO97" s="2" t="n">
        <v>5550</v>
      </c>
      <c r="AP97" s="2" t="n">
        <v>5528.999999999999</v>
      </c>
      <c r="AQ97" s="2" t="n">
        <v>0</v>
      </c>
      <c r="AR97" s="2" t="n">
        <v>5159.03</v>
      </c>
      <c r="AS97" s="2" t="n">
        <v>812.29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6130.219999999999</v>
      </c>
      <c r="BA97" s="2" t="n">
        <v>6130.219999999999</v>
      </c>
      <c r="BB97" s="2">
        <f>E97+K97+Q97+W97+AC97+AI97+AO97+AU97+IF(BC97="",0,BC97)</f>
        <v/>
      </c>
      <c r="BC97" s="2" t="n"/>
      <c r="BD97" s="2" t="n">
        <v>5676.129629629629</v>
      </c>
      <c r="BE97" s="2" t="n">
        <v>0</v>
      </c>
      <c r="BF97" s="2" t="n">
        <v>0</v>
      </c>
      <c r="BG97" s="2" t="n">
        <v>250.3346666666667</v>
      </c>
      <c r="BH97" s="2" t="n">
        <v>62.36983333333333</v>
      </c>
      <c r="BI97" s="2" t="n">
        <v>462.1969166666667</v>
      </c>
      <c r="BJ97" s="2" t="n">
        <v>150.5333333333333</v>
      </c>
      <c r="BK97" s="2" t="n">
        <v>0</v>
      </c>
      <c r="BL97" s="2" t="n">
        <v>77.71683333333334</v>
      </c>
      <c r="BM97" s="2" t="n">
        <v>208.0833333333333</v>
      </c>
      <c r="BN97" s="2" t="n">
        <v>94.40538799999999</v>
      </c>
      <c r="BO97" s="2" t="n">
        <v>0</v>
      </c>
      <c r="BP97" s="2" t="n">
        <v>1305.640304666666</v>
      </c>
      <c r="BQ97" s="2" t="n">
        <v>1168.6945</v>
      </c>
      <c r="BR97" s="2" t="n">
        <v>0</v>
      </c>
      <c r="BS97" s="2" t="n">
        <v>619.5833333333334</v>
      </c>
      <c r="BT97" s="2" t="n">
        <v>475.9858833333334</v>
      </c>
      <c r="BU97" s="2" t="n">
        <v>2264.263716666667</v>
      </c>
      <c r="BV97" s="2" t="n">
        <v>3569.904021333333</v>
      </c>
      <c r="BW97" s="2" t="n">
        <v>5317.929999999999</v>
      </c>
      <c r="BX97" s="2" t="n">
        <v>812.29</v>
      </c>
      <c r="BY97" s="2" t="n">
        <v>0</v>
      </c>
      <c r="BZ97" s="2" t="n">
        <v>6130.219999999999</v>
      </c>
      <c r="CA97" s="2">
        <f>BB97-BV97</f>
        <v/>
      </c>
    </row>
    <row r="98">
      <c r="A98" t="n">
        <v>1274</v>
      </c>
      <c r="B98" t="inlineStr">
        <is>
          <t>Kolejowa 7, 89-650 Czersk</t>
        </is>
      </c>
      <c r="C98" t="inlineStr"/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1904.95</v>
      </c>
      <c r="AO98" s="2" t="n">
        <v>3900</v>
      </c>
      <c r="AP98" s="2" t="n">
        <v>1763.842592592593</v>
      </c>
      <c r="AQ98" s="2" t="n">
        <v>0</v>
      </c>
      <c r="AR98" s="2" t="n">
        <v>1774.22</v>
      </c>
      <c r="AS98" s="2" t="n">
        <v>130.73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1904.95</v>
      </c>
      <c r="BA98" s="2" t="n">
        <v>1904.95</v>
      </c>
      <c r="BB98" s="2">
        <f>E98+K98+Q98+W98+AC98+AI98+AO98+AU98+IF(BC98="",0,BC98)</f>
        <v/>
      </c>
      <c r="BC98" s="2" t="n"/>
      <c r="BD98" s="2" t="n">
        <v>1763.842592592593</v>
      </c>
      <c r="BE98" s="2" t="n">
        <v>0</v>
      </c>
      <c r="BF98" s="2" t="n">
        <v>0</v>
      </c>
      <c r="BG98" s="2" t="n">
        <v>250.3346666666667</v>
      </c>
      <c r="BH98" s="2" t="n">
        <v>62.36983333333333</v>
      </c>
      <c r="BI98" s="2" t="n">
        <v>462.1969166666667</v>
      </c>
      <c r="BJ98" s="2" t="n">
        <v>150.5333333333333</v>
      </c>
      <c r="BK98" s="2" t="n">
        <v>0</v>
      </c>
      <c r="BL98" s="2" t="n">
        <v>77.71683333333334</v>
      </c>
      <c r="BM98" s="2" t="n">
        <v>208.0833333333333</v>
      </c>
      <c r="BN98" s="2" t="n">
        <v>29.33623</v>
      </c>
      <c r="BO98" s="2" t="n">
        <v>0</v>
      </c>
      <c r="BP98" s="2" t="n">
        <v>1240.571146666667</v>
      </c>
      <c r="BQ98" s="2" t="n">
        <v>1168.6945</v>
      </c>
      <c r="BR98" s="2" t="n">
        <v>0</v>
      </c>
      <c r="BS98" s="2" t="n">
        <v>619.5833333333334</v>
      </c>
      <c r="BT98" s="2" t="n">
        <v>475.9858833333334</v>
      </c>
      <c r="BU98" s="2" t="n">
        <v>2264.263716666667</v>
      </c>
      <c r="BV98" s="2" t="n">
        <v>3504.834863333333</v>
      </c>
      <c r="BW98" s="2" t="n">
        <v>1774.22</v>
      </c>
      <c r="BX98" s="2" t="n">
        <v>130.73</v>
      </c>
      <c r="BY98" s="2" t="n">
        <v>0</v>
      </c>
      <c r="BZ98" s="2" t="n">
        <v>1904.95</v>
      </c>
      <c r="CA98" s="2">
        <f>BB98-BV98</f>
        <v/>
      </c>
    </row>
    <row r="99">
      <c r="A99" t="n">
        <v>1276</v>
      </c>
      <c r="B99" t="inlineStr">
        <is>
          <t>GDA-STR</t>
        </is>
      </c>
      <c r="C99" t="inlineStr"/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6079.410000000001</v>
      </c>
      <c r="AO99" s="2" t="n">
        <v>0</v>
      </c>
      <c r="AP99" s="2" t="n">
        <v>5629.083333333334</v>
      </c>
      <c r="AQ99" s="2" t="n">
        <v>820.72</v>
      </c>
      <c r="AR99" s="2" t="n">
        <v>5151.09</v>
      </c>
      <c r="AS99" s="2" t="n">
        <v>107.6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6079.410000000001</v>
      </c>
      <c r="BA99" s="2" t="n">
        <v>5258.690000000001</v>
      </c>
      <c r="BB99" s="2">
        <f>E99+K99+Q99+W99+AC99+AI99+AO99+AU99+IF(BC99="",0,BC99)</f>
        <v/>
      </c>
      <c r="BC99" s="2" t="n"/>
      <c r="BD99" s="2" t="n">
        <v>5629.083333333334</v>
      </c>
      <c r="BE99" s="2" t="n">
        <v>0</v>
      </c>
      <c r="BF99" s="2" t="n">
        <v>0</v>
      </c>
      <c r="BG99" s="2" t="n">
        <v>250.3346666666667</v>
      </c>
      <c r="BH99" s="2" t="n">
        <v>62.36983333333333</v>
      </c>
      <c r="BI99" s="2" t="n">
        <v>462.1969166666667</v>
      </c>
      <c r="BJ99" s="2" t="n">
        <v>150.5333333333333</v>
      </c>
      <c r="BK99" s="2" t="n">
        <v>0</v>
      </c>
      <c r="BL99" s="2" t="n">
        <v>77.71683333333334</v>
      </c>
      <c r="BM99" s="2" t="n">
        <v>208.0833333333333</v>
      </c>
      <c r="BN99" s="2" t="n">
        <v>80.98382600000001</v>
      </c>
      <c r="BO99" s="2" t="n">
        <v>0</v>
      </c>
      <c r="BP99" s="2" t="n">
        <v>1292.218742666666</v>
      </c>
      <c r="BQ99" s="2" t="n">
        <v>1168.6945</v>
      </c>
      <c r="BR99" s="2" t="n">
        <v>0</v>
      </c>
      <c r="BS99" s="2" t="n">
        <v>619.5833333333334</v>
      </c>
      <c r="BT99" s="2" t="n">
        <v>475.9858833333334</v>
      </c>
      <c r="BU99" s="2" t="n">
        <v>2264.263716666667</v>
      </c>
      <c r="BV99" s="2" t="n">
        <v>3556.482459333333</v>
      </c>
      <c r="BW99" s="2" t="n">
        <v>5151.09</v>
      </c>
      <c r="BX99" s="2" t="n">
        <v>107.6</v>
      </c>
      <c r="BY99" s="2" t="n">
        <v>820.72</v>
      </c>
      <c r="BZ99" s="2" t="n">
        <v>5258.690000000001</v>
      </c>
      <c r="CA99" s="2">
        <f>BB99-BV99</f>
        <v/>
      </c>
    </row>
    <row r="100">
      <c r="A100" t="n">
        <v>1277</v>
      </c>
      <c r="B100" t="inlineStr">
        <is>
          <t>Plac Konstytucji 1, 81-354 Gdynia</t>
        </is>
      </c>
      <c r="C100" t="inlineStr"/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6422.8</v>
      </c>
      <c r="K100" s="2" t="n">
        <v>534.6386296296296</v>
      </c>
      <c r="L100" s="2" t="n">
        <v>5947.037037037036</v>
      </c>
      <c r="M100" s="2" t="n">
        <v>3562.04</v>
      </c>
      <c r="N100" s="2" t="n">
        <v>2784.72</v>
      </c>
      <c r="O100" s="2" t="n">
        <v>76.04000000000001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12511.58</v>
      </c>
      <c r="AO100" s="2" t="n">
        <v>973.1228888888888</v>
      </c>
      <c r="AP100" s="2" t="n">
        <v>11584.7962962963</v>
      </c>
      <c r="AQ100" s="2" t="n">
        <v>4020.87</v>
      </c>
      <c r="AR100" s="2" t="n">
        <v>7861.84</v>
      </c>
      <c r="AS100" s="2" t="n">
        <v>628.87</v>
      </c>
      <c r="AT100" s="2" t="n">
        <v>14217.25</v>
      </c>
      <c r="AU100" s="2" t="n">
        <v>566.0571759259258</v>
      </c>
      <c r="AV100" s="2" t="n">
        <v>13164.12037037037</v>
      </c>
      <c r="AW100" s="2" t="n">
        <v>3258.8</v>
      </c>
      <c r="AX100" s="2" t="n">
        <v>10399.9</v>
      </c>
      <c r="AY100" s="2" t="n">
        <v>558.55</v>
      </c>
      <c r="AZ100" s="2" t="n">
        <v>33151.63</v>
      </c>
      <c r="BA100" s="2" t="n">
        <v>22309.92</v>
      </c>
      <c r="BB100" s="2">
        <f>E100+K100+Q100+W100+AC100+AI100+AO100+AU100+IF(BC100="",0,BC100)</f>
        <v/>
      </c>
      <c r="BC100" s="2" t="n"/>
      <c r="BD100" s="2" t="n">
        <v>30695.9537037037</v>
      </c>
      <c r="BE100" s="2" t="n">
        <v>971.34</v>
      </c>
      <c r="BF100" s="2" t="n">
        <v>93.59999999999999</v>
      </c>
      <c r="BG100" s="2" t="n">
        <v>250.3346666666667</v>
      </c>
      <c r="BH100" s="2" t="n">
        <v>62.36983333333333</v>
      </c>
      <c r="BI100" s="2" t="n">
        <v>462.1969166666667</v>
      </c>
      <c r="BJ100" s="2" t="n">
        <v>150.5333333333333</v>
      </c>
      <c r="BK100" s="2" t="n">
        <v>0</v>
      </c>
      <c r="BL100" s="2" t="n">
        <v>77.71683333333334</v>
      </c>
      <c r="BM100" s="2" t="n">
        <v>208.0833333333333</v>
      </c>
      <c r="BN100" s="2" t="n">
        <v>343.572768</v>
      </c>
      <c r="BO100" s="2" t="n">
        <v>0</v>
      </c>
      <c r="BP100" s="2" t="n">
        <v>2619.747684666667</v>
      </c>
      <c r="BQ100" s="2" t="n">
        <v>1168.6945</v>
      </c>
      <c r="BR100" s="2" t="n">
        <v>0</v>
      </c>
      <c r="BS100" s="2" t="n">
        <v>619.5833333333334</v>
      </c>
      <c r="BT100" s="2" t="n">
        <v>688.9738833333334</v>
      </c>
      <c r="BU100" s="2" t="n">
        <v>2477.251716666667</v>
      </c>
      <c r="BV100" s="2" t="n">
        <v>5096.999401333334</v>
      </c>
      <c r="BW100" s="2" t="n">
        <v>21046.46</v>
      </c>
      <c r="BX100" s="2" t="n">
        <v>1263.46</v>
      </c>
      <c r="BY100" s="2" t="n">
        <v>10841.71</v>
      </c>
      <c r="BZ100" s="2" t="n">
        <v>22309.92</v>
      </c>
      <c r="CA100" s="2">
        <f>BB100-BV100</f>
        <v/>
      </c>
    </row>
    <row r="101">
      <c r="A101" t="n">
        <v>1278</v>
      </c>
      <c r="B101" t="inlineStr">
        <is>
          <t>Plac Konstytucji 1, 81-354 Gdynia</t>
        </is>
      </c>
      <c r="C101" t="inlineStr"/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6411.35</v>
      </c>
      <c r="K101" s="2" t="n">
        <v>533.6855231481481</v>
      </c>
      <c r="L101" s="2" t="n">
        <v>5936.435185185185</v>
      </c>
      <c r="M101" s="2" t="n">
        <v>222.6</v>
      </c>
      <c r="N101" s="2" t="n">
        <v>6077.85</v>
      </c>
      <c r="O101" s="2" t="n">
        <v>110.9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11470.41</v>
      </c>
      <c r="AO101" s="2" t="n">
        <v>892.143</v>
      </c>
      <c r="AP101" s="2" t="n">
        <v>10620.75</v>
      </c>
      <c r="AQ101" s="2" t="n">
        <v>892.05</v>
      </c>
      <c r="AR101" s="2" t="n">
        <v>10058.07</v>
      </c>
      <c r="AS101" s="2" t="n">
        <v>520.29</v>
      </c>
      <c r="AT101" s="2" t="n">
        <v>13941.9</v>
      </c>
      <c r="AU101" s="2" t="n">
        <v>555.0941666666666</v>
      </c>
      <c r="AV101" s="2" t="n">
        <v>12909.16666666667</v>
      </c>
      <c r="AW101" s="2" t="n">
        <v>987.1</v>
      </c>
      <c r="AX101" s="2" t="n">
        <v>11898.85</v>
      </c>
      <c r="AY101" s="2" t="n">
        <v>1055.95</v>
      </c>
      <c r="AZ101" s="2" t="n">
        <v>31823.66</v>
      </c>
      <c r="BA101" s="2" t="n">
        <v>29721.91</v>
      </c>
      <c r="BB101" s="2">
        <f>E101+K101+Q101+W101+AC101+AI101+AO101+AU101+IF(BC101="",0,BC101)</f>
        <v/>
      </c>
      <c r="BC101" s="2" t="n"/>
      <c r="BD101" s="2" t="n">
        <v>29466.35185185185</v>
      </c>
      <c r="BE101" s="2" t="n">
        <v>1216.91</v>
      </c>
      <c r="BF101" s="2" t="n">
        <v>117</v>
      </c>
      <c r="BG101" s="2" t="n">
        <v>250.3346666666667</v>
      </c>
      <c r="BH101" s="2" t="n">
        <v>62.36983333333333</v>
      </c>
      <c r="BI101" s="2" t="n">
        <v>462.1969166666667</v>
      </c>
      <c r="BJ101" s="2" t="n">
        <v>150.5333333333333</v>
      </c>
      <c r="BK101" s="2" t="n">
        <v>0</v>
      </c>
      <c r="BL101" s="2" t="n">
        <v>77.71683333333334</v>
      </c>
      <c r="BM101" s="2" t="n">
        <v>208.0833333333333</v>
      </c>
      <c r="BN101" s="2" t="n">
        <v>457.7174140000001</v>
      </c>
      <c r="BO101" s="2" t="n">
        <v>0</v>
      </c>
      <c r="BP101" s="2" t="n">
        <v>3002.862330666667</v>
      </c>
      <c r="BQ101" s="2" t="n">
        <v>1168.6945</v>
      </c>
      <c r="BR101" s="2" t="n">
        <v>0</v>
      </c>
      <c r="BS101" s="2" t="n">
        <v>619.5833333333334</v>
      </c>
      <c r="BT101" s="2" t="n">
        <v>742.7678833333334</v>
      </c>
      <c r="BU101" s="2" t="n">
        <v>2531.045716666667</v>
      </c>
      <c r="BV101" s="2" t="n">
        <v>5533.908047333334</v>
      </c>
      <c r="BW101" s="2" t="n">
        <v>28034.77</v>
      </c>
      <c r="BX101" s="2" t="n">
        <v>1687.14</v>
      </c>
      <c r="BY101" s="2" t="n">
        <v>2101.75</v>
      </c>
      <c r="BZ101" s="2" t="n">
        <v>29721.91</v>
      </c>
      <c r="CA101" s="2">
        <f>BB101-BV101</f>
        <v/>
      </c>
    </row>
    <row r="102">
      <c r="A102" t="n">
        <v>1279</v>
      </c>
      <c r="B102" t="inlineStr">
        <is>
          <t>GDA-GL</t>
        </is>
      </c>
      <c r="C102" t="inlineStr"/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2451.91</v>
      </c>
      <c r="AO102" s="2" t="n">
        <v>0</v>
      </c>
      <c r="AP102" s="2" t="n">
        <v>2270.287037037037</v>
      </c>
      <c r="AQ102" s="2" t="n">
        <v>204.14</v>
      </c>
      <c r="AR102" s="2" t="n">
        <v>2142.5</v>
      </c>
      <c r="AS102" s="2" t="n">
        <v>105.27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2451.91</v>
      </c>
      <c r="BA102" s="2" t="n">
        <v>2247.77</v>
      </c>
      <c r="BB102" s="2">
        <f>E102+K102+Q102+W102+AC102+AI102+AO102+AU102+IF(BC102="",0,BC102)</f>
        <v/>
      </c>
      <c r="BC102" s="2" t="n"/>
      <c r="BD102" s="2" t="n">
        <v>2270.287037037037</v>
      </c>
      <c r="BE102" s="2" t="n">
        <v>0</v>
      </c>
      <c r="BF102" s="2" t="n">
        <v>0</v>
      </c>
      <c r="BG102" s="2" t="n">
        <v>250.3346666666667</v>
      </c>
      <c r="BH102" s="2" t="n">
        <v>62.36983333333333</v>
      </c>
      <c r="BI102" s="2" t="n">
        <v>462.1969166666667</v>
      </c>
      <c r="BJ102" s="2" t="n">
        <v>150.5333333333333</v>
      </c>
      <c r="BK102" s="2" t="n">
        <v>0</v>
      </c>
      <c r="BL102" s="2" t="n">
        <v>77.71683333333334</v>
      </c>
      <c r="BM102" s="2" t="n">
        <v>208.0833333333333</v>
      </c>
      <c r="BN102" s="2" t="n">
        <v>34.615658</v>
      </c>
      <c r="BO102" s="2" t="n">
        <v>0</v>
      </c>
      <c r="BP102" s="2" t="n">
        <v>1245.850574666666</v>
      </c>
      <c r="BQ102" s="2" t="n">
        <v>1168.6945</v>
      </c>
      <c r="BR102" s="2" t="n">
        <v>0</v>
      </c>
      <c r="BS102" s="2" t="n">
        <v>619.5833333333334</v>
      </c>
      <c r="BT102" s="2" t="n">
        <v>475.9858833333334</v>
      </c>
      <c r="BU102" s="2" t="n">
        <v>2264.263716666667</v>
      </c>
      <c r="BV102" s="2" t="n">
        <v>3510.114291333333</v>
      </c>
      <c r="BW102" s="2" t="n">
        <v>2142.5</v>
      </c>
      <c r="BX102" s="2" t="n">
        <v>105.27</v>
      </c>
      <c r="BY102" s="2" t="n">
        <v>204.14</v>
      </c>
      <c r="BZ102" s="2" t="n">
        <v>2247.77</v>
      </c>
      <c r="CA102" s="2">
        <f>BB102-BV102</f>
        <v/>
      </c>
    </row>
    <row r="103">
      <c r="A103" t="n">
        <v>1280</v>
      </c>
      <c r="B103" t="inlineStr">
        <is>
          <t>GRODZW</t>
        </is>
      </c>
      <c r="C103" t="inlineStr"/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5634.27</v>
      </c>
      <c r="AO103" s="2" t="n">
        <v>0</v>
      </c>
      <c r="AP103" s="2" t="n">
        <v>5216.916666666666</v>
      </c>
      <c r="AQ103" s="2" t="n">
        <v>878.4400000000001</v>
      </c>
      <c r="AR103" s="2" t="n">
        <v>4544.88</v>
      </c>
      <c r="AS103" s="2" t="n">
        <v>210.95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5634.27</v>
      </c>
      <c r="BA103" s="2" t="n">
        <v>4755.83</v>
      </c>
      <c r="BB103" s="2">
        <f>E103+K103+Q103+W103+AC103+AI103+AO103+AU103+IF(BC103="",0,BC103)</f>
        <v/>
      </c>
      <c r="BC103" s="2" t="n"/>
      <c r="BD103" s="2" t="n">
        <v>5216.916666666666</v>
      </c>
      <c r="BE103" s="2" t="n">
        <v>0</v>
      </c>
      <c r="BF103" s="2" t="n">
        <v>0</v>
      </c>
      <c r="BG103" s="2" t="n">
        <v>250.3346666666667</v>
      </c>
      <c r="BH103" s="2" t="n">
        <v>62.36983333333333</v>
      </c>
      <c r="BI103" s="2" t="n">
        <v>462.1969166666667</v>
      </c>
      <c r="BJ103" s="2" t="n">
        <v>150.5333333333333</v>
      </c>
      <c r="BK103" s="2" t="n">
        <v>0</v>
      </c>
      <c r="BL103" s="2" t="n">
        <v>77.71683333333334</v>
      </c>
      <c r="BM103" s="2" t="n">
        <v>208.0833333333333</v>
      </c>
      <c r="BN103" s="2" t="n">
        <v>73.23978200000001</v>
      </c>
      <c r="BO103" s="2" t="n">
        <v>0</v>
      </c>
      <c r="BP103" s="2" t="n">
        <v>1284.474698666667</v>
      </c>
      <c r="BQ103" s="2" t="n">
        <v>1168.6945</v>
      </c>
      <c r="BR103" s="2" t="n">
        <v>0</v>
      </c>
      <c r="BS103" s="2" t="n">
        <v>619.5833333333334</v>
      </c>
      <c r="BT103" s="2" t="n">
        <v>475.9858833333334</v>
      </c>
      <c r="BU103" s="2" t="n">
        <v>2264.263716666667</v>
      </c>
      <c r="BV103" s="2" t="n">
        <v>3548.738415333333</v>
      </c>
      <c r="BW103" s="2" t="n">
        <v>4544.88</v>
      </c>
      <c r="BX103" s="2" t="n">
        <v>210.95</v>
      </c>
      <c r="BY103" s="2" t="n">
        <v>878.4400000000001</v>
      </c>
      <c r="BZ103" s="2" t="n">
        <v>4755.83</v>
      </c>
      <c r="CA103" s="2">
        <f>BB103-BV103</f>
        <v/>
      </c>
    </row>
    <row r="104">
      <c r="A104" t="n">
        <v>1281</v>
      </c>
      <c r="B104" t="inlineStr">
        <is>
          <t>GRANOW</t>
        </is>
      </c>
      <c r="C104" t="inlineStr"/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7640.98</v>
      </c>
      <c r="AO104" s="2" t="n">
        <v>0</v>
      </c>
      <c r="AP104" s="2" t="n">
        <v>7074.981481481481</v>
      </c>
      <c r="AQ104" s="2" t="n">
        <v>990.28</v>
      </c>
      <c r="AR104" s="2" t="n">
        <v>6250.04</v>
      </c>
      <c r="AS104" s="2" t="n">
        <v>400.66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7640.98</v>
      </c>
      <c r="BA104" s="2" t="n">
        <v>6650.7</v>
      </c>
      <c r="BB104" s="2">
        <f>E104+K104+Q104+W104+AC104+AI104+AO104+AU104+IF(BC104="",0,BC104)</f>
        <v/>
      </c>
      <c r="BC104" s="2" t="n"/>
      <c r="BD104" s="2" t="n">
        <v>7074.981481481481</v>
      </c>
      <c r="BE104" s="2" t="n">
        <v>0</v>
      </c>
      <c r="BF104" s="2" t="n">
        <v>0</v>
      </c>
      <c r="BG104" s="2" t="n">
        <v>250.3346666666667</v>
      </c>
      <c r="BH104" s="2" t="n">
        <v>62.36983333333333</v>
      </c>
      <c r="BI104" s="2" t="n">
        <v>462.1969166666667</v>
      </c>
      <c r="BJ104" s="2" t="n">
        <v>150.5333333333333</v>
      </c>
      <c r="BK104" s="2" t="n">
        <v>0</v>
      </c>
      <c r="BL104" s="2" t="n">
        <v>77.71683333333334</v>
      </c>
      <c r="BM104" s="2" t="n">
        <v>208.0833333333333</v>
      </c>
      <c r="BN104" s="2" t="n">
        <v>102.42078</v>
      </c>
      <c r="BO104" s="2" t="n">
        <v>0</v>
      </c>
      <c r="BP104" s="2" t="n">
        <v>1313.655696666666</v>
      </c>
      <c r="BQ104" s="2" t="n">
        <v>1168.6945</v>
      </c>
      <c r="BR104" s="2" t="n">
        <v>0</v>
      </c>
      <c r="BS104" s="2" t="n">
        <v>619.5833333333334</v>
      </c>
      <c r="BT104" s="2" t="n">
        <v>475.9858833333334</v>
      </c>
      <c r="BU104" s="2" t="n">
        <v>2264.263716666667</v>
      </c>
      <c r="BV104" s="2" t="n">
        <v>3577.919413333333</v>
      </c>
      <c r="BW104" s="2" t="n">
        <v>6250.04</v>
      </c>
      <c r="BX104" s="2" t="n">
        <v>400.66</v>
      </c>
      <c r="BY104" s="2" t="n">
        <v>990.28</v>
      </c>
      <c r="BZ104" s="2" t="n">
        <v>6650.7</v>
      </c>
      <c r="CA104" s="2">
        <f>BB104-BV104</f>
        <v/>
      </c>
    </row>
    <row r="105">
      <c r="A105" t="n">
        <v>1283</v>
      </c>
      <c r="B105" t="inlineStr">
        <is>
          <t>CZERWO</t>
        </is>
      </c>
      <c r="C105" t="inlineStr"/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31950.53</v>
      </c>
      <c r="AO105" s="2" t="n">
        <v>0</v>
      </c>
      <c r="AP105" s="2" t="n">
        <v>29583.82407407407</v>
      </c>
      <c r="AQ105" s="2" t="n">
        <v>3875.02</v>
      </c>
      <c r="AR105" s="2" t="n">
        <v>27449.58</v>
      </c>
      <c r="AS105" s="2" t="n">
        <v>625.9299999999999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31950.53</v>
      </c>
      <c r="BA105" s="2" t="n">
        <v>28075.51</v>
      </c>
      <c r="BB105" s="2">
        <f>E105+K105+Q105+W105+AC105+AI105+AO105+AU105+IF(BC105="",0,BC105)</f>
        <v/>
      </c>
      <c r="BC105" s="2" t="n"/>
      <c r="BD105" s="2" t="n">
        <v>29583.82407407407</v>
      </c>
      <c r="BE105" s="2" t="n">
        <v>0</v>
      </c>
      <c r="BF105" s="2" t="n">
        <v>0</v>
      </c>
      <c r="BG105" s="2" t="n">
        <v>250.3346666666667</v>
      </c>
      <c r="BH105" s="2" t="n">
        <v>62.36983333333333</v>
      </c>
      <c r="BI105" s="2" t="n">
        <v>462.1969166666667</v>
      </c>
      <c r="BJ105" s="2" t="n">
        <v>150.5333333333333</v>
      </c>
      <c r="BK105" s="2" t="n">
        <v>0</v>
      </c>
      <c r="BL105" s="2" t="n">
        <v>77.71683333333334</v>
      </c>
      <c r="BM105" s="2" t="n">
        <v>208.0833333333333</v>
      </c>
      <c r="BN105" s="2" t="n">
        <v>432.362854</v>
      </c>
      <c r="BO105" s="2" t="n">
        <v>0</v>
      </c>
      <c r="BP105" s="2" t="n">
        <v>1643.597770666667</v>
      </c>
      <c r="BQ105" s="2" t="n">
        <v>1168.6945</v>
      </c>
      <c r="BR105" s="2" t="n">
        <v>0</v>
      </c>
      <c r="BS105" s="2" t="n">
        <v>619.5833333333334</v>
      </c>
      <c r="BT105" s="2" t="n">
        <v>475.9858833333334</v>
      </c>
      <c r="BU105" s="2" t="n">
        <v>2264.263716666667</v>
      </c>
      <c r="BV105" s="2" t="n">
        <v>3907.861487333334</v>
      </c>
      <c r="BW105" s="2" t="n">
        <v>27449.58</v>
      </c>
      <c r="BX105" s="2" t="n">
        <v>625.9299999999999</v>
      </c>
      <c r="BY105" s="2" t="n">
        <v>3875.02</v>
      </c>
      <c r="BZ105" s="2" t="n">
        <v>28075.51</v>
      </c>
      <c r="CA105" s="2">
        <f>BB105-BV105</f>
        <v/>
      </c>
    </row>
    <row r="106">
      <c r="A106" t="n">
        <v>1284</v>
      </c>
      <c r="B106" t="inlineStr">
        <is>
          <t>OWINSK</t>
        </is>
      </c>
      <c r="C106" t="inlineStr"/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3528.29</v>
      </c>
      <c r="AO106" s="2" t="n">
        <v>0</v>
      </c>
      <c r="AP106" s="2" t="n">
        <v>3266.935185185185</v>
      </c>
      <c r="AQ106" s="2" t="n">
        <v>202.05</v>
      </c>
      <c r="AR106" s="2" t="n">
        <v>3279.54</v>
      </c>
      <c r="AS106" s="2" t="n">
        <v>46.7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3528.29</v>
      </c>
      <c r="BA106" s="2" t="n">
        <v>3326.24</v>
      </c>
      <c r="BB106" s="2">
        <f>E106+K106+Q106+W106+AC106+AI106+AO106+AU106+IF(BC106="",0,BC106)</f>
        <v/>
      </c>
      <c r="BC106" s="2" t="n"/>
      <c r="BD106" s="2" t="n">
        <v>3266.935185185185</v>
      </c>
      <c r="BE106" s="2" t="n">
        <v>0</v>
      </c>
      <c r="BF106" s="2" t="n">
        <v>0</v>
      </c>
      <c r="BG106" s="2" t="n">
        <v>250.3346666666667</v>
      </c>
      <c r="BH106" s="2" t="n">
        <v>62.36983333333333</v>
      </c>
      <c r="BI106" s="2" t="n">
        <v>462.1969166666667</v>
      </c>
      <c r="BJ106" s="2" t="n">
        <v>150.5333333333333</v>
      </c>
      <c r="BK106" s="2" t="n">
        <v>0</v>
      </c>
      <c r="BL106" s="2" t="n">
        <v>77.71683333333334</v>
      </c>
      <c r="BM106" s="2" t="n">
        <v>208.0833333333333</v>
      </c>
      <c r="BN106" s="2" t="n">
        <v>51.224096</v>
      </c>
      <c r="BO106" s="2" t="n">
        <v>0</v>
      </c>
      <c r="BP106" s="2" t="n">
        <v>1262.459012666666</v>
      </c>
      <c r="BQ106" s="2" t="n">
        <v>1168.6945</v>
      </c>
      <c r="BR106" s="2" t="n">
        <v>0</v>
      </c>
      <c r="BS106" s="2" t="n">
        <v>619.5833333333334</v>
      </c>
      <c r="BT106" s="2" t="n">
        <v>475.9858833333334</v>
      </c>
      <c r="BU106" s="2" t="n">
        <v>2264.263716666667</v>
      </c>
      <c r="BV106" s="2" t="n">
        <v>3526.722729333334</v>
      </c>
      <c r="BW106" s="2" t="n">
        <v>3279.54</v>
      </c>
      <c r="BX106" s="2" t="n">
        <v>46.7</v>
      </c>
      <c r="BY106" s="2" t="n">
        <v>202.05</v>
      </c>
      <c r="BZ106" s="2" t="n">
        <v>3326.24</v>
      </c>
      <c r="CA106" s="2">
        <f>BB106-BV106</f>
        <v/>
      </c>
    </row>
    <row r="107">
      <c r="A107" t="n">
        <v>1285</v>
      </c>
      <c r="B107" t="inlineStr">
        <is>
          <t>ZIELWZG</t>
        </is>
      </c>
      <c r="C107" t="inlineStr"/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4392.23</v>
      </c>
      <c r="AO107" s="2" t="n">
        <v>0</v>
      </c>
      <c r="AP107" s="2" t="n">
        <v>4066.87962962963</v>
      </c>
      <c r="AQ107" s="2" t="n">
        <v>1092.25</v>
      </c>
      <c r="AR107" s="2" t="n">
        <v>3231.67</v>
      </c>
      <c r="AS107" s="2" t="n">
        <v>68.31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4392.23</v>
      </c>
      <c r="BA107" s="2" t="n">
        <v>3299.98</v>
      </c>
      <c r="BB107" s="2">
        <f>E107+K107+Q107+W107+AC107+AI107+AO107+AU107+IF(BC107="",0,BC107)</f>
        <v/>
      </c>
      <c r="BC107" s="2" t="n"/>
      <c r="BD107" s="2" t="n">
        <v>4066.87962962963</v>
      </c>
      <c r="BE107" s="2" t="n">
        <v>0</v>
      </c>
      <c r="BF107" s="2" t="n">
        <v>0</v>
      </c>
      <c r="BG107" s="2" t="n">
        <v>250.3346666666667</v>
      </c>
      <c r="BH107" s="2" t="n">
        <v>62.36983333333333</v>
      </c>
      <c r="BI107" s="2" t="n">
        <v>462.1969166666667</v>
      </c>
      <c r="BJ107" s="2" t="n">
        <v>150.5333333333333</v>
      </c>
      <c r="BK107" s="2" t="n">
        <v>0</v>
      </c>
      <c r="BL107" s="2" t="n">
        <v>77.71683333333334</v>
      </c>
      <c r="BM107" s="2" t="n">
        <v>208.0833333333333</v>
      </c>
      <c r="BN107" s="2" t="n">
        <v>50.819692</v>
      </c>
      <c r="BO107" s="2" t="n">
        <v>0</v>
      </c>
      <c r="BP107" s="2" t="n">
        <v>1262.054608666667</v>
      </c>
      <c r="BQ107" s="2" t="n">
        <v>1168.6945</v>
      </c>
      <c r="BR107" s="2" t="n">
        <v>0</v>
      </c>
      <c r="BS107" s="2" t="n">
        <v>619.5833333333334</v>
      </c>
      <c r="BT107" s="2" t="n">
        <v>475.9858833333334</v>
      </c>
      <c r="BU107" s="2" t="n">
        <v>2264.263716666667</v>
      </c>
      <c r="BV107" s="2" t="n">
        <v>3526.318325333334</v>
      </c>
      <c r="BW107" s="2" t="n">
        <v>3231.67</v>
      </c>
      <c r="BX107" s="2" t="n">
        <v>68.31</v>
      </c>
      <c r="BY107" s="2" t="n">
        <v>1092.25</v>
      </c>
      <c r="BZ107" s="2" t="n">
        <v>3299.98</v>
      </c>
      <c r="CA107" s="2">
        <f>BB107-BV107</f>
        <v/>
      </c>
    </row>
    <row r="108">
      <c r="A108" t="n">
        <v>1286</v>
      </c>
      <c r="B108" t="inlineStr">
        <is>
          <t>Dworcowa 2, 61-801 Poznań</t>
        </is>
      </c>
      <c r="C108" t="inlineStr"/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4005.11</v>
      </c>
      <c r="K108" s="2" t="n">
        <v>333.3883231481481</v>
      </c>
      <c r="L108" s="2" t="n">
        <v>3708.435185185185</v>
      </c>
      <c r="M108" s="2" t="n">
        <v>898.12</v>
      </c>
      <c r="N108" s="2" t="n">
        <v>2785.83</v>
      </c>
      <c r="O108" s="2" t="n">
        <v>321.16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8014.37</v>
      </c>
      <c r="AC108" s="2" t="n">
        <v>519.4499074074074</v>
      </c>
      <c r="AD108" s="2" t="n">
        <v>7420.712962962963</v>
      </c>
      <c r="AE108" s="2" t="n">
        <v>1265.46</v>
      </c>
      <c r="AF108" s="2" t="n">
        <v>6236.95</v>
      </c>
      <c r="AG108" s="2" t="n">
        <v>511.96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2626.87</v>
      </c>
      <c r="AO108" s="2" t="n">
        <v>204.3121111111111</v>
      </c>
      <c r="AP108" s="2" t="n">
        <v>2432.287037037037</v>
      </c>
      <c r="AQ108" s="2" t="n">
        <v>272.63</v>
      </c>
      <c r="AR108" s="2" t="n">
        <v>2190.87</v>
      </c>
      <c r="AS108" s="2" t="n">
        <v>163.37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14646.35</v>
      </c>
      <c r="BA108" s="2" t="n">
        <v>12210.14</v>
      </c>
      <c r="BB108" s="2">
        <f>E108+K108+Q108+W108+AC108+AI108+AO108+AU108+IF(BC108="",0,BC108)</f>
        <v/>
      </c>
      <c r="BC108" s="2" t="n"/>
      <c r="BD108" s="2" t="n">
        <v>13561.43518518518</v>
      </c>
      <c r="BE108" s="2" t="n">
        <v>0</v>
      </c>
      <c r="BF108" s="2" t="n">
        <v>0</v>
      </c>
      <c r="BG108" s="2" t="n">
        <v>250.3346666666667</v>
      </c>
      <c r="BH108" s="2" t="n">
        <v>62.36983333333333</v>
      </c>
      <c r="BI108" s="2" t="n">
        <v>462.1969166666667</v>
      </c>
      <c r="BJ108" s="2" t="n">
        <v>150.5333333333333</v>
      </c>
      <c r="BK108" s="2" t="n">
        <v>0</v>
      </c>
      <c r="BL108" s="2" t="n">
        <v>77.71683333333334</v>
      </c>
      <c r="BM108" s="2" t="n">
        <v>208.0833333333333</v>
      </c>
      <c r="BN108" s="2" t="n">
        <v>188.036156</v>
      </c>
      <c r="BO108" s="2" t="n">
        <v>0</v>
      </c>
      <c r="BP108" s="2" t="n">
        <v>1399.271072666666</v>
      </c>
      <c r="BQ108" s="2" t="n">
        <v>1168.6945</v>
      </c>
      <c r="BR108" s="2" t="n">
        <v>0</v>
      </c>
      <c r="BS108" s="2" t="n">
        <v>619.5833333333334</v>
      </c>
      <c r="BT108" s="2" t="n">
        <v>475.9858833333334</v>
      </c>
      <c r="BU108" s="2" t="n">
        <v>2264.263716666667</v>
      </c>
      <c r="BV108" s="2" t="n">
        <v>3663.534789333333</v>
      </c>
      <c r="BW108" s="2" t="n">
        <v>11213.65</v>
      </c>
      <c r="BX108" s="2" t="n">
        <v>996.49</v>
      </c>
      <c r="BY108" s="2" t="n">
        <v>2436.21</v>
      </c>
      <c r="BZ108" s="2" t="n">
        <v>12210.14</v>
      </c>
      <c r="CA108" s="2">
        <f>BB108-BV108</f>
        <v/>
      </c>
    </row>
    <row r="109">
      <c r="A109" t="n">
        <v>1287</v>
      </c>
      <c r="B109" t="inlineStr">
        <is>
          <t>Kościuszki 54, 82-500 Kwidzyn</t>
        </is>
      </c>
      <c r="C109" t="inlineStr"/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3474.56</v>
      </c>
      <c r="AO109" s="2" t="n">
        <v>4100</v>
      </c>
      <c r="AP109" s="2" t="n">
        <v>3217.185185185185</v>
      </c>
      <c r="AQ109" s="2" t="n">
        <v>0</v>
      </c>
      <c r="AR109" s="2" t="n">
        <v>3075.84</v>
      </c>
      <c r="AS109" s="2" t="n">
        <v>398.72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3474.56</v>
      </c>
      <c r="BA109" s="2" t="n">
        <v>3474.56</v>
      </c>
      <c r="BB109" s="2">
        <f>E109+K109+Q109+W109+AC109+AI109+AO109+AU109+IF(BC109="",0,BC109)</f>
        <v/>
      </c>
      <c r="BC109" s="2" t="n"/>
      <c r="BD109" s="2" t="n">
        <v>3217.185185185185</v>
      </c>
      <c r="BE109" s="2" t="n">
        <v>0</v>
      </c>
      <c r="BF109" s="2" t="n">
        <v>0</v>
      </c>
      <c r="BG109" s="2" t="n">
        <v>250.3346666666667</v>
      </c>
      <c r="BH109" s="2" t="n">
        <v>62.36983333333333</v>
      </c>
      <c r="BI109" s="2" t="n">
        <v>462.1969166666667</v>
      </c>
      <c r="BJ109" s="2" t="n">
        <v>150.5333333333333</v>
      </c>
      <c r="BK109" s="2" t="n">
        <v>0</v>
      </c>
      <c r="BL109" s="2" t="n">
        <v>77.71683333333334</v>
      </c>
      <c r="BM109" s="2" t="n">
        <v>208.0833333333333</v>
      </c>
      <c r="BN109" s="2" t="n">
        <v>53.50822400000001</v>
      </c>
      <c r="BO109" s="2" t="n">
        <v>0</v>
      </c>
      <c r="BP109" s="2" t="n">
        <v>1264.743140666666</v>
      </c>
      <c r="BQ109" s="2" t="n">
        <v>1168.6945</v>
      </c>
      <c r="BR109" s="2" t="n">
        <v>0</v>
      </c>
      <c r="BS109" s="2" t="n">
        <v>619.5833333333334</v>
      </c>
      <c r="BT109" s="2" t="n">
        <v>475.9858833333334</v>
      </c>
      <c r="BU109" s="2" t="n">
        <v>2264.263716666667</v>
      </c>
      <c r="BV109" s="2" t="n">
        <v>3529.006857333333</v>
      </c>
      <c r="BW109" s="2" t="n">
        <v>3075.84</v>
      </c>
      <c r="BX109" s="2" t="n">
        <v>398.72</v>
      </c>
      <c r="BY109" s="2" t="n">
        <v>0</v>
      </c>
      <c r="BZ109" s="2" t="n">
        <v>3474.56</v>
      </c>
      <c r="CA109" s="2">
        <f>BB109-BV109</f>
        <v/>
      </c>
    </row>
    <row r="110">
      <c r="A110" t="n">
        <v>1288</v>
      </c>
      <c r="B110" t="inlineStr">
        <is>
          <t>Ks. Stefańskiego 6, 84-140 Jastarnia</t>
        </is>
      </c>
      <c r="C110" t="inlineStr"/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6236.290000000001</v>
      </c>
      <c r="AO110" s="2" t="n">
        <v>4500</v>
      </c>
      <c r="AP110" s="2" t="n">
        <v>5774.342592592593</v>
      </c>
      <c r="AQ110" s="2" t="n">
        <v>0</v>
      </c>
      <c r="AR110" s="2" t="n">
        <v>5213.56</v>
      </c>
      <c r="AS110" s="2" t="n">
        <v>1022.73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6236.290000000001</v>
      </c>
      <c r="BA110" s="2" t="n">
        <v>6236.290000000001</v>
      </c>
      <c r="BB110" s="2">
        <f>E110+K110+Q110+W110+AC110+AI110+AO110+AU110+IF(BC110="",0,BC110)</f>
        <v/>
      </c>
      <c r="BC110" s="2" t="n"/>
      <c r="BD110" s="2" t="n">
        <v>5774.342592592593</v>
      </c>
      <c r="BE110" s="2" t="n">
        <v>0</v>
      </c>
      <c r="BF110" s="2" t="n">
        <v>0</v>
      </c>
      <c r="BG110" s="2" t="n">
        <v>250.3346666666667</v>
      </c>
      <c r="BH110" s="2" t="n">
        <v>62.36983333333333</v>
      </c>
      <c r="BI110" s="2" t="n">
        <v>462.1969166666667</v>
      </c>
      <c r="BJ110" s="2" t="n">
        <v>150.5333333333333</v>
      </c>
      <c r="BK110" s="2" t="n">
        <v>0</v>
      </c>
      <c r="BL110" s="2" t="n">
        <v>77.71683333333334</v>
      </c>
      <c r="BM110" s="2" t="n">
        <v>208.0833333333333</v>
      </c>
      <c r="BN110" s="2" t="n">
        <v>96.03886600000001</v>
      </c>
      <c r="BO110" s="2" t="n">
        <v>0</v>
      </c>
      <c r="BP110" s="2" t="n">
        <v>1307.273782666667</v>
      </c>
      <c r="BQ110" s="2" t="n">
        <v>1168.6945</v>
      </c>
      <c r="BR110" s="2" t="n">
        <v>0</v>
      </c>
      <c r="BS110" s="2" t="n">
        <v>619.5833333333334</v>
      </c>
      <c r="BT110" s="2" t="n">
        <v>475.9858833333334</v>
      </c>
      <c r="BU110" s="2" t="n">
        <v>2264.263716666667</v>
      </c>
      <c r="BV110" s="2" t="n">
        <v>3571.537499333333</v>
      </c>
      <c r="BW110" s="2" t="n">
        <v>5213.56</v>
      </c>
      <c r="BX110" s="2" t="n">
        <v>1022.73</v>
      </c>
      <c r="BY110" s="2" t="n">
        <v>0</v>
      </c>
      <c r="BZ110" s="2" t="n">
        <v>6236.290000000001</v>
      </c>
      <c r="CA110" s="2">
        <f>BB110-BV110</f>
        <v/>
      </c>
    </row>
    <row r="111">
      <c r="A111" t="n">
        <v>1289</v>
      </c>
      <c r="B111" t="inlineStr">
        <is>
          <t>Dworcowa 1, 84-150 Hel</t>
        </is>
      </c>
      <c r="C111" t="inlineStr"/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9428.900000000001</v>
      </c>
      <c r="AO111" s="2" t="n">
        <v>4500</v>
      </c>
      <c r="AP111" s="2" t="n">
        <v>8730.462962962964</v>
      </c>
      <c r="AQ111" s="2" t="n">
        <v>0</v>
      </c>
      <c r="AR111" s="2" t="n">
        <v>8326.790000000001</v>
      </c>
      <c r="AS111" s="2" t="n">
        <v>1102.11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9428.900000000001</v>
      </c>
      <c r="BA111" s="2" t="n">
        <v>9428.900000000001</v>
      </c>
      <c r="BB111" s="2">
        <f>E111+K111+Q111+W111+AC111+AI111+AO111+AU111+IF(BC111="",0,BC111)</f>
        <v/>
      </c>
      <c r="BC111" s="2" t="n"/>
      <c r="BD111" s="2" t="n">
        <v>8730.462962962964</v>
      </c>
      <c r="BE111" s="2" t="n">
        <v>0</v>
      </c>
      <c r="BF111" s="2" t="n">
        <v>0</v>
      </c>
      <c r="BG111" s="2" t="n">
        <v>250.3346666666667</v>
      </c>
      <c r="BH111" s="2" t="n">
        <v>62.36983333333333</v>
      </c>
      <c r="BI111" s="2" t="n">
        <v>462.1969166666667</v>
      </c>
      <c r="BJ111" s="2" t="n">
        <v>150.5333333333333</v>
      </c>
      <c r="BK111" s="2" t="n">
        <v>0</v>
      </c>
      <c r="BL111" s="2" t="n">
        <v>77.71683333333334</v>
      </c>
      <c r="BM111" s="2" t="n">
        <v>208.0833333333333</v>
      </c>
      <c r="BN111" s="2" t="n">
        <v>145.20506</v>
      </c>
      <c r="BO111" s="2" t="n">
        <v>0</v>
      </c>
      <c r="BP111" s="2" t="n">
        <v>1356.439976666667</v>
      </c>
      <c r="BQ111" s="2" t="n">
        <v>1168.6945</v>
      </c>
      <c r="BR111" s="2" t="n">
        <v>0</v>
      </c>
      <c r="BS111" s="2" t="n">
        <v>619.5833333333334</v>
      </c>
      <c r="BT111" s="2" t="n">
        <v>475.9858833333334</v>
      </c>
      <c r="BU111" s="2" t="n">
        <v>2264.263716666667</v>
      </c>
      <c r="BV111" s="2" t="n">
        <v>3620.703693333333</v>
      </c>
      <c r="BW111" s="2" t="n">
        <v>8326.790000000001</v>
      </c>
      <c r="BX111" s="2" t="n">
        <v>1102.11</v>
      </c>
      <c r="BY111" s="2" t="n">
        <v>0</v>
      </c>
      <c r="BZ111" s="2" t="n">
        <v>9428.900000000001</v>
      </c>
      <c r="CA111" s="2">
        <f>BB111-BV111</f>
        <v/>
      </c>
    </row>
    <row r="112">
      <c r="A112" t="n">
        <v>1290</v>
      </c>
      <c r="B112" t="inlineStr">
        <is>
          <t>Kolumba 2, 70-035 Szczecin</t>
        </is>
      </c>
      <c r="C112" t="inlineStr"/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9291</v>
      </c>
      <c r="K112" s="2" t="n">
        <v>773.3897222222223</v>
      </c>
      <c r="L112" s="2" t="n">
        <v>8602.777777777777</v>
      </c>
      <c r="M112" s="2" t="n">
        <v>3438.63</v>
      </c>
      <c r="N112" s="2" t="n">
        <v>5852.37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25991.47</v>
      </c>
      <c r="AO112" s="2" t="n">
        <v>2021.558777777778</v>
      </c>
      <c r="AP112" s="2" t="n">
        <v>24066.17592592593</v>
      </c>
      <c r="AQ112" s="2" t="n">
        <v>9987.49</v>
      </c>
      <c r="AR112" s="2" t="n">
        <v>16003.98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35282.47</v>
      </c>
      <c r="BA112" s="2" t="n">
        <v>21856.35</v>
      </c>
      <c r="BB112" s="2">
        <f>E112+K112+Q112+W112+AC112+AI112+AO112+AU112+IF(BC112="",0,BC112)</f>
        <v/>
      </c>
      <c r="BC112" s="2" t="n"/>
      <c r="BD112" s="2" t="n">
        <v>32668.9537037037</v>
      </c>
      <c r="BE112" s="2" t="n">
        <v>1387.63</v>
      </c>
      <c r="BF112" s="2" t="n">
        <v>187.2</v>
      </c>
      <c r="BG112" s="2" t="n">
        <v>250.3346666666667</v>
      </c>
      <c r="BH112" s="2" t="n">
        <v>62.36983333333333</v>
      </c>
      <c r="BI112" s="2" t="n">
        <v>462.1969166666667</v>
      </c>
      <c r="BJ112" s="2" t="n">
        <v>150.5333333333333</v>
      </c>
      <c r="BK112" s="2" t="n">
        <v>0</v>
      </c>
      <c r="BL112" s="2" t="n">
        <v>77.71683333333334</v>
      </c>
      <c r="BM112" s="2" t="n">
        <v>208.0833333333333</v>
      </c>
      <c r="BN112" s="2" t="n">
        <v>336.58779</v>
      </c>
      <c r="BO112" s="2" t="n">
        <v>0</v>
      </c>
      <c r="BP112" s="2" t="n">
        <v>3122.652706666667</v>
      </c>
      <c r="BQ112" s="2" t="n">
        <v>1168.6945</v>
      </c>
      <c r="BR112" s="2" t="n">
        <v>0</v>
      </c>
      <c r="BS112" s="2" t="n">
        <v>619.5833333333334</v>
      </c>
      <c r="BT112" s="2" t="n">
        <v>790.9518833333334</v>
      </c>
      <c r="BU112" s="2" t="n">
        <v>2579.229716666667</v>
      </c>
      <c r="BV112" s="2" t="n">
        <v>5701.882423333334</v>
      </c>
      <c r="BW112" s="2" t="n">
        <v>21856.35</v>
      </c>
      <c r="BX112" s="2" t="n">
        <v>0</v>
      </c>
      <c r="BY112" s="2" t="n">
        <v>13426.12</v>
      </c>
      <c r="BZ112" s="2" t="n">
        <v>21856.35</v>
      </c>
      <c r="CA112" s="2">
        <f>BB112-BV112</f>
        <v/>
      </c>
    </row>
    <row r="113">
      <c r="A113" t="n">
        <v>1291</v>
      </c>
      <c r="B113" t="inlineStr">
        <is>
          <t>pl. Dworcowy 1, 82-300 Elbląg</t>
        </is>
      </c>
      <c r="C113" t="inlineStr"/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3466.98</v>
      </c>
      <c r="K113" s="2" t="n">
        <v>288.5939833333334</v>
      </c>
      <c r="L113" s="2" t="n">
        <v>3210.166666666667</v>
      </c>
      <c r="M113" s="2" t="n">
        <v>960.6799999999999</v>
      </c>
      <c r="N113" s="2" t="n">
        <v>2260.57</v>
      </c>
      <c r="O113" s="2" t="n">
        <v>245.73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15033.84</v>
      </c>
      <c r="AO113" s="2" t="n">
        <v>1169.298666666667</v>
      </c>
      <c r="AP113" s="2" t="n">
        <v>13920.22222222222</v>
      </c>
      <c r="AQ113" s="2" t="n">
        <v>4653.63</v>
      </c>
      <c r="AR113" s="2" t="n">
        <v>9597.049999999999</v>
      </c>
      <c r="AS113" s="2" t="n">
        <v>783.16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18500.82</v>
      </c>
      <c r="BA113" s="2" t="n">
        <v>12886.51</v>
      </c>
      <c r="BB113" s="2">
        <f>E113+K113+Q113+W113+AC113+AI113+AO113+AU113+IF(BC113="",0,BC113)</f>
        <v/>
      </c>
      <c r="BC113" s="2" t="n"/>
      <c r="BD113" s="2" t="n">
        <v>17130.38888888889</v>
      </c>
      <c r="BE113" s="2" t="n">
        <v>371.81</v>
      </c>
      <c r="BF113" s="2" t="n">
        <v>245</v>
      </c>
      <c r="BG113" s="2" t="n">
        <v>250.3346666666667</v>
      </c>
      <c r="BH113" s="2" t="n">
        <v>62.36983333333333</v>
      </c>
      <c r="BI113" s="2" t="n">
        <v>462.1969166666667</v>
      </c>
      <c r="BJ113" s="2" t="n">
        <v>150.5333333333333</v>
      </c>
      <c r="BK113" s="2" t="n">
        <v>0</v>
      </c>
      <c r="BL113" s="2" t="n">
        <v>77.71683333333334</v>
      </c>
      <c r="BM113" s="2" t="n">
        <v>208.0833333333333</v>
      </c>
      <c r="BN113" s="2" t="n">
        <v>198.452254</v>
      </c>
      <c r="BO113" s="2" t="n">
        <v>0</v>
      </c>
      <c r="BP113" s="2" t="n">
        <v>2026.497170666667</v>
      </c>
      <c r="BQ113" s="2" t="n">
        <v>1168.6945</v>
      </c>
      <c r="BR113" s="2" t="n">
        <v>0</v>
      </c>
      <c r="BS113" s="2" t="n">
        <v>619.5833333333334</v>
      </c>
      <c r="BT113" s="2" t="n">
        <v>599.3478833333334</v>
      </c>
      <c r="BU113" s="2" t="n">
        <v>2387.625716666667</v>
      </c>
      <c r="BV113" s="2" t="n">
        <v>4414.122887333333</v>
      </c>
      <c r="BW113" s="2" t="n">
        <v>11857.62</v>
      </c>
      <c r="BX113" s="2" t="n">
        <v>1028.89</v>
      </c>
      <c r="BY113" s="2" t="n">
        <v>5614.31</v>
      </c>
      <c r="BZ113" s="2" t="n">
        <v>12886.51</v>
      </c>
      <c r="CA113" s="2">
        <f>BB113-BV113</f>
        <v/>
      </c>
    </row>
    <row r="114">
      <c r="A114" t="n">
        <v>1292</v>
      </c>
      <c r="B114" t="inlineStr">
        <is>
          <t>Dworcowa 8A, 84-310 Lębork</t>
        </is>
      </c>
      <c r="C114" t="inlineStr"/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2796.16</v>
      </c>
      <c r="K114" s="2" t="n">
        <v>232.7544296296296</v>
      </c>
      <c r="L114" s="2" t="n">
        <v>2589.037037037037</v>
      </c>
      <c r="M114" s="2" t="n">
        <v>1368.99</v>
      </c>
      <c r="N114" s="2" t="n">
        <v>1361.45</v>
      </c>
      <c r="O114" s="2" t="n">
        <v>65.72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6850.500000000001</v>
      </c>
      <c r="AO114" s="2" t="n">
        <v>4100</v>
      </c>
      <c r="AP114" s="2" t="n">
        <v>6343.055555555556</v>
      </c>
      <c r="AQ114" s="2" t="n">
        <v>3377.9</v>
      </c>
      <c r="AR114" s="2" t="n">
        <v>3058.46</v>
      </c>
      <c r="AS114" s="2" t="n">
        <v>414.14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9646.66</v>
      </c>
      <c r="BA114" s="2" t="n">
        <v>4899.77</v>
      </c>
      <c r="BB114" s="2">
        <f>E114+K114+Q114+W114+AC114+AI114+AO114+AU114+IF(BC114="",0,BC114)</f>
        <v/>
      </c>
      <c r="BC114" s="2" t="n"/>
      <c r="BD114" s="2" t="n">
        <v>8932.092592592593</v>
      </c>
      <c r="BE114" s="2" t="n">
        <v>0</v>
      </c>
      <c r="BF114" s="2" t="n">
        <v>0</v>
      </c>
      <c r="BG114" s="2" t="n">
        <v>250.3346666666667</v>
      </c>
      <c r="BH114" s="2" t="n">
        <v>62.36983333333333</v>
      </c>
      <c r="BI114" s="2" t="n">
        <v>462.1969166666667</v>
      </c>
      <c r="BJ114" s="2" t="n">
        <v>150.5333333333333</v>
      </c>
      <c r="BK114" s="2" t="n">
        <v>0</v>
      </c>
      <c r="BL114" s="2" t="n">
        <v>77.71683333333334</v>
      </c>
      <c r="BM114" s="2" t="n">
        <v>208.0833333333333</v>
      </c>
      <c r="BN114" s="2" t="n">
        <v>75.456458</v>
      </c>
      <c r="BO114" s="2" t="n">
        <v>0</v>
      </c>
      <c r="BP114" s="2" t="n">
        <v>1286.691374666666</v>
      </c>
      <c r="BQ114" s="2" t="n">
        <v>1168.6945</v>
      </c>
      <c r="BR114" s="2" t="n">
        <v>0</v>
      </c>
      <c r="BS114" s="2" t="n">
        <v>619.5833333333334</v>
      </c>
      <c r="BT114" s="2" t="n">
        <v>475.9858833333334</v>
      </c>
      <c r="BU114" s="2" t="n">
        <v>2264.263716666667</v>
      </c>
      <c r="BV114" s="2" t="n">
        <v>3550.955091333333</v>
      </c>
      <c r="BW114" s="2" t="n">
        <v>4419.91</v>
      </c>
      <c r="BX114" s="2" t="n">
        <v>479.86</v>
      </c>
      <c r="BY114" s="2" t="n">
        <v>4746.89</v>
      </c>
      <c r="BZ114" s="2" t="n">
        <v>4899.77</v>
      </c>
      <c r="CA114" s="2">
        <f>BB114-BV114</f>
        <v/>
      </c>
    </row>
    <row r="115">
      <c r="A115" t="n">
        <v>1293</v>
      </c>
      <c r="B115" t="inlineStr">
        <is>
          <t>Dworcowa 10, 84-100 Puck</t>
        </is>
      </c>
      <c r="C115" t="inlineStr"/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6</v>
      </c>
      <c r="K115" s="2" t="n">
        <v>0.4994444444444445</v>
      </c>
      <c r="L115" s="2" t="n">
        <v>5.555555555555555</v>
      </c>
      <c r="M115" s="2" t="n">
        <v>0</v>
      </c>
      <c r="N115" s="2" t="n">
        <v>6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3665.84</v>
      </c>
      <c r="AO115" s="2" t="n">
        <v>4200</v>
      </c>
      <c r="AP115" s="2" t="n">
        <v>3394.296296296296</v>
      </c>
      <c r="AQ115" s="2" t="n">
        <v>980.8</v>
      </c>
      <c r="AR115" s="2" t="n">
        <v>2402.45</v>
      </c>
      <c r="AS115" s="2" t="n">
        <v>282.59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3671.84</v>
      </c>
      <c r="BA115" s="2" t="n">
        <v>2691.04</v>
      </c>
      <c r="BB115" s="2">
        <f>E115+K115+Q115+W115+AC115+AI115+AO115+AU115+IF(BC115="",0,BC115)</f>
        <v/>
      </c>
      <c r="BC115" s="2" t="n"/>
      <c r="BD115" s="2" t="n">
        <v>3399.851851851852</v>
      </c>
      <c r="BE115" s="2" t="n">
        <v>0</v>
      </c>
      <c r="BF115" s="2" t="n">
        <v>0</v>
      </c>
      <c r="BG115" s="2" t="n">
        <v>250.3346666666667</v>
      </c>
      <c r="BH115" s="2" t="n">
        <v>62.36983333333333</v>
      </c>
      <c r="BI115" s="2" t="n">
        <v>462.1969166666667</v>
      </c>
      <c r="BJ115" s="2" t="n">
        <v>150.5333333333333</v>
      </c>
      <c r="BK115" s="2" t="n">
        <v>0</v>
      </c>
      <c r="BL115" s="2" t="n">
        <v>77.71683333333334</v>
      </c>
      <c r="BM115" s="2" t="n">
        <v>208.0833333333333</v>
      </c>
      <c r="BN115" s="2" t="n">
        <v>41.442016</v>
      </c>
      <c r="BO115" s="2" t="n">
        <v>0</v>
      </c>
      <c r="BP115" s="2" t="n">
        <v>1252.676932666667</v>
      </c>
      <c r="BQ115" s="2" t="n">
        <v>1168.6945</v>
      </c>
      <c r="BR115" s="2" t="n">
        <v>0</v>
      </c>
      <c r="BS115" s="2" t="n">
        <v>619.5833333333334</v>
      </c>
      <c r="BT115" s="2" t="n">
        <v>475.9858833333334</v>
      </c>
      <c r="BU115" s="2" t="n">
        <v>2264.263716666667</v>
      </c>
      <c r="BV115" s="2" t="n">
        <v>3516.940649333334</v>
      </c>
      <c r="BW115" s="2" t="n">
        <v>2408.45</v>
      </c>
      <c r="BX115" s="2" t="n">
        <v>282.59</v>
      </c>
      <c r="BY115" s="2" t="n">
        <v>980.8</v>
      </c>
      <c r="BZ115" s="2" t="n">
        <v>2691.04</v>
      </c>
      <c r="CA115" s="2">
        <f>BB115-BV115</f>
        <v/>
      </c>
    </row>
    <row r="116">
      <c r="A116" t="n">
        <v>1294</v>
      </c>
      <c r="B116" t="inlineStr">
        <is>
          <t>Plac Dworcowy 3, 49-300 Brzeg</t>
        </is>
      </c>
      <c r="C116" t="inlineStr"/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9274.799999999999</v>
      </c>
      <c r="K116" s="2" t="n">
        <v>772.0412222222222</v>
      </c>
      <c r="L116" s="2" t="n">
        <v>8587.777777777777</v>
      </c>
      <c r="M116" s="2" t="n">
        <v>1586.29</v>
      </c>
      <c r="N116" s="2" t="n">
        <v>7197.96</v>
      </c>
      <c r="O116" s="2" t="n">
        <v>490.55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14490.5</v>
      </c>
      <c r="AO116" s="2" t="n">
        <v>1127.038888888889</v>
      </c>
      <c r="AP116" s="2" t="n">
        <v>13417.12962962963</v>
      </c>
      <c r="AQ116" s="2" t="n">
        <v>2978.98</v>
      </c>
      <c r="AR116" s="2" t="n">
        <v>10146.14</v>
      </c>
      <c r="AS116" s="2" t="n">
        <v>1365.38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23765.3</v>
      </c>
      <c r="BA116" s="2" t="n">
        <v>19200.03</v>
      </c>
      <c r="BB116" s="2">
        <f>E116+K116+Q116+W116+AC116+AI116+AO116+AU116+IF(BC116="",0,BC116)</f>
        <v/>
      </c>
      <c r="BC116" s="2" t="n"/>
      <c r="BD116" s="2" t="n">
        <v>22004.90740740741</v>
      </c>
      <c r="BE116" s="2" t="n">
        <v>0</v>
      </c>
      <c r="BF116" s="2" t="n">
        <v>0</v>
      </c>
      <c r="BG116" s="2" t="n">
        <v>250.3346666666667</v>
      </c>
      <c r="BH116" s="2" t="n">
        <v>62.36983333333333</v>
      </c>
      <c r="BI116" s="2" t="n">
        <v>462.1969166666667</v>
      </c>
      <c r="BJ116" s="2" t="n">
        <v>150.5333333333333</v>
      </c>
      <c r="BK116" s="2" t="n">
        <v>0</v>
      </c>
      <c r="BL116" s="2" t="n">
        <v>77.71683333333334</v>
      </c>
      <c r="BM116" s="2" t="n">
        <v>208.0833333333333</v>
      </c>
      <c r="BN116" s="2" t="n">
        <v>295.680462</v>
      </c>
      <c r="BO116" s="2" t="n">
        <v>0</v>
      </c>
      <c r="BP116" s="2" t="n">
        <v>1506.915378666667</v>
      </c>
      <c r="BQ116" s="2" t="n">
        <v>1168.6945</v>
      </c>
      <c r="BR116" s="2" t="n">
        <v>0</v>
      </c>
      <c r="BS116" s="2" t="n">
        <v>619.5833333333334</v>
      </c>
      <c r="BT116" s="2" t="n">
        <v>475.9858833333334</v>
      </c>
      <c r="BU116" s="2" t="n">
        <v>2264.263716666667</v>
      </c>
      <c r="BV116" s="2" t="n">
        <v>3771.179095333333</v>
      </c>
      <c r="BW116" s="2" t="n">
        <v>17344.1</v>
      </c>
      <c r="BX116" s="2" t="n">
        <v>1855.93</v>
      </c>
      <c r="BY116" s="2" t="n">
        <v>4565.27</v>
      </c>
      <c r="BZ116" s="2" t="n">
        <v>19200.03</v>
      </c>
      <c r="CA116" s="2">
        <f>BB116-BV116</f>
        <v/>
      </c>
    </row>
    <row r="117">
      <c r="A117" t="n">
        <v>1295</v>
      </c>
      <c r="B117" t="inlineStr">
        <is>
          <t>Zygmunta Starego 1, 64-920 Piła</t>
        </is>
      </c>
      <c r="C117" t="inlineStr"/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2893.62</v>
      </c>
      <c r="K117" s="2" t="n">
        <v>240.8670722222222</v>
      </c>
      <c r="L117" s="2" t="n">
        <v>2679.277777777777</v>
      </c>
      <c r="M117" s="2" t="n">
        <v>506.59</v>
      </c>
      <c r="N117" s="2" t="n">
        <v>2111.75</v>
      </c>
      <c r="O117" s="2" t="n">
        <v>275.28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4809.44</v>
      </c>
      <c r="AC117" s="2" t="n">
        <v>311.7229629629629</v>
      </c>
      <c r="AD117" s="2" t="n">
        <v>4453.185185185184</v>
      </c>
      <c r="AE117" s="2" t="n">
        <v>643</v>
      </c>
      <c r="AF117" s="2" t="n">
        <v>3633.4</v>
      </c>
      <c r="AG117" s="2" t="n">
        <v>533.04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10088.78</v>
      </c>
      <c r="AO117" s="2" t="n">
        <v>784.6828888888888</v>
      </c>
      <c r="AP117" s="2" t="n">
        <v>9341.462962962962</v>
      </c>
      <c r="AQ117" s="2" t="n">
        <v>2473.39</v>
      </c>
      <c r="AR117" s="2" t="n">
        <v>6779.74</v>
      </c>
      <c r="AS117" s="2" t="n">
        <v>835.65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17791.84</v>
      </c>
      <c r="BA117" s="2" t="n">
        <v>14168.86</v>
      </c>
      <c r="BB117" s="2">
        <f>E117+K117+Q117+W117+AC117+AI117+AO117+AU117+IF(BC117="",0,BC117)</f>
        <v/>
      </c>
      <c r="BC117" s="2" t="n"/>
      <c r="BD117" s="2" t="n">
        <v>16473.92592592592</v>
      </c>
      <c r="BE117" s="2" t="n">
        <v>0</v>
      </c>
      <c r="BF117" s="2" t="n">
        <v>0</v>
      </c>
      <c r="BG117" s="2" t="n">
        <v>250.3346666666667</v>
      </c>
      <c r="BH117" s="2" t="n">
        <v>62.36983333333333</v>
      </c>
      <c r="BI117" s="2" t="n">
        <v>462.1969166666667</v>
      </c>
      <c r="BJ117" s="2" t="n">
        <v>150.5333333333333</v>
      </c>
      <c r="BK117" s="2" t="n">
        <v>0</v>
      </c>
      <c r="BL117" s="2" t="n">
        <v>77.71683333333334</v>
      </c>
      <c r="BM117" s="2" t="n">
        <v>208.0833333333333</v>
      </c>
      <c r="BN117" s="2" t="n">
        <v>218.200444</v>
      </c>
      <c r="BO117" s="2" t="n">
        <v>0</v>
      </c>
      <c r="BP117" s="2" t="n">
        <v>1429.435360666667</v>
      </c>
      <c r="BQ117" s="2" t="n">
        <v>1168.6945</v>
      </c>
      <c r="BR117" s="2" t="n">
        <v>0</v>
      </c>
      <c r="BS117" s="2" t="n">
        <v>619.5833333333334</v>
      </c>
      <c r="BT117" s="2" t="n">
        <v>475.9858833333334</v>
      </c>
      <c r="BU117" s="2" t="n">
        <v>2264.263716666667</v>
      </c>
      <c r="BV117" s="2" t="n">
        <v>3693.699077333334</v>
      </c>
      <c r="BW117" s="2" t="n">
        <v>12524.89</v>
      </c>
      <c r="BX117" s="2" t="n">
        <v>1643.97</v>
      </c>
      <c r="BY117" s="2" t="n">
        <v>3622.98</v>
      </c>
      <c r="BZ117" s="2" t="n">
        <v>14168.86</v>
      </c>
      <c r="CA117" s="2">
        <f>BB117-BV117</f>
        <v/>
      </c>
    </row>
    <row r="118">
      <c r="A118" t="n">
        <v>1296</v>
      </c>
      <c r="B118" t="inlineStr">
        <is>
          <t>Dworcowa 2, 61-801 Poznań</t>
        </is>
      </c>
      <c r="C118" t="inlineStr"/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8686.919999999998</v>
      </c>
      <c r="K118" s="2" t="n">
        <v>723.1056555555555</v>
      </c>
      <c r="L118" s="2" t="n">
        <v>8043.444444444443</v>
      </c>
      <c r="M118" s="2" t="n">
        <v>1826.08</v>
      </c>
      <c r="N118" s="2" t="n">
        <v>6444.29</v>
      </c>
      <c r="O118" s="2" t="n">
        <v>416.55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14472.6</v>
      </c>
      <c r="AC118" s="2" t="n">
        <v>938.038888888889</v>
      </c>
      <c r="AD118" s="2" t="n">
        <v>13400.55555555556</v>
      </c>
      <c r="AE118" s="2" t="n">
        <v>2422.63</v>
      </c>
      <c r="AF118" s="2" t="n">
        <v>11283.93</v>
      </c>
      <c r="AG118" s="2" t="n">
        <v>766.04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4923.139999999999</v>
      </c>
      <c r="AO118" s="2" t="n">
        <v>382.9108888888888</v>
      </c>
      <c r="AP118" s="2" t="n">
        <v>4558.462962962962</v>
      </c>
      <c r="AQ118" s="2" t="n">
        <v>1175.49</v>
      </c>
      <c r="AR118" s="2" t="n">
        <v>3628.71</v>
      </c>
      <c r="AS118" s="2" t="n">
        <v>118.94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28082.66</v>
      </c>
      <c r="BA118" s="2" t="n">
        <v>22658.46</v>
      </c>
      <c r="BB118" s="2">
        <f>E118+K118+Q118+W118+AC118+AI118+AO118+AU118+IF(BC118="",0,BC118)</f>
        <v/>
      </c>
      <c r="BC118" s="2" t="n"/>
      <c r="BD118" s="2" t="n">
        <v>26002.46296296296</v>
      </c>
      <c r="BE118" s="2" t="n">
        <v>0</v>
      </c>
      <c r="BF118" s="2" t="n">
        <v>0</v>
      </c>
      <c r="BG118" s="2" t="n">
        <v>250.3346666666667</v>
      </c>
      <c r="BH118" s="2" t="n">
        <v>62.36983333333333</v>
      </c>
      <c r="BI118" s="2" t="n">
        <v>462.1969166666667</v>
      </c>
      <c r="BJ118" s="2" t="n">
        <v>150.5333333333333</v>
      </c>
      <c r="BK118" s="2" t="n">
        <v>0</v>
      </c>
      <c r="BL118" s="2" t="n">
        <v>77.71683333333334</v>
      </c>
      <c r="BM118" s="2" t="n">
        <v>208.0833333333333</v>
      </c>
      <c r="BN118" s="2" t="n">
        <v>348.9402840000001</v>
      </c>
      <c r="BO118" s="2" t="n">
        <v>0</v>
      </c>
      <c r="BP118" s="2" t="n">
        <v>1560.175200666667</v>
      </c>
      <c r="BQ118" s="2" t="n">
        <v>1168.6945</v>
      </c>
      <c r="BR118" s="2" t="n">
        <v>0</v>
      </c>
      <c r="BS118" s="2" t="n">
        <v>619.5833333333334</v>
      </c>
      <c r="BT118" s="2" t="n">
        <v>475.9858833333334</v>
      </c>
      <c r="BU118" s="2" t="n">
        <v>2264.263716666667</v>
      </c>
      <c r="BV118" s="2" t="n">
        <v>3824.438917333333</v>
      </c>
      <c r="BW118" s="2" t="n">
        <v>21356.93</v>
      </c>
      <c r="BX118" s="2" t="n">
        <v>1301.53</v>
      </c>
      <c r="BY118" s="2" t="n">
        <v>5424.2</v>
      </c>
      <c r="BZ118" s="2" t="n">
        <v>22658.46</v>
      </c>
      <c r="CA118" s="2">
        <f>BB118-BV118</f>
        <v/>
      </c>
    </row>
    <row r="119">
      <c r="A119" t="n">
        <v>1297</v>
      </c>
      <c r="B119" t="inlineStr">
        <is>
          <t>Dworcowa 2, 61-801 Poznań</t>
        </is>
      </c>
      <c r="C119" t="inlineStr"/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4453.13</v>
      </c>
      <c r="K119" s="2" t="n">
        <v>370.6818398148149</v>
      </c>
      <c r="L119" s="2" t="n">
        <v>4123.268518518518</v>
      </c>
      <c r="M119" s="2" t="n">
        <v>1061.55</v>
      </c>
      <c r="N119" s="2" t="n">
        <v>2980.86</v>
      </c>
      <c r="O119" s="2" t="n">
        <v>410.72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7372.64</v>
      </c>
      <c r="AC119" s="2" t="n">
        <v>477.8562962962963</v>
      </c>
      <c r="AD119" s="2" t="n">
        <v>6826.518518518518</v>
      </c>
      <c r="AE119" s="2" t="n">
        <v>1337.9</v>
      </c>
      <c r="AF119" s="2" t="n">
        <v>5685.96</v>
      </c>
      <c r="AG119" s="2" t="n">
        <v>348.78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2275.07</v>
      </c>
      <c r="AO119" s="2" t="n">
        <v>176.9498888888889</v>
      </c>
      <c r="AP119" s="2" t="n">
        <v>2106.546296296297</v>
      </c>
      <c r="AQ119" s="2" t="n">
        <v>516.76</v>
      </c>
      <c r="AR119" s="2" t="n">
        <v>1562.22</v>
      </c>
      <c r="AS119" s="2" t="n">
        <v>196.09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14100.84</v>
      </c>
      <c r="BA119" s="2" t="n">
        <v>11184.63</v>
      </c>
      <c r="BB119" s="2">
        <f>E119+K119+Q119+W119+AC119+AI119+AO119+AU119+IF(BC119="",0,BC119)</f>
        <v/>
      </c>
      <c r="BC119" s="2" t="n"/>
      <c r="BD119" s="2" t="n">
        <v>13056.33333333333</v>
      </c>
      <c r="BE119" s="2" t="n">
        <v>0</v>
      </c>
      <c r="BF119" s="2" t="n">
        <v>0</v>
      </c>
      <c r="BG119" s="2" t="n">
        <v>250.3346666666667</v>
      </c>
      <c r="BH119" s="2" t="n">
        <v>62.36983333333333</v>
      </c>
      <c r="BI119" s="2" t="n">
        <v>462.1969166666667</v>
      </c>
      <c r="BJ119" s="2" t="n">
        <v>150.5333333333333</v>
      </c>
      <c r="BK119" s="2" t="n">
        <v>0</v>
      </c>
      <c r="BL119" s="2" t="n">
        <v>77.71683333333334</v>
      </c>
      <c r="BM119" s="2" t="n">
        <v>208.0833333333333</v>
      </c>
      <c r="BN119" s="2" t="n">
        <v>172.243302</v>
      </c>
      <c r="BO119" s="2" t="n">
        <v>0</v>
      </c>
      <c r="BP119" s="2" t="n">
        <v>1383.478218666667</v>
      </c>
      <c r="BQ119" s="2" t="n">
        <v>1168.6945</v>
      </c>
      <c r="BR119" s="2" t="n">
        <v>0</v>
      </c>
      <c r="BS119" s="2" t="n">
        <v>619.5833333333334</v>
      </c>
      <c r="BT119" s="2" t="n">
        <v>475.9858833333334</v>
      </c>
      <c r="BU119" s="2" t="n">
        <v>2264.263716666667</v>
      </c>
      <c r="BV119" s="2" t="n">
        <v>3647.741935333333</v>
      </c>
      <c r="BW119" s="2" t="n">
        <v>10229.04</v>
      </c>
      <c r="BX119" s="2" t="n">
        <v>955.59</v>
      </c>
      <c r="BY119" s="2" t="n">
        <v>2916.21</v>
      </c>
      <c r="BZ119" s="2" t="n">
        <v>11184.63</v>
      </c>
      <c r="CA119" s="2">
        <f>BB119-BV119</f>
        <v/>
      </c>
    </row>
    <row r="120">
      <c r="A120" t="n">
        <v>1298</v>
      </c>
      <c r="B120" t="inlineStr">
        <is>
          <t>Kolumba 2, 70-035 Szczecin</t>
        </is>
      </c>
      <c r="C120" t="inlineStr"/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6434.88</v>
      </c>
      <c r="K120" s="2" t="n">
        <v>535.6441777777778</v>
      </c>
      <c r="L120" s="2" t="n">
        <v>5958.222222222222</v>
      </c>
      <c r="M120" s="2" t="n">
        <v>2900.3</v>
      </c>
      <c r="N120" s="2" t="n">
        <v>3534.58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20995.16</v>
      </c>
      <c r="AO120" s="2" t="n">
        <v>1632.956888888889</v>
      </c>
      <c r="AP120" s="2" t="n">
        <v>19439.96296296296</v>
      </c>
      <c r="AQ120" s="2" t="n">
        <v>7515.95</v>
      </c>
      <c r="AR120" s="2" t="n">
        <v>13479.21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27430.04</v>
      </c>
      <c r="BA120" s="2" t="n">
        <v>17013.79</v>
      </c>
      <c r="BB120" s="2">
        <f>E120+K120+Q120+W120+AC120+AI120+AO120+AU120+IF(BC120="",0,BC120)</f>
        <v/>
      </c>
      <c r="BC120" s="2" t="n"/>
      <c r="BD120" s="2" t="n">
        <v>25398.18518518518</v>
      </c>
      <c r="BE120" s="2" t="n">
        <v>1387.63</v>
      </c>
      <c r="BF120" s="2" t="n">
        <v>187.2</v>
      </c>
      <c r="BG120" s="2" t="n">
        <v>250.3346666666667</v>
      </c>
      <c r="BH120" s="2" t="n">
        <v>62.36983333333333</v>
      </c>
      <c r="BI120" s="2" t="n">
        <v>462.1969166666667</v>
      </c>
      <c r="BJ120" s="2" t="n">
        <v>150.5333333333333</v>
      </c>
      <c r="BK120" s="2" t="n">
        <v>0</v>
      </c>
      <c r="BL120" s="2" t="n">
        <v>77.71683333333334</v>
      </c>
      <c r="BM120" s="2" t="n">
        <v>208.0833333333333</v>
      </c>
      <c r="BN120" s="2" t="n">
        <v>262.012366</v>
      </c>
      <c r="BO120" s="2" t="n">
        <v>0</v>
      </c>
      <c r="BP120" s="2" t="n">
        <v>3048.077282666667</v>
      </c>
      <c r="BQ120" s="2" t="n">
        <v>1168.6945</v>
      </c>
      <c r="BR120" s="2" t="n">
        <v>0</v>
      </c>
      <c r="BS120" s="2" t="n">
        <v>619.5833333333334</v>
      </c>
      <c r="BT120" s="2" t="n">
        <v>790.9518833333334</v>
      </c>
      <c r="BU120" s="2" t="n">
        <v>2579.229716666667</v>
      </c>
      <c r="BV120" s="2" t="n">
        <v>5627.306999333334</v>
      </c>
      <c r="BW120" s="2" t="n">
        <v>17013.79</v>
      </c>
      <c r="BX120" s="2" t="n">
        <v>0</v>
      </c>
      <c r="BY120" s="2" t="n">
        <v>10416.25</v>
      </c>
      <c r="BZ120" s="2" t="n">
        <v>17013.79</v>
      </c>
      <c r="CA120" s="2">
        <f>BB120-BV120</f>
        <v/>
      </c>
    </row>
    <row r="121">
      <c r="A121" t="n">
        <v>1299</v>
      </c>
      <c r="B121" t="inlineStr">
        <is>
          <t>Pawia 5a, 31-154 Kraków</t>
        </is>
      </c>
      <c r="C121" t="inlineStr"/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13850.25</v>
      </c>
      <c r="K121" s="2" t="n">
        <v>1152.905069444445</v>
      </c>
      <c r="L121" s="2" t="n">
        <v>12824.30555555555</v>
      </c>
      <c r="M121" s="2" t="n">
        <v>3096.97</v>
      </c>
      <c r="N121" s="2" t="n">
        <v>10307.53</v>
      </c>
      <c r="O121" s="2" t="n">
        <v>445.75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11043.32</v>
      </c>
      <c r="W121" s="2" t="n">
        <v>880</v>
      </c>
      <c r="X121" s="2" t="n">
        <v>10225.2962962963</v>
      </c>
      <c r="Y121" s="2" t="n">
        <v>1300.02</v>
      </c>
      <c r="Z121" s="2" t="n">
        <v>8988.34</v>
      </c>
      <c r="AA121" s="2" t="n">
        <v>754.96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7377.05</v>
      </c>
      <c r="AO121" s="2" t="n">
        <v>573.7705555555556</v>
      </c>
      <c r="AP121" s="2" t="n">
        <v>6830.601851851851</v>
      </c>
      <c r="AQ121" s="2" t="n">
        <v>921.96</v>
      </c>
      <c r="AR121" s="2" t="n">
        <v>6178.6</v>
      </c>
      <c r="AS121" s="2" t="n">
        <v>276.49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32270.62</v>
      </c>
      <c r="BA121" s="2" t="n">
        <v>26951.67</v>
      </c>
      <c r="BB121" s="2">
        <f>E121+K121+Q121+W121+AC121+AI121+AO121+AU121+IF(BC121="",0,BC121)</f>
        <v/>
      </c>
      <c r="BC121" s="2" t="n"/>
      <c r="BD121" s="2" t="n">
        <v>29880.2037037037</v>
      </c>
      <c r="BE121" s="2" t="n">
        <v>0</v>
      </c>
      <c r="BF121" s="2" t="n">
        <v>0</v>
      </c>
      <c r="BG121" s="2" t="n">
        <v>250.3346666666667</v>
      </c>
      <c r="BH121" s="2" t="n">
        <v>62.36983333333333</v>
      </c>
      <c r="BI121" s="2" t="n">
        <v>462.1969166666667</v>
      </c>
      <c r="BJ121" s="2" t="n">
        <v>150.5333333333333</v>
      </c>
      <c r="BK121" s="2" t="n">
        <v>0</v>
      </c>
      <c r="BL121" s="2" t="n">
        <v>77.71683333333334</v>
      </c>
      <c r="BM121" s="2" t="n">
        <v>208.0833333333333</v>
      </c>
      <c r="BN121" s="2" t="n">
        <v>396.543448</v>
      </c>
      <c r="BO121" s="2" t="n">
        <v>0</v>
      </c>
      <c r="BP121" s="2" t="n">
        <v>1607.778364666667</v>
      </c>
      <c r="BQ121" s="2" t="n">
        <v>1168.6945</v>
      </c>
      <c r="BR121" s="2" t="n">
        <v>0</v>
      </c>
      <c r="BS121" s="2" t="n">
        <v>619.5833333333334</v>
      </c>
      <c r="BT121" s="2" t="n">
        <v>475.9858833333334</v>
      </c>
      <c r="BU121" s="2" t="n">
        <v>2264.263716666667</v>
      </c>
      <c r="BV121" s="2" t="n">
        <v>3872.042081333333</v>
      </c>
      <c r="BW121" s="2" t="n">
        <v>25474.47</v>
      </c>
      <c r="BX121" s="2" t="n">
        <v>1477.2</v>
      </c>
      <c r="BY121" s="2" t="n">
        <v>5318.95</v>
      </c>
      <c r="BZ121" s="2" t="n">
        <v>26951.67</v>
      </c>
      <c r="CA121" s="2">
        <f>BB121-BV121</f>
        <v/>
      </c>
    </row>
    <row r="122">
      <c r="A122" s="3" t="inlineStr">
        <is>
          <t>PODSUMOWANIE</t>
        </is>
      </c>
      <c r="B122" s="3" t="n"/>
      <c r="C122" s="3" t="n"/>
      <c r="D122" s="4">
        <f>SUM(D2:D121)</f>
        <v/>
      </c>
      <c r="E122" s="4">
        <f>SUM(E2:E121)</f>
        <v/>
      </c>
      <c r="F122" s="4">
        <f>SUM(F2:F121)</f>
        <v/>
      </c>
      <c r="G122" s="4">
        <f>SUM(G2:G121)</f>
        <v/>
      </c>
      <c r="H122" s="4">
        <f>SUM(H2:H121)</f>
        <v/>
      </c>
      <c r="I122" s="4">
        <f>SUM(I2:I121)</f>
        <v/>
      </c>
      <c r="J122" s="4">
        <f>SUM(J2:J121)</f>
        <v/>
      </c>
      <c r="K122" s="4">
        <f>SUM(K2:K121)</f>
        <v/>
      </c>
      <c r="L122" s="4">
        <f>SUM(L2:L121)</f>
        <v/>
      </c>
      <c r="M122" s="4">
        <f>SUM(M2:M121)</f>
        <v/>
      </c>
      <c r="N122" s="4">
        <f>SUM(N2:N121)</f>
        <v/>
      </c>
      <c r="O122" s="4">
        <f>SUM(O2:O121)</f>
        <v/>
      </c>
      <c r="P122" s="4">
        <f>SUM(P2:P121)</f>
        <v/>
      </c>
      <c r="Q122" s="4">
        <f>SUM(Q2:Q121)</f>
        <v/>
      </c>
      <c r="R122" s="4">
        <f>SUM(R2:R121)</f>
        <v/>
      </c>
      <c r="S122" s="4">
        <f>SUM(S2:S121)</f>
        <v/>
      </c>
      <c r="T122" s="4">
        <f>SUM(T2:T121)</f>
        <v/>
      </c>
      <c r="U122" s="4">
        <f>SUM(U2:U121)</f>
        <v/>
      </c>
      <c r="V122" s="4">
        <f>SUM(V2:V121)</f>
        <v/>
      </c>
      <c r="W122" s="4">
        <f>SUM(W2:W121)</f>
        <v/>
      </c>
      <c r="X122" s="4">
        <f>SUM(X2:X121)</f>
        <v/>
      </c>
      <c r="Y122" s="4">
        <f>SUM(Y2:Y121)</f>
        <v/>
      </c>
      <c r="Z122" s="4">
        <f>SUM(Z2:Z121)</f>
        <v/>
      </c>
      <c r="AA122" s="4">
        <f>SUM(AA2:AA121)</f>
        <v/>
      </c>
      <c r="AB122" s="4">
        <f>SUM(AB2:AB121)</f>
        <v/>
      </c>
      <c r="AC122" s="4">
        <f>SUM(AC2:AC121)</f>
        <v/>
      </c>
      <c r="AD122" s="4">
        <f>SUM(AD2:AD121)</f>
        <v/>
      </c>
      <c r="AE122" s="4">
        <f>SUM(AE2:AE121)</f>
        <v/>
      </c>
      <c r="AF122" s="4">
        <f>SUM(AF2:AF121)</f>
        <v/>
      </c>
      <c r="AG122" s="4">
        <f>SUM(AG2:AG121)</f>
        <v/>
      </c>
      <c r="AH122" s="4">
        <f>SUM(AH2:AH121)</f>
        <v/>
      </c>
      <c r="AI122" s="4">
        <f>SUM(AI2:AI121)</f>
        <v/>
      </c>
      <c r="AJ122" s="4">
        <f>SUM(AJ2:AJ121)</f>
        <v/>
      </c>
      <c r="AK122" s="4">
        <f>SUM(AK2:AK121)</f>
        <v/>
      </c>
      <c r="AL122" s="4">
        <f>SUM(AL2:AL121)</f>
        <v/>
      </c>
      <c r="AM122" s="4">
        <f>SUM(AM2:AM121)</f>
        <v/>
      </c>
      <c r="AN122" s="4">
        <f>SUM(AN2:AN121)</f>
        <v/>
      </c>
      <c r="AO122" s="4">
        <f>SUM(AO2:AO121)</f>
        <v/>
      </c>
      <c r="AP122" s="4">
        <f>SUM(AP2:AP121)</f>
        <v/>
      </c>
      <c r="AQ122" s="4">
        <f>SUM(AQ2:AQ121)</f>
        <v/>
      </c>
      <c r="AR122" s="4">
        <f>SUM(AR2:AR121)</f>
        <v/>
      </c>
      <c r="AS122" s="4">
        <f>SUM(AS2:AS121)</f>
        <v/>
      </c>
      <c r="AT122" s="4">
        <f>SUM(AT2:AT121)</f>
        <v/>
      </c>
      <c r="AU122" s="4">
        <f>SUM(AU2:AU121)</f>
        <v/>
      </c>
      <c r="AV122" s="4">
        <f>SUM(AV2:AV121)</f>
        <v/>
      </c>
      <c r="AW122" s="4">
        <f>SUM(AW2:AW121)</f>
        <v/>
      </c>
      <c r="AX122" s="4">
        <f>SUM(AX2:AX121)</f>
        <v/>
      </c>
      <c r="AY122" s="4">
        <f>SUM(AY2:AY121)</f>
        <v/>
      </c>
      <c r="AZ122" s="4">
        <f>SUM(AZ2:AZ121)</f>
        <v/>
      </c>
      <c r="BA122" s="4">
        <f>SUM(BA2:BA121)</f>
        <v/>
      </c>
      <c r="BB122" s="4">
        <f>SUM(BB2:BB121)</f>
        <v/>
      </c>
      <c r="BC122" s="4">
        <f>SUM(BC2:BC121)</f>
        <v/>
      </c>
      <c r="BD122" s="4">
        <f>SUM(BD2:BD121)</f>
        <v/>
      </c>
      <c r="BE122" s="4">
        <f>SUM(BE2:BE121)</f>
        <v/>
      </c>
      <c r="BF122" s="4">
        <f>SUM(BF2:BF121)</f>
        <v/>
      </c>
      <c r="BG122" s="4">
        <f>SUM(BG2:BG121)</f>
        <v/>
      </c>
      <c r="BH122" s="4">
        <f>SUM(BH2:BH121)</f>
        <v/>
      </c>
      <c r="BI122" s="4">
        <f>SUM(BI2:BI121)</f>
        <v/>
      </c>
      <c r="BJ122" s="4">
        <f>SUM(BJ2:BJ121)</f>
        <v/>
      </c>
      <c r="BK122" s="4">
        <f>SUM(BK2:BK121)</f>
        <v/>
      </c>
      <c r="BL122" s="4">
        <f>SUM(BL2:BL121)</f>
        <v/>
      </c>
      <c r="BM122" s="4">
        <f>SUM(BM2:BM121)</f>
        <v/>
      </c>
      <c r="BN122" s="4">
        <f>SUM(BN2:BN121)</f>
        <v/>
      </c>
      <c r="BO122" s="4">
        <f>SUM(BO2:BO121)</f>
        <v/>
      </c>
      <c r="BP122" s="4">
        <f>SUM(BP2:BP121)</f>
        <v/>
      </c>
      <c r="BQ122" s="4">
        <f>SUM(BQ2:BQ121)</f>
        <v/>
      </c>
      <c r="BR122" s="4">
        <f>SUM(BR2:BR121)</f>
        <v/>
      </c>
      <c r="BS122" s="4">
        <f>SUM(BS2:BS121)</f>
        <v/>
      </c>
      <c r="BT122" s="4">
        <f>SUM(BT2:BT121)</f>
        <v/>
      </c>
      <c r="BU122" s="4">
        <f>SUM(BU2:BU121)</f>
        <v/>
      </c>
      <c r="BV122" s="4">
        <f>SUM(BV2:BV121)</f>
        <v/>
      </c>
      <c r="BW122" s="4">
        <f>SUM(BW2:BW121)</f>
        <v/>
      </c>
      <c r="BX122" s="4">
        <f>SUM(BX2:BX121)</f>
        <v/>
      </c>
      <c r="BY122" s="4">
        <f>SUM(BY2:BY121)</f>
        <v/>
      </c>
      <c r="BZ122" s="4">
        <f>SUM(BZ2:BZ121)</f>
        <v/>
      </c>
      <c r="CA122" s="4">
        <f>SUM(CA2:CA121)</f>
        <v/>
      </c>
      <c r="CB122" s="3" t="n"/>
    </row>
  </sheetData>
  <conditionalFormatting sqref="CA2:CA121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2026-03-30T00:42:39Z</dcterms:created>
  <dcterms:modified xsi:type="dcterms:W3CDTF">2026-03-30T00:42:42Z</dcterms:modified>
</cp:coreProperties>
</file>
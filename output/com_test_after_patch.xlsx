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sz val="11"/>
    </font>
    <font>
      <b val="1"/>
      <sz val="18"/>
    </font>
  </fonts>
  <fills count="9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E6E6E6"/>
        <bgColor rgb="00E6E6E6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8" borderId="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0" fillId="0" borderId="9" pivotButton="0" quotePrefix="0" xfId="0"/>
    <xf numFmtId="0" fontId="3" fillId="4" borderId="0" pivotButton="0" quotePrefix="0" xfId="0"/>
    <xf numFmtId="4" fontId="3" fillId="4" borderId="0" pivotButton="0" quotePrefix="0" xfId="0"/>
    <xf numFmtId="3" fontId="3" fillId="4" borderId="0" pivotButton="0" quotePrefix="0" xfId="0"/>
    <xf numFmtId="0" fontId="2" fillId="5" borderId="2" applyAlignment="1" pivotButton="0" quotePrefix="0" xfId="0">
      <alignment horizontal="center" vertical="center"/>
    </xf>
    <xf numFmtId="10" fontId="3" fillId="6" borderId="3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3" fontId="3" fillId="7" borderId="5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6.5" customWidth="1" min="4" max="4"/>
    <col width="4" customWidth="1" min="5" max="5"/>
    <col width="13.2" customWidth="1" min="6" max="6"/>
    <col width="12.1" customWidth="1" min="7" max="7"/>
    <col width="12.1" customWidth="1" min="8" max="8"/>
    <col width="19.8" customWidth="1" min="9" max="9"/>
    <col width="12.1" customWidth="1" min="10" max="10"/>
    <col width="12.1" customWidth="1" min="11" max="11"/>
    <col width="13.2" customWidth="1" min="12" max="12"/>
    <col width="15.4" customWidth="1" min="13" max="13"/>
    <col width="28.6" customWidth="1" min="14" max="14"/>
    <col width="4" customWidth="1" min="15" max="15"/>
    <col width="12.1" customWidth="1" min="16" max="16"/>
    <col width="13.2" customWidth="1" min="17" max="17"/>
    <col width="19.8" customWidth="1" min="18" max="18"/>
    <col width="12.1" customWidth="1" min="19" max="19"/>
    <col width="12.1" customWidth="1" min="20" max="20"/>
    <col width="12.1" customWidth="1" min="21" max="21"/>
    <col width="4" customWidth="1" min="22" max="22"/>
    <col width="15.4" customWidth="1" min="23" max="23"/>
    <col width="4" customWidth="1" min="24" max="24"/>
    <col width="14.3" customWidth="1" min="25" max="25"/>
    <col width="12.1" customWidth="1" min="26" max="26"/>
    <col width="16.5" customWidth="1" min="27" max="27"/>
    <col width="4" customWidth="1" min="28" max="28"/>
    <col width="14.3" customWidth="1" min="29" max="29"/>
    <col width="14.3" customWidth="1" min="30" max="30"/>
    <col width="14.3" customWidth="1" min="31" max="31"/>
    <col width="14.3" customWidth="1" min="32" max="32"/>
    <col width="14.3" customWidth="1" min="33" max="33"/>
    <col width="27.5" customWidth="1" min="34" max="34"/>
    <col width="14.3" customWidth="1" min="35" max="35"/>
    <col width="18.7" customWidth="1" min="36" max="36"/>
    <col width="14.3" customWidth="1" min="37" max="37"/>
    <col width="14.3" customWidth="1" min="38" max="38"/>
    <col width="14.3" customWidth="1" min="39" max="39"/>
    <col width="14.3" customWidth="1" min="40" max="40"/>
    <col width="14.3" customWidth="1" min="41" max="41"/>
    <col width="24.2" customWidth="1" min="42" max="42"/>
    <col width="14.3" customWidth="1" min="43" max="43"/>
    <col width="17.6" customWidth="1" min="44" max="44"/>
    <col width="4" customWidth="1" min="45" max="45"/>
    <col width="18" customWidth="1" min="46" max="46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1" t="inlineStr">
        <is>
          <t>4</t>
        </is>
      </c>
      <c r="W1" s="2" t="inlineStr">
        <is>
          <t>Liczba biletów</t>
        </is>
      </c>
      <c r="X1" s="1" t="inlineStr">
        <is>
          <t>5</t>
        </is>
      </c>
      <c r="Y1" s="2" t="inlineStr">
        <is>
          <t>Przychody</t>
        </is>
      </c>
      <c r="AB1" s="1" t="inlineStr">
        <is>
          <t>6</t>
        </is>
      </c>
      <c r="AC1" s="2" t="inlineStr">
        <is>
          <t>KOSZTY</t>
        </is>
      </c>
      <c r="AS1" s="1" t="inlineStr">
        <is>
          <t>7</t>
        </is>
      </c>
      <c r="AT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3" t="n"/>
      <c r="W2" s="4" t="inlineStr">
        <is>
          <t>ARP</t>
        </is>
      </c>
      <c r="X2" s="3" t="n"/>
      <c r="Y2" s="4" t="inlineStr">
        <is>
          <t>Prowizja Suma</t>
        </is>
      </c>
      <c r="Z2" s="4" t="inlineStr">
        <is>
          <t>Interchange</t>
        </is>
      </c>
      <c r="AA2" s="4" t="inlineStr">
        <is>
          <t>Dodatkowe zyski</t>
        </is>
      </c>
      <c r="AB2" s="3" t="n"/>
      <c r="AC2" s="4" t="inlineStr">
        <is>
          <t>czynsz</t>
        </is>
      </c>
      <c r="AD2" s="4" t="inlineStr">
        <is>
          <t>prad</t>
        </is>
      </c>
      <c r="AE2" s="4" t="inlineStr">
        <is>
          <t>elavon</t>
        </is>
      </c>
      <c r="AF2" s="4" t="inlineStr">
        <is>
          <t>poczta polska</t>
        </is>
      </c>
      <c r="AG2" s="4" t="inlineStr">
        <is>
          <t>amortyzacja</t>
        </is>
      </c>
      <c r="AH2" s="4" t="inlineStr">
        <is>
          <t>utrzymanie oprogramowania</t>
        </is>
      </c>
      <c r="AI2" s="4" t="inlineStr">
        <is>
          <t>papier</t>
        </is>
      </c>
      <c r="AJ2" s="4" t="inlineStr">
        <is>
          <t>transmisja danych</t>
        </is>
      </c>
      <c r="AK2" s="4" t="inlineStr">
        <is>
          <t>serwis</t>
        </is>
      </c>
      <c r="AL2" s="4" t="inlineStr">
        <is>
          <t>IT card</t>
        </is>
      </c>
      <c r="AM2" s="4" t="inlineStr">
        <is>
          <t>ubezpieczenie</t>
        </is>
      </c>
      <c r="AN2" s="4" t="inlineStr">
        <is>
          <t>Koszty TVM</t>
        </is>
      </c>
      <c r="AO2" s="4" t="inlineStr">
        <is>
          <t>NON TVM</t>
        </is>
      </c>
      <c r="AP2" s="4" t="inlineStr">
        <is>
          <t>Project Variable Costs</t>
        </is>
      </c>
      <c r="AQ2" s="4" t="inlineStr">
        <is>
          <t>OH</t>
        </is>
      </c>
      <c r="AR2" s="4" t="inlineStr">
        <is>
          <t>Dodatkowe koszty</t>
        </is>
      </c>
      <c r="AS2" s="3" t="n"/>
      <c r="AT2" s="4" t="inlineStr">
        <is>
          <t>Uwagi</t>
        </is>
      </c>
    </row>
    <row r="3" ht="19" customHeight="1">
      <c r="A3" s="3" t="n"/>
      <c r="B3" s="5" t="n">
        <v>101</v>
      </c>
      <c r="C3" s="6" t="inlineStr">
        <is>
          <t>Loc 101</t>
        </is>
      </c>
      <c r="D3" s="5" t="inlineStr">
        <is>
          <t>A</t>
        </is>
      </c>
      <c r="E3" s="3" t="n"/>
      <c r="F3" s="7" t="n">
        <v>0</v>
      </c>
      <c r="G3" s="7" t="n">
        <v>0.77</v>
      </c>
      <c r="H3" s="7" t="n">
        <v>100</v>
      </c>
      <c r="I3" s="7" t="n">
        <v>92.59259259259258</v>
      </c>
      <c r="J3" s="7" t="n">
        <v>20</v>
      </c>
      <c r="K3" s="7" t="n">
        <v>30</v>
      </c>
      <c r="L3" s="7" t="n">
        <v>10</v>
      </c>
      <c r="M3" s="8" t="n">
        <v>2</v>
      </c>
      <c r="N3" s="7" t="n">
        <v>0.77</v>
      </c>
      <c r="O3" s="3" t="n"/>
      <c r="P3" s="7" t="n">
        <v>100</v>
      </c>
      <c r="Q3" s="7" t="n">
        <v>0</v>
      </c>
      <c r="R3" s="7" t="n">
        <v>92.59259259259258</v>
      </c>
      <c r="S3" s="7" t="n">
        <v>10</v>
      </c>
      <c r="T3" s="7" t="n">
        <v>20</v>
      </c>
      <c r="U3" s="7" t="n">
        <v>30</v>
      </c>
      <c r="V3" s="3" t="n"/>
      <c r="W3" s="8" t="n">
        <v>2</v>
      </c>
      <c r="X3" s="3" t="n"/>
      <c r="Y3" s="7" t="n">
        <v>0</v>
      </c>
      <c r="Z3" s="7" t="n">
        <v>0.77</v>
      </c>
      <c r="AA3" s="7" t="n">
        <v>0</v>
      </c>
      <c r="AB3" s="3" t="n"/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3" t="n"/>
      <c r="AT3" s="6" t="n"/>
    </row>
    <row r="4" ht="19" customHeight="1">
      <c r="A4" s="9" t="n"/>
      <c r="B4" s="5" t="n">
        <v>102</v>
      </c>
      <c r="C4" s="6" t="inlineStr">
        <is>
          <t>Loc 102</t>
        </is>
      </c>
      <c r="D4" s="5" t="inlineStr">
        <is>
          <t>B</t>
        </is>
      </c>
      <c r="E4" s="9" t="n"/>
      <c r="F4" s="7" t="n">
        <v>0</v>
      </c>
      <c r="G4" s="7" t="n">
        <v>0.616</v>
      </c>
      <c r="H4" s="7" t="n">
        <v>200</v>
      </c>
      <c r="I4" s="7" t="n">
        <v>185.1851851851852</v>
      </c>
      <c r="J4" s="7" t="n">
        <v>15</v>
      </c>
      <c r="K4" s="7" t="n">
        <v>25</v>
      </c>
      <c r="L4" s="7" t="n">
        <v>5</v>
      </c>
      <c r="M4" s="8" t="n">
        <v>3</v>
      </c>
      <c r="N4" s="7" t="n">
        <v>0.616</v>
      </c>
      <c r="O4" s="9" t="n"/>
      <c r="P4" s="7" t="n">
        <v>200</v>
      </c>
      <c r="Q4" s="7" t="n">
        <v>0</v>
      </c>
      <c r="R4" s="7" t="n">
        <v>185.1851851851852</v>
      </c>
      <c r="S4" s="7" t="n">
        <v>5</v>
      </c>
      <c r="T4" s="7" t="n">
        <v>15</v>
      </c>
      <c r="U4" s="7" t="n">
        <v>25</v>
      </c>
      <c r="V4" s="9" t="n"/>
      <c r="W4" s="8" t="n">
        <v>3</v>
      </c>
      <c r="X4" s="9" t="n"/>
      <c r="Y4" s="7" t="n">
        <v>0</v>
      </c>
      <c r="Z4" s="7" t="n">
        <v>0.616</v>
      </c>
      <c r="AA4" s="7" t="n">
        <v>0</v>
      </c>
      <c r="AB4" s="9" t="n"/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9" t="n"/>
      <c r="AT4" s="6" t="n"/>
    </row>
    <row r="5">
      <c r="A5" s="10" t="n"/>
      <c r="B5" s="10" t="n"/>
      <c r="C5" s="10" t="inlineStr">
        <is>
          <t>PODSUMOWANIE</t>
        </is>
      </c>
      <c r="D5" s="10" t="n"/>
      <c r="E5" s="10" t="n"/>
      <c r="F5" s="11">
        <f>SUM(F3:F4)</f>
        <v/>
      </c>
      <c r="G5" s="11">
        <f>SUM(G3:G4)</f>
        <v/>
      </c>
      <c r="H5" s="11">
        <f>SUM(H3:H4)</f>
        <v/>
      </c>
      <c r="I5" s="11">
        <f>SUM(I3:I4)</f>
        <v/>
      </c>
      <c r="J5" s="11">
        <f>SUM(J3:J4)</f>
        <v/>
      </c>
      <c r="K5" s="11">
        <f>SUM(K3:K4)</f>
        <v/>
      </c>
      <c r="L5" s="11">
        <f>SUM(L3:L4)</f>
        <v/>
      </c>
      <c r="M5" s="12">
        <f>SUM(M3:M4)</f>
        <v/>
      </c>
      <c r="N5" s="11">
        <f>SUM(N3:N4)</f>
        <v/>
      </c>
      <c r="O5" s="10" t="n"/>
      <c r="P5" s="11">
        <f>SUM(P3:P4)</f>
        <v/>
      </c>
      <c r="Q5" s="11">
        <f>SUM(Q3:Q4)</f>
        <v/>
      </c>
      <c r="R5" s="11">
        <f>SUM(R3:R4)</f>
        <v/>
      </c>
      <c r="S5" s="11">
        <f>SUM(S3:S4)</f>
        <v/>
      </c>
      <c r="T5" s="11">
        <f>SUM(T3:T4)</f>
        <v/>
      </c>
      <c r="U5" s="11">
        <f>SUM(U3:U4)</f>
        <v/>
      </c>
      <c r="V5" s="10" t="n"/>
      <c r="W5" s="12">
        <f>SUM(W3:W4)</f>
        <v/>
      </c>
      <c r="X5" s="10" t="n"/>
      <c r="Y5" s="11">
        <f>SUM(Y3:Y4)</f>
        <v/>
      </c>
      <c r="Z5" s="11">
        <f>SUM(Z3:Z4)</f>
        <v/>
      </c>
      <c r="AA5" s="11">
        <f>SUM(AA3:AA4)</f>
        <v/>
      </c>
      <c r="AB5" s="10" t="n"/>
      <c r="AC5" s="11">
        <f>SUM(AC3:AC4)</f>
        <v/>
      </c>
      <c r="AD5" s="11">
        <f>SUM(AD3:AD4)</f>
        <v/>
      </c>
      <c r="AE5" s="11">
        <f>SUM(AE3:AE4)</f>
        <v/>
      </c>
      <c r="AF5" s="11">
        <f>SUM(AF3:AF4)</f>
        <v/>
      </c>
      <c r="AG5" s="11">
        <f>SUM(AG3:AG4)</f>
        <v/>
      </c>
      <c r="AH5" s="11">
        <f>SUM(AH3:AH4)</f>
        <v/>
      </c>
      <c r="AI5" s="11">
        <f>SUM(AI3:AI4)</f>
        <v/>
      </c>
      <c r="AJ5" s="11">
        <f>SUM(AJ3:AJ4)</f>
        <v/>
      </c>
      <c r="AK5" s="11">
        <f>SUM(AK3:AK4)</f>
        <v/>
      </c>
      <c r="AL5" s="11">
        <f>SUM(AL3:AL4)</f>
        <v/>
      </c>
      <c r="AM5" s="11">
        <f>SUM(AM3:AM4)</f>
        <v/>
      </c>
      <c r="AN5" s="11">
        <f>SUM(AN3:AN4)</f>
        <v/>
      </c>
      <c r="AO5" s="11">
        <f>SUM(AO3:AO4)</f>
        <v/>
      </c>
      <c r="AP5" s="11">
        <f>SUM(AP3:AP4)</f>
        <v/>
      </c>
      <c r="AQ5" s="11">
        <f>SUM(AQ3:AQ4)</f>
        <v/>
      </c>
      <c r="AR5" s="11">
        <f>SUM(AR3:AR4)</f>
        <v/>
      </c>
      <c r="AS5" s="10" t="n"/>
      <c r="AT5" s="10" t="n"/>
    </row>
    <row r="6"/>
    <row r="7" ht="20" customHeight="1">
      <c r="M7" s="13" t="inlineStr">
        <is>
          <t>Rentowność TVM</t>
        </is>
      </c>
      <c r="N7" s="14">
        <f>N8/COUNTIF(N3:N113,"&lt;&gt;0")</f>
        <v/>
      </c>
    </row>
    <row r="8" ht="20" customHeight="1">
      <c r="M8" s="15" t="inlineStr">
        <is>
          <t>Ilość TVM</t>
        </is>
      </c>
      <c r="N8" s="16">
        <f>COUNTIF(N3:N113,"&gt;0")</f>
        <v/>
      </c>
    </row>
  </sheetData>
  <mergeCells count="12">
    <mergeCell ref="AC1:AR1"/>
    <mergeCell ref="P1:U1"/>
    <mergeCell ref="B1:D1"/>
    <mergeCell ref="Y1:AA1"/>
    <mergeCell ref="V1:V4"/>
    <mergeCell ref="O1:O4"/>
    <mergeCell ref="F1:N1"/>
    <mergeCell ref="A1:A4"/>
    <mergeCell ref="X1:X4"/>
    <mergeCell ref="E1:E4"/>
    <mergeCell ref="AB1:AB4"/>
    <mergeCell ref="AS1:AS4"/>
  </mergeCells>
  <conditionalFormatting sqref="N3:N4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2026-05-31T22:24:42Z</dcterms:created>
  <dcterms:modified xsi:type="dcterms:W3CDTF">2026-05-31T22:24:42Z</dcterms:modified>
</cp:coreProperties>
</file>
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5-01" sheetId="1" state="visible" r:id="rId1"/>
    <sheet name="P&amp;L 2025-02" sheetId="2" state="visible" r:id="rId2"/>
    <sheet name="P&amp;L 2025-03" sheetId="3" state="visible" r:id="rId3"/>
    <sheet name="P&amp;L 2025-04" sheetId="4" state="visible" r:id="rId4"/>
    <sheet name="P&amp;L 2025-05" sheetId="5" state="visible" r:id="rId5"/>
    <sheet name="P&amp;L 2025-06" sheetId="6" state="visible" r:id="rId6"/>
    <sheet name="P&amp;L 2025-07" sheetId="7" state="visible" r:id="rId7"/>
    <sheet name="P&amp;L 2025-08" sheetId="8" state="visible" r:id="rId8"/>
    <sheet name="P&amp;L 2025-09" sheetId="9" state="visible" r:id="rId9"/>
    <sheet name="P&amp;L 2025-10" sheetId="10" state="visible" r:id="rId10"/>
    <sheet name="P&amp;L 2025-11" sheetId="11" state="visible" r:id="rId11"/>
    <sheet name="P&amp;L 2025-12" sheetId="12" state="visible" r:id="rId12"/>
    <sheet name="P&amp;L 2026-01" sheetId="13" state="visible" r:id="rId13"/>
    <sheet name="P&amp;L 2026-02" sheetId="14" state="visible" r:id="rId14"/>
    <sheet name="Zestawieni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Porównanie miesięcy dla wybranego automatu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'Zestawienie'!$D$143:$D$144</f>
            </numRef>
          </cat>
          <val>
            <numRef>
              <f>'Zestawienie'!$B$143:$B$144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Miesiąc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Wartość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20" customWidth="1" min="5" max="5"/>
    <col width="20" customWidth="1" min="6" max="6"/>
    <col width="19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20" customWidth="1" min="59" max="59"/>
    <col width="19" customWidth="1" min="60" max="60"/>
    <col width="17" customWidth="1" min="61" max="61"/>
    <col width="18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21099.49</v>
      </c>
      <c r="L2" s="2" t="n">
        <v>1756.337176851852</v>
      </c>
      <c r="M2" s="2" t="n">
        <v>19536.56481481481</v>
      </c>
      <c r="N2" s="2" t="n">
        <v>0</v>
      </c>
      <c r="O2" s="2" t="n">
        <v>20162.7</v>
      </c>
      <c r="P2" s="2" t="n">
        <v>936.79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17092.7</v>
      </c>
      <c r="X2" s="2" t="n">
        <v>750</v>
      </c>
      <c r="Y2" s="2" t="n">
        <v>15826.57407407407</v>
      </c>
      <c r="Z2" s="2" t="n">
        <v>0</v>
      </c>
      <c r="AA2" s="2" t="n">
        <v>16329.76</v>
      </c>
      <c r="AB2" s="2" t="n">
        <v>762.9400000000001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1200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9451.74</v>
      </c>
      <c r="AP2" s="2" t="n">
        <v>437.5805555555555</v>
      </c>
      <c r="AQ2" s="2" t="n">
        <v>8751.611111111109</v>
      </c>
      <c r="AR2" s="2" t="n">
        <v>0</v>
      </c>
      <c r="AS2" s="2" t="n">
        <v>8999.91</v>
      </c>
      <c r="AT2" s="2" t="n">
        <v>451.83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47643.93</v>
      </c>
      <c r="BB2" s="2" t="n">
        <v>47643.93</v>
      </c>
      <c r="BC2" s="2">
        <f>F2+L2+R2+X2+AD2+AJ2+AP2+AV2+IF(BE2="",0,BE2)</f>
        <v/>
      </c>
      <c r="BD2" s="2" t="n">
        <v>701.240392</v>
      </c>
      <c r="BE2" s="2" t="n"/>
      <c r="BF2" s="2" t="n">
        <v>44114.75</v>
      </c>
      <c r="BG2" s="2" t="n">
        <v>1134.23</v>
      </c>
      <c r="BH2" s="2" t="n">
        <v>264</v>
      </c>
      <c r="BI2" s="2" t="n">
        <v>26868.14</v>
      </c>
      <c r="BJ2" s="2" t="n">
        <v>80.97958677685951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643.193055</v>
      </c>
      <c r="BQ2" s="2" t="n">
        <v>0</v>
      </c>
      <c r="BR2" s="2" t="n">
        <v>29015.54264177686</v>
      </c>
      <c r="BS2" s="2" t="n">
        <v>778.1611570247934</v>
      </c>
      <c r="BT2" s="2" t="n">
        <v>0</v>
      </c>
      <c r="BU2" s="2" t="n">
        <v>5830.102148760331</v>
      </c>
      <c r="BV2" s="2" t="n">
        <v>6608.263305785124</v>
      </c>
      <c r="BW2" s="2" t="n">
        <v>35623.80594756198</v>
      </c>
      <c r="BX2" s="2" t="n">
        <v>45492.37</v>
      </c>
      <c r="BY2" s="2" t="n">
        <v>2151.56</v>
      </c>
      <c r="BZ2" s="2" t="n">
        <v>0</v>
      </c>
      <c r="CA2" s="2" t="n">
        <v>47643.92999999999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3229.35</v>
      </c>
      <c r="L3" s="2" t="n">
        <v>268.8134861111111</v>
      </c>
      <c r="M3" s="2" t="n">
        <v>2990.138888888889</v>
      </c>
      <c r="N3" s="2" t="n">
        <v>0</v>
      </c>
      <c r="O3" s="2" t="n">
        <v>2998.79</v>
      </c>
      <c r="P3" s="2" t="n">
        <v>230.56</v>
      </c>
      <c r="Q3" s="2" t="n">
        <v>4074.01</v>
      </c>
      <c r="R3" s="2" t="n">
        <v>282.9173611111111</v>
      </c>
      <c r="S3" s="2" t="n">
        <v>3772.231481481481</v>
      </c>
      <c r="T3" s="2" t="n">
        <v>0</v>
      </c>
      <c r="U3" s="2" t="n">
        <v>3891.83</v>
      </c>
      <c r="V3" s="2" t="n">
        <v>182.18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1200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8223.67</v>
      </c>
      <c r="AP3" s="2" t="n">
        <v>380.725462962963</v>
      </c>
      <c r="AQ3" s="2" t="n">
        <v>7614.509259259259</v>
      </c>
      <c r="AR3" s="2" t="n">
        <v>0</v>
      </c>
      <c r="AS3" s="2" t="n">
        <v>7524.82</v>
      </c>
      <c r="AT3" s="2" t="n">
        <v>698.85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15527.03</v>
      </c>
      <c r="BB3" s="2" t="n">
        <v>15527.03</v>
      </c>
      <c r="BC3" s="2">
        <f>F3+L3+R3+X3+AD3+AJ3+AP3+AV3+IF(BE3="",0,BE3)</f>
        <v/>
      </c>
      <c r="BD3" s="2" t="n">
        <v>239.116262</v>
      </c>
      <c r="BE3" s="2" t="n"/>
      <c r="BF3" s="2" t="n">
        <v>14376.87962962963</v>
      </c>
      <c r="BG3" s="2" t="n">
        <v>0</v>
      </c>
      <c r="BH3" s="2" t="n">
        <v>0</v>
      </c>
      <c r="BI3" s="2" t="n">
        <v>26868.14</v>
      </c>
      <c r="BJ3" s="2" t="n">
        <v>80.97958677685951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209.614905</v>
      </c>
      <c r="BQ3" s="2" t="n">
        <v>0</v>
      </c>
      <c r="BR3" s="2" t="n">
        <v>27183.73449177686</v>
      </c>
      <c r="BS3" s="2" t="n">
        <v>778.1611570247934</v>
      </c>
      <c r="BT3" s="2" t="n">
        <v>0</v>
      </c>
      <c r="BU3" s="2" t="n">
        <v>5550.456148760331</v>
      </c>
      <c r="BV3" s="2" t="n">
        <v>6328.617305785125</v>
      </c>
      <c r="BW3" s="2" t="n">
        <v>33512.35179756198</v>
      </c>
      <c r="BX3" s="2" t="n">
        <v>14415.44</v>
      </c>
      <c r="BY3" s="2" t="n">
        <v>1111.59</v>
      </c>
      <c r="BZ3" s="2" t="n">
        <v>0</v>
      </c>
      <c r="CA3" s="2" t="n">
        <v>15527.03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5283.15</v>
      </c>
      <c r="L4" s="2" t="n">
        <v>439.7733194444444</v>
      </c>
      <c r="M4" s="2" t="n">
        <v>4891.805555555555</v>
      </c>
      <c r="N4" s="2" t="n">
        <v>0</v>
      </c>
      <c r="O4" s="2" t="n">
        <v>4700.16</v>
      </c>
      <c r="P4" s="2" t="n">
        <v>582.99</v>
      </c>
      <c r="Q4" s="2" t="n">
        <v>11680.85</v>
      </c>
      <c r="R4" s="2" t="n">
        <v>0</v>
      </c>
      <c r="S4" s="2" t="n">
        <v>10815.60185185185</v>
      </c>
      <c r="T4" s="2" t="n">
        <v>0</v>
      </c>
      <c r="U4" s="2" t="n">
        <v>11204.54</v>
      </c>
      <c r="V4" s="2" t="n">
        <v>476.31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1200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4065.49</v>
      </c>
      <c r="AP4" s="2" t="n">
        <v>188.2171296296296</v>
      </c>
      <c r="AQ4" s="2" t="n">
        <v>3764.342592592592</v>
      </c>
      <c r="AR4" s="2" t="n">
        <v>0</v>
      </c>
      <c r="AS4" s="2" t="n">
        <v>3932.37</v>
      </c>
      <c r="AT4" s="2" t="n">
        <v>133.12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21029.49</v>
      </c>
      <c r="BB4" s="2" t="n">
        <v>21029.49</v>
      </c>
      <c r="BC4" s="2">
        <f>F4+L4+R4+X4+AD4+AJ4+AP4+AV4+IF(BE4="",0,BE4)</f>
        <v/>
      </c>
      <c r="BD4" s="2" t="n">
        <v>323.854146</v>
      </c>
      <c r="BE4" s="2" t="n"/>
      <c r="BF4" s="2" t="n">
        <v>19471.75</v>
      </c>
      <c r="BG4" s="2" t="n">
        <v>0</v>
      </c>
      <c r="BH4" s="2" t="n">
        <v>0</v>
      </c>
      <c r="BI4" s="2" t="n">
        <v>26868.14</v>
      </c>
      <c r="BJ4" s="2" t="n">
        <v>80.97958677685951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283.898115</v>
      </c>
      <c r="BQ4" s="2" t="n">
        <v>0</v>
      </c>
      <c r="BR4" s="2" t="n">
        <v>27258.01770177686</v>
      </c>
      <c r="BS4" s="2" t="n">
        <v>778.1611570247934</v>
      </c>
      <c r="BT4" s="2" t="n">
        <v>0</v>
      </c>
      <c r="BU4" s="2" t="n">
        <v>5550.456148760331</v>
      </c>
      <c r="BV4" s="2" t="n">
        <v>6328.617305785125</v>
      </c>
      <c r="BW4" s="2" t="n">
        <v>33586.63500756198</v>
      </c>
      <c r="BX4" s="2" t="n">
        <v>19837.07</v>
      </c>
      <c r="BY4" s="2" t="n">
        <v>1192.42</v>
      </c>
      <c r="BZ4" s="2" t="n">
        <v>0</v>
      </c>
      <c r="CA4" s="2" t="n">
        <v>21029.49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40.6</v>
      </c>
      <c r="F5" s="2" t="n">
        <v>2.631481481481481</v>
      </c>
      <c r="G5" s="2" t="n">
        <v>37.59259259259259</v>
      </c>
      <c r="H5" s="2" t="n">
        <v>0</v>
      </c>
      <c r="I5" s="2" t="n">
        <v>40.6</v>
      </c>
      <c r="J5" s="2" t="n">
        <v>0</v>
      </c>
      <c r="K5" s="2" t="n">
        <v>21364.51</v>
      </c>
      <c r="L5" s="2" t="n">
        <v>1778.397637962963</v>
      </c>
      <c r="M5" s="2" t="n">
        <v>19781.9537037037</v>
      </c>
      <c r="N5" s="2" t="n">
        <v>0</v>
      </c>
      <c r="O5" s="2" t="n">
        <v>19905.52</v>
      </c>
      <c r="P5" s="2" t="n">
        <v>1458.99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32557.54</v>
      </c>
      <c r="AD5" s="2" t="n">
        <v>2080.065055555556</v>
      </c>
      <c r="AE5" s="2" t="n">
        <v>30145.87037037037</v>
      </c>
      <c r="AF5" s="2" t="n">
        <v>0</v>
      </c>
      <c r="AG5" s="2" t="n">
        <v>30235.52</v>
      </c>
      <c r="AH5" s="2" t="n">
        <v>2322.02</v>
      </c>
      <c r="AI5" s="2" t="n">
        <v>27.42</v>
      </c>
      <c r="AJ5" s="2" t="n">
        <v>1201.523333333333</v>
      </c>
      <c r="AK5" s="2" t="n">
        <v>25.38888888888889</v>
      </c>
      <c r="AL5" s="2" t="n">
        <v>0</v>
      </c>
      <c r="AM5" s="2" t="n">
        <v>8.619999999999999</v>
      </c>
      <c r="AN5" s="2" t="n">
        <v>18.8</v>
      </c>
      <c r="AO5" s="2" t="n">
        <v>13108.04</v>
      </c>
      <c r="AP5" s="2" t="n">
        <v>606.8537037037038</v>
      </c>
      <c r="AQ5" s="2" t="n">
        <v>12137.07407407407</v>
      </c>
      <c r="AR5" s="2" t="n">
        <v>0</v>
      </c>
      <c r="AS5" s="2" t="n">
        <v>11565.78</v>
      </c>
      <c r="AT5" s="2" t="n">
        <v>1542.26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67098.11</v>
      </c>
      <c r="BB5" s="2" t="n">
        <v>67098.11</v>
      </c>
      <c r="BC5" s="2">
        <f>F5+L5+R5+X5+AD5+AJ5+AP5+AV5+IF(BE5="",0,BE5)</f>
        <v/>
      </c>
      <c r="BD5" s="2" t="n">
        <v>1033.310894</v>
      </c>
      <c r="BE5" s="2" t="n"/>
      <c r="BF5" s="2" t="n">
        <v>62127.87962962963</v>
      </c>
      <c r="BG5" s="2" t="n">
        <v>0</v>
      </c>
      <c r="BH5" s="2" t="n">
        <v>0</v>
      </c>
      <c r="BI5" s="2" t="n">
        <v>26868.14</v>
      </c>
      <c r="BJ5" s="2" t="n">
        <v>80.97958677685951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905.824485</v>
      </c>
      <c r="BQ5" s="2" t="n">
        <v>0</v>
      </c>
      <c r="BR5" s="2" t="n">
        <v>27879.94407177686</v>
      </c>
      <c r="BS5" s="2" t="n">
        <v>778.1611570247934</v>
      </c>
      <c r="BT5" s="2" t="n">
        <v>0</v>
      </c>
      <c r="BU5" s="2" t="n">
        <v>5550.456148760331</v>
      </c>
      <c r="BV5" s="2" t="n">
        <v>6328.617305785125</v>
      </c>
      <c r="BW5" s="2" t="n">
        <v>34208.56137756199</v>
      </c>
      <c r="BX5" s="2" t="n">
        <v>61756.04</v>
      </c>
      <c r="BY5" s="2" t="n">
        <v>5342.070000000001</v>
      </c>
      <c r="BZ5" s="2" t="n">
        <v>0</v>
      </c>
      <c r="CA5" s="2" t="n">
        <v>67098.11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2844.23</v>
      </c>
      <c r="L6" s="2" t="n">
        <v>236.7558120370371</v>
      </c>
      <c r="M6" s="2" t="n">
        <v>2633.546296296297</v>
      </c>
      <c r="N6" s="2" t="n">
        <v>0</v>
      </c>
      <c r="O6" s="2" t="n">
        <v>2530.26</v>
      </c>
      <c r="P6" s="2" t="n">
        <v>313.97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0.3</v>
      </c>
      <c r="AD6" s="2" t="n">
        <v>0.01916666666666667</v>
      </c>
      <c r="AE6" s="2" t="n">
        <v>0.2777777777777777</v>
      </c>
      <c r="AF6" s="2" t="n">
        <v>0</v>
      </c>
      <c r="AG6" s="2" t="n">
        <v>0</v>
      </c>
      <c r="AH6" s="2" t="n">
        <v>0.3</v>
      </c>
      <c r="AI6" s="2" t="n">
        <v>0</v>
      </c>
      <c r="AJ6" s="2" t="n">
        <v>1200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7466.33</v>
      </c>
      <c r="AP6" s="2" t="n">
        <v>345.6634259259259</v>
      </c>
      <c r="AQ6" s="2" t="n">
        <v>6913.268518518518</v>
      </c>
      <c r="AR6" s="2" t="n">
        <v>0</v>
      </c>
      <c r="AS6" s="2" t="n">
        <v>7173.85</v>
      </c>
      <c r="AT6" s="2" t="n">
        <v>292.48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10310.86</v>
      </c>
      <c r="BB6" s="2" t="n">
        <v>10310.86</v>
      </c>
      <c r="BC6" s="2">
        <f>F6+L6+R6+X6+AD6+AJ6+AP6+AV6+IF(BE6="",0,BE6)</f>
        <v/>
      </c>
      <c r="BD6" s="2" t="n">
        <v>158.787244</v>
      </c>
      <c r="BE6" s="2" t="n"/>
      <c r="BF6" s="2" t="n">
        <v>9547.092592592593</v>
      </c>
      <c r="BG6" s="2" t="n">
        <v>0</v>
      </c>
      <c r="BH6" s="2" t="n">
        <v>0</v>
      </c>
      <c r="BI6" s="2" t="n">
        <v>26868.14</v>
      </c>
      <c r="BJ6" s="2" t="n">
        <v>80.97958677685951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139.19661</v>
      </c>
      <c r="BQ6" s="2" t="n">
        <v>0</v>
      </c>
      <c r="BR6" s="2" t="n">
        <v>27113.31619677686</v>
      </c>
      <c r="BS6" s="2" t="n">
        <v>778.1611570247934</v>
      </c>
      <c r="BT6" s="2" t="n">
        <v>0</v>
      </c>
      <c r="BU6" s="2" t="n">
        <v>5550.456148760331</v>
      </c>
      <c r="BV6" s="2" t="n">
        <v>6328.617305785125</v>
      </c>
      <c r="BW6" s="2" t="n">
        <v>33441.93350256198</v>
      </c>
      <c r="BX6" s="2" t="n">
        <v>9704.110000000001</v>
      </c>
      <c r="BY6" s="2" t="n">
        <v>606.75</v>
      </c>
      <c r="BZ6" s="2" t="n">
        <v>0</v>
      </c>
      <c r="CA6" s="2" t="n">
        <v>10310.86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15118.06</v>
      </c>
      <c r="L7" s="2" t="n">
        <v>1258.438512962963</v>
      </c>
      <c r="M7" s="2" t="n">
        <v>13998.2037037037</v>
      </c>
      <c r="N7" s="2" t="n">
        <v>0</v>
      </c>
      <c r="O7" s="2" t="n">
        <v>13765.06</v>
      </c>
      <c r="P7" s="2" t="n">
        <v>1353</v>
      </c>
      <c r="Q7" s="2" t="n">
        <v>63.4</v>
      </c>
      <c r="R7" s="2" t="n">
        <v>4.402777777777777</v>
      </c>
      <c r="S7" s="2" t="n">
        <v>58.7037037037037</v>
      </c>
      <c r="T7" s="2" t="n">
        <v>0</v>
      </c>
      <c r="U7" s="2" t="n">
        <v>63.4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23.55</v>
      </c>
      <c r="AD7" s="2" t="n">
        <v>1.504583333333333</v>
      </c>
      <c r="AE7" s="2" t="n">
        <v>21.80555555555555</v>
      </c>
      <c r="AF7" s="2" t="n">
        <v>0</v>
      </c>
      <c r="AG7" s="2" t="n">
        <v>23.55</v>
      </c>
      <c r="AH7" s="2" t="n">
        <v>0</v>
      </c>
      <c r="AI7" s="2" t="n">
        <v>0</v>
      </c>
      <c r="AJ7" s="2" t="n">
        <v>1200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25572.11</v>
      </c>
      <c r="AP7" s="2" t="n">
        <v>1183.893981481481</v>
      </c>
      <c r="AQ7" s="2" t="n">
        <v>23677.87962962963</v>
      </c>
      <c r="AR7" s="2" t="n">
        <v>0</v>
      </c>
      <c r="AS7" s="2" t="n">
        <v>23246.37</v>
      </c>
      <c r="AT7" s="2" t="n">
        <v>2325.74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40777.12</v>
      </c>
      <c r="BB7" s="2" t="n">
        <v>40777.12</v>
      </c>
      <c r="BC7" s="2">
        <f>F7+L7+R7+X7+AD7+AJ7+AP7+AV7+IF(BE7="",0,BE7)</f>
        <v/>
      </c>
      <c r="BD7" s="2" t="n">
        <v>627.9676480000001</v>
      </c>
      <c r="BE7" s="2" t="n"/>
      <c r="BF7" s="2" t="n">
        <v>37756.59259259259</v>
      </c>
      <c r="BG7" s="2" t="n">
        <v>0</v>
      </c>
      <c r="BH7" s="2" t="n">
        <v>0</v>
      </c>
      <c r="BI7" s="2" t="n">
        <v>26868.14</v>
      </c>
      <c r="BJ7" s="2" t="n">
        <v>80.97958677685951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550.4911199999999</v>
      </c>
      <c r="BQ7" s="2" t="n">
        <v>0</v>
      </c>
      <c r="BR7" s="2" t="n">
        <v>27524.61070677686</v>
      </c>
      <c r="BS7" s="2" t="n">
        <v>778.1611570247934</v>
      </c>
      <c r="BT7" s="2" t="n">
        <v>0</v>
      </c>
      <c r="BU7" s="2" t="n">
        <v>5550.456148760331</v>
      </c>
      <c r="BV7" s="2" t="n">
        <v>6328.617305785125</v>
      </c>
      <c r="BW7" s="2" t="n">
        <v>33853.22801256198</v>
      </c>
      <c r="BX7" s="2" t="n">
        <v>37098.38</v>
      </c>
      <c r="BY7" s="2" t="n">
        <v>3678.74</v>
      </c>
      <c r="BZ7" s="2" t="n">
        <v>0</v>
      </c>
      <c r="CA7" s="2" t="n">
        <v>40777.12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8949.690000000001</v>
      </c>
      <c r="L8" s="2" t="n">
        <v>744.978825</v>
      </c>
      <c r="M8" s="2" t="n">
        <v>8286.75</v>
      </c>
      <c r="N8" s="2" t="n">
        <v>0</v>
      </c>
      <c r="O8" s="2" t="n">
        <v>8153.05</v>
      </c>
      <c r="P8" s="2" t="n">
        <v>796.64</v>
      </c>
      <c r="Q8" s="2" t="n">
        <v>87</v>
      </c>
      <c r="R8" s="2" t="n">
        <v>6.041666666666667</v>
      </c>
      <c r="S8" s="2" t="n">
        <v>80.55555555555556</v>
      </c>
      <c r="T8" s="2" t="n">
        <v>0</v>
      </c>
      <c r="U8" s="2" t="n">
        <v>82</v>
      </c>
      <c r="V8" s="2" t="n">
        <v>5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1200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17158.79</v>
      </c>
      <c r="AP8" s="2" t="n">
        <v>794.388425925926</v>
      </c>
      <c r="AQ8" s="2" t="n">
        <v>15887.76851851852</v>
      </c>
      <c r="AR8" s="2" t="n">
        <v>0</v>
      </c>
      <c r="AS8" s="2" t="n">
        <v>16068.38</v>
      </c>
      <c r="AT8" s="2" t="n">
        <v>1090.41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26195.48</v>
      </c>
      <c r="BB8" s="2" t="n">
        <v>26195.48</v>
      </c>
      <c r="BC8" s="2">
        <f>F8+L8+R8+X8+AD8+AJ8+AP8+AV8+IF(BE8="",0,BE8)</f>
        <v/>
      </c>
      <c r="BD8" s="2" t="n">
        <v>403.4103920000001</v>
      </c>
      <c r="BE8" s="2" t="n"/>
      <c r="BF8" s="2" t="n">
        <v>24255.07407407407</v>
      </c>
      <c r="BG8" s="2" t="n">
        <v>0</v>
      </c>
      <c r="BH8" s="2" t="n">
        <v>0</v>
      </c>
      <c r="BI8" s="2" t="n">
        <v>26868.14</v>
      </c>
      <c r="BJ8" s="2" t="n">
        <v>80.97958677685951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353.63898</v>
      </c>
      <c r="BQ8" s="2" t="n">
        <v>0</v>
      </c>
      <c r="BR8" s="2" t="n">
        <v>27327.75856677686</v>
      </c>
      <c r="BS8" s="2" t="n">
        <v>778.1611570247934</v>
      </c>
      <c r="BT8" s="2" t="n">
        <v>0</v>
      </c>
      <c r="BU8" s="2" t="n">
        <v>5550.456148760331</v>
      </c>
      <c r="BV8" s="2" t="n">
        <v>6328.617305785125</v>
      </c>
      <c r="BW8" s="2" t="n">
        <v>33656.37587256198</v>
      </c>
      <c r="BX8" s="2" t="n">
        <v>24303.43</v>
      </c>
      <c r="BY8" s="2" t="n">
        <v>1892.05</v>
      </c>
      <c r="BZ8" s="2" t="n">
        <v>0</v>
      </c>
      <c r="CA8" s="2" t="n">
        <v>26195.48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7814.52</v>
      </c>
      <c r="L9" s="2" t="n">
        <v>650.4864333333334</v>
      </c>
      <c r="M9" s="2" t="n">
        <v>7235.666666666667</v>
      </c>
      <c r="N9" s="2" t="n">
        <v>0</v>
      </c>
      <c r="O9" s="2" t="n">
        <v>7214.89</v>
      </c>
      <c r="P9" s="2" t="n">
        <v>599.63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17426.46</v>
      </c>
      <c r="AP9" s="2" t="n">
        <v>806.7805555555557</v>
      </c>
      <c r="AQ9" s="2" t="n">
        <v>16135.61111111111</v>
      </c>
      <c r="AR9" s="2" t="n">
        <v>0</v>
      </c>
      <c r="AS9" s="2" t="n">
        <v>16412.22</v>
      </c>
      <c r="AT9" s="2" t="n">
        <v>1014.24</v>
      </c>
      <c r="AU9" s="2" t="n">
        <v>395.05</v>
      </c>
      <c r="AV9" s="2" t="n">
        <v>10.97361111111111</v>
      </c>
      <c r="AW9" s="2" t="n">
        <v>365.787037037037</v>
      </c>
      <c r="AX9" s="2" t="n">
        <v>0</v>
      </c>
      <c r="AY9" s="2" t="n">
        <v>376.55</v>
      </c>
      <c r="AZ9" s="2" t="n">
        <v>18.5</v>
      </c>
      <c r="BA9" s="2" t="n">
        <v>25636.03</v>
      </c>
      <c r="BB9" s="2" t="n">
        <v>25636.03</v>
      </c>
      <c r="BC9" s="2">
        <f>F9+L9+R9+X9+AD9+AJ9+AP9+AV9+IF(BE9="",0,BE9)</f>
        <v/>
      </c>
      <c r="BD9" s="2" t="n">
        <v>394.7948620000001</v>
      </c>
      <c r="BE9" s="2" t="n"/>
      <c r="BF9" s="2" t="n">
        <v>23737.06481481482</v>
      </c>
      <c r="BG9" s="2" t="n">
        <v>0</v>
      </c>
      <c r="BH9" s="2" t="n">
        <v>0</v>
      </c>
      <c r="BI9" s="2" t="n">
        <v>26868.14</v>
      </c>
      <c r="BJ9" s="2" t="n">
        <v>80.97958677685951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346.086405</v>
      </c>
      <c r="BQ9" s="2" t="n">
        <v>0</v>
      </c>
      <c r="BR9" s="2" t="n">
        <v>27320.20599177686</v>
      </c>
      <c r="BS9" s="2" t="n">
        <v>778.1611570247934</v>
      </c>
      <c r="BT9" s="2" t="n">
        <v>0</v>
      </c>
      <c r="BU9" s="2" t="n">
        <v>5550.456148760331</v>
      </c>
      <c r="BV9" s="2" t="n">
        <v>6328.617305785125</v>
      </c>
      <c r="BW9" s="2" t="n">
        <v>33648.82329756198</v>
      </c>
      <c r="BX9" s="2" t="n">
        <v>24003.66</v>
      </c>
      <c r="BY9" s="2" t="n">
        <v>1632.37</v>
      </c>
      <c r="BZ9" s="2" t="n">
        <v>0</v>
      </c>
      <c r="CA9" s="2" t="n">
        <v>25636.03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2858.16</v>
      </c>
      <c r="L10" s="2" t="n">
        <v>237.9153555555556</v>
      </c>
      <c r="M10" s="2" t="n">
        <v>2646.444444444444</v>
      </c>
      <c r="N10" s="2" t="n">
        <v>0</v>
      </c>
      <c r="O10" s="2" t="n">
        <v>2725.16</v>
      </c>
      <c r="P10" s="2" t="n">
        <v>133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1200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5847.71</v>
      </c>
      <c r="AP10" s="2" t="n">
        <v>270.7273148148148</v>
      </c>
      <c r="AQ10" s="2" t="n">
        <v>5414.546296296296</v>
      </c>
      <c r="AR10" s="2" t="n">
        <v>0</v>
      </c>
      <c r="AS10" s="2" t="n">
        <v>5790.37</v>
      </c>
      <c r="AT10" s="2" t="n">
        <v>57.34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8705.869999999999</v>
      </c>
      <c r="BB10" s="2" t="n">
        <v>8705.869999999999</v>
      </c>
      <c r="BC10" s="2">
        <f>F10+L10+R10+X10+AD10+AJ10+AP10+AV10+IF(BE10="",0,BE10)</f>
        <v/>
      </c>
      <c r="BD10" s="2" t="n">
        <v>134.070398</v>
      </c>
      <c r="BE10" s="2" t="n"/>
      <c r="BF10" s="2" t="n">
        <v>8060.99074074074</v>
      </c>
      <c r="BG10" s="2" t="n">
        <v>0</v>
      </c>
      <c r="BH10" s="2" t="n">
        <v>0</v>
      </c>
      <c r="BI10" s="2" t="n">
        <v>26868.14</v>
      </c>
      <c r="BJ10" s="2" t="n">
        <v>80.97958677685951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117.529245</v>
      </c>
      <c r="BQ10" s="2" t="n">
        <v>0</v>
      </c>
      <c r="BR10" s="2" t="n">
        <v>27091.64883177686</v>
      </c>
      <c r="BS10" s="2" t="n">
        <v>778.1611570247934</v>
      </c>
      <c r="BT10" s="2" t="n">
        <v>0</v>
      </c>
      <c r="BU10" s="2" t="n">
        <v>5550.456148760331</v>
      </c>
      <c r="BV10" s="2" t="n">
        <v>6328.617305785125</v>
      </c>
      <c r="BW10" s="2" t="n">
        <v>33420.26613756199</v>
      </c>
      <c r="BX10" s="2" t="n">
        <v>8515.529999999999</v>
      </c>
      <c r="BY10" s="2" t="n">
        <v>190.34</v>
      </c>
      <c r="BZ10" s="2" t="n">
        <v>0</v>
      </c>
      <c r="CA10" s="2" t="n">
        <v>8705.869999999999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2753.78</v>
      </c>
      <c r="L11" s="2" t="n">
        <v>229.2266870370371</v>
      </c>
      <c r="M11" s="2" t="n">
        <v>2549.796296296297</v>
      </c>
      <c r="N11" s="2" t="n">
        <v>0</v>
      </c>
      <c r="O11" s="2" t="n">
        <v>2385.4</v>
      </c>
      <c r="P11" s="2" t="n">
        <v>368.38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1200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4557.12</v>
      </c>
      <c r="AP11" s="2" t="n">
        <v>210.9777777777778</v>
      </c>
      <c r="AQ11" s="2" t="n">
        <v>4219.555555555555</v>
      </c>
      <c r="AR11" s="2" t="n">
        <v>0</v>
      </c>
      <c r="AS11" s="2" t="n">
        <v>4167.63</v>
      </c>
      <c r="AT11" s="2" t="n">
        <v>389.49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7310.9</v>
      </c>
      <c r="BB11" s="2" t="n">
        <v>7310.9</v>
      </c>
      <c r="BC11" s="2">
        <f>F11+L11+R11+X11+AD11+AJ11+AP11+AV11+IF(BE11="",0,BE11)</f>
        <v/>
      </c>
      <c r="BD11" s="2" t="n">
        <v>112.58786</v>
      </c>
      <c r="BE11" s="2" t="n"/>
      <c r="BF11" s="2" t="n">
        <v>6769.351851851851</v>
      </c>
      <c r="BG11" s="2" t="n">
        <v>0</v>
      </c>
      <c r="BH11" s="2" t="n">
        <v>0</v>
      </c>
      <c r="BI11" s="2" t="n">
        <v>26868.14</v>
      </c>
      <c r="BJ11" s="2" t="n">
        <v>80.97958677685951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98.69714999999999</v>
      </c>
      <c r="BQ11" s="2" t="n">
        <v>0</v>
      </c>
      <c r="BR11" s="2" t="n">
        <v>27072.81673677686</v>
      </c>
      <c r="BS11" s="2" t="n">
        <v>778.1611570247934</v>
      </c>
      <c r="BT11" s="2" t="n">
        <v>0</v>
      </c>
      <c r="BU11" s="2" t="n">
        <v>5550.456148760331</v>
      </c>
      <c r="BV11" s="2" t="n">
        <v>6328.617305785125</v>
      </c>
      <c r="BW11" s="2" t="n">
        <v>33401.43404256198</v>
      </c>
      <c r="BX11" s="2" t="n">
        <v>6553.030000000001</v>
      </c>
      <c r="BY11" s="2" t="n">
        <v>757.87</v>
      </c>
      <c r="BZ11" s="2" t="n">
        <v>0</v>
      </c>
      <c r="CA11" s="2" t="n">
        <v>7310.900000000001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148</v>
      </c>
      <c r="L12" s="2" t="n">
        <v>12.31962962962963</v>
      </c>
      <c r="M12" s="2" t="n">
        <v>137.037037037037</v>
      </c>
      <c r="N12" s="2" t="n">
        <v>0</v>
      </c>
      <c r="O12" s="2" t="n">
        <v>148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1200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3771.45</v>
      </c>
      <c r="AP12" s="2" t="n">
        <v>3500</v>
      </c>
      <c r="AQ12" s="2" t="n">
        <v>3492.083333333333</v>
      </c>
      <c r="AR12" s="2" t="n">
        <v>0</v>
      </c>
      <c r="AS12" s="2" t="n">
        <v>3418.99</v>
      </c>
      <c r="AT12" s="2" t="n">
        <v>352.46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3919.45</v>
      </c>
      <c r="BB12" s="2" t="n">
        <v>3919.45</v>
      </c>
      <c r="BC12" s="2">
        <f>F12+L12+R12+X12+AD12+AJ12+AP12+AV12+IF(BE12="",0,BE12)</f>
        <v/>
      </c>
      <c r="BD12" s="2" t="n">
        <v>60.35953</v>
      </c>
      <c r="BE12" s="2" t="n"/>
      <c r="BF12" s="2" t="n">
        <v>3629.12037037037</v>
      </c>
      <c r="BG12" s="2" t="n">
        <v>0</v>
      </c>
      <c r="BH12" s="2" t="n">
        <v>0</v>
      </c>
      <c r="BI12" s="2" t="n">
        <v>26868.14</v>
      </c>
      <c r="BJ12" s="2" t="n">
        <v>80.97958677685951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52.912575</v>
      </c>
      <c r="BQ12" s="2" t="n">
        <v>0</v>
      </c>
      <c r="BR12" s="2" t="n">
        <v>27027.03216177686</v>
      </c>
      <c r="BS12" s="2" t="n">
        <v>778.1611570247934</v>
      </c>
      <c r="BT12" s="2" t="n">
        <v>0</v>
      </c>
      <c r="BU12" s="2" t="n">
        <v>5550.456148760331</v>
      </c>
      <c r="BV12" s="2" t="n">
        <v>6328.617305785125</v>
      </c>
      <c r="BW12" s="2" t="n">
        <v>33355.64946756198</v>
      </c>
      <c r="BX12" s="2" t="n">
        <v>3566.99</v>
      </c>
      <c r="BY12" s="2" t="n">
        <v>352.46</v>
      </c>
      <c r="BZ12" s="2" t="n">
        <v>0</v>
      </c>
      <c r="CA12" s="2" t="n">
        <v>3919.45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841.2900000000001</v>
      </c>
      <c r="F13" s="2" t="n">
        <v>54.52805555555557</v>
      </c>
      <c r="G13" s="2" t="n">
        <v>778.9722222222223</v>
      </c>
      <c r="H13" s="2" t="n">
        <v>0</v>
      </c>
      <c r="I13" s="2" t="n">
        <v>816.6900000000001</v>
      </c>
      <c r="J13" s="2" t="n">
        <v>24.6</v>
      </c>
      <c r="K13" s="2" t="n">
        <v>969.54</v>
      </c>
      <c r="L13" s="2" t="n">
        <v>80.70522777777778</v>
      </c>
      <c r="M13" s="2" t="n">
        <v>897.7222222222222</v>
      </c>
      <c r="N13" s="2" t="n">
        <v>0</v>
      </c>
      <c r="O13" s="2" t="n">
        <v>969.54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1200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4046.75</v>
      </c>
      <c r="AP13" s="2" t="n">
        <v>3740</v>
      </c>
      <c r="AQ13" s="2" t="n">
        <v>3746.99074074074</v>
      </c>
      <c r="AR13" s="2" t="n">
        <v>0</v>
      </c>
      <c r="AS13" s="2" t="n">
        <v>3390.68</v>
      </c>
      <c r="AT13" s="2" t="n">
        <v>656.0700000000001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5857.58</v>
      </c>
      <c r="BB13" s="2" t="n">
        <v>5857.58</v>
      </c>
      <c r="BC13" s="2">
        <f>F13+L13+R13+X13+AD13+AJ13+AP13+AV13+IF(BE13="",0,BE13)</f>
        <v/>
      </c>
      <c r="BD13" s="2" t="n">
        <v>90.206732</v>
      </c>
      <c r="BE13" s="2" t="n"/>
      <c r="BF13" s="2" t="n">
        <v>5423.685185185184</v>
      </c>
      <c r="BG13" s="2" t="n">
        <v>0</v>
      </c>
      <c r="BH13" s="2" t="n">
        <v>0</v>
      </c>
      <c r="BI13" s="2" t="n">
        <v>26868.14</v>
      </c>
      <c r="BJ13" s="2" t="n">
        <v>80.97958677685951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79.07732999999999</v>
      </c>
      <c r="BQ13" s="2" t="n">
        <v>0</v>
      </c>
      <c r="BR13" s="2" t="n">
        <v>27053.19691677686</v>
      </c>
      <c r="BS13" s="2" t="n">
        <v>778.1611570247934</v>
      </c>
      <c r="BT13" s="2" t="n">
        <v>0</v>
      </c>
      <c r="BU13" s="2" t="n">
        <v>5550.456148760331</v>
      </c>
      <c r="BV13" s="2" t="n">
        <v>6328.617305785125</v>
      </c>
      <c r="BW13" s="2" t="n">
        <v>33381.81422256198</v>
      </c>
      <c r="BX13" s="2" t="n">
        <v>5176.91</v>
      </c>
      <c r="BY13" s="2" t="n">
        <v>680.6700000000001</v>
      </c>
      <c r="BZ13" s="2" t="n">
        <v>0</v>
      </c>
      <c r="CA13" s="2" t="n">
        <v>5857.58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15390.39</v>
      </c>
      <c r="L14" s="2" t="n">
        <v>1281.107463888889</v>
      </c>
      <c r="M14" s="2" t="n">
        <v>14250.36111111111</v>
      </c>
      <c r="N14" s="2" t="n">
        <v>0</v>
      </c>
      <c r="O14" s="2" t="n">
        <v>13767.76</v>
      </c>
      <c r="P14" s="2" t="n">
        <v>1622.63</v>
      </c>
      <c r="Q14" s="2" t="n">
        <v>354.43</v>
      </c>
      <c r="R14" s="2" t="n">
        <v>24.61319444444444</v>
      </c>
      <c r="S14" s="2" t="n">
        <v>328.1759259259259</v>
      </c>
      <c r="T14" s="2" t="n">
        <v>0</v>
      </c>
      <c r="U14" s="2" t="n">
        <v>348.33</v>
      </c>
      <c r="V14" s="2" t="n">
        <v>6.1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1200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21560.95</v>
      </c>
      <c r="AP14" s="2" t="n">
        <v>4100</v>
      </c>
      <c r="AQ14" s="2" t="n">
        <v>19963.84259259259</v>
      </c>
      <c r="AR14" s="2" t="n">
        <v>0</v>
      </c>
      <c r="AS14" s="2" t="n">
        <v>20173.14</v>
      </c>
      <c r="AT14" s="2" t="n">
        <v>1387.81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37305.77</v>
      </c>
      <c r="BB14" s="2" t="n">
        <v>37305.77</v>
      </c>
      <c r="BC14" s="2">
        <f>F14+L14+R14+X14+AD14+AJ14+AP14+AV14+IF(BE14="",0,BE14)</f>
        <v/>
      </c>
      <c r="BD14" s="2" t="n">
        <v>574.508858</v>
      </c>
      <c r="BE14" s="2" t="n"/>
      <c r="BF14" s="2" t="n">
        <v>34542.37962962963</v>
      </c>
      <c r="BG14" s="2" t="n">
        <v>0</v>
      </c>
      <c r="BH14" s="2" t="n">
        <v>0</v>
      </c>
      <c r="BI14" s="2" t="n">
        <v>26868.14</v>
      </c>
      <c r="BJ14" s="2" t="n">
        <v>80.97958677685951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503.627895</v>
      </c>
      <c r="BQ14" s="2" t="n">
        <v>0</v>
      </c>
      <c r="BR14" s="2" t="n">
        <v>27477.74748177686</v>
      </c>
      <c r="BS14" s="2" t="n">
        <v>778.1611570247934</v>
      </c>
      <c r="BT14" s="2" t="n">
        <v>0</v>
      </c>
      <c r="BU14" s="2" t="n">
        <v>5550.456148760331</v>
      </c>
      <c r="BV14" s="2" t="n">
        <v>6328.617305785125</v>
      </c>
      <c r="BW14" s="2" t="n">
        <v>33806.36478756199</v>
      </c>
      <c r="BX14" s="2" t="n">
        <v>34289.23</v>
      </c>
      <c r="BY14" s="2" t="n">
        <v>3016.54</v>
      </c>
      <c r="BZ14" s="2" t="n">
        <v>0</v>
      </c>
      <c r="CA14" s="2" t="n">
        <v>37305.77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24.6</v>
      </c>
      <c r="F15" s="2" t="n">
        <v>1.594444444444445</v>
      </c>
      <c r="G15" s="2" t="n">
        <v>22.77777777777778</v>
      </c>
      <c r="H15" s="2" t="n">
        <v>0</v>
      </c>
      <c r="I15" s="2" t="n">
        <v>24.6</v>
      </c>
      <c r="J15" s="2" t="n">
        <v>0</v>
      </c>
      <c r="K15" s="2" t="n">
        <v>28</v>
      </c>
      <c r="L15" s="2" t="n">
        <v>2.330740740740741</v>
      </c>
      <c r="M15" s="2" t="n">
        <v>25.92592592592592</v>
      </c>
      <c r="N15" s="2" t="n">
        <v>0</v>
      </c>
      <c r="O15" s="2" t="n">
        <v>28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1200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3325.56</v>
      </c>
      <c r="AP15" s="2" t="n">
        <v>3500</v>
      </c>
      <c r="AQ15" s="2" t="n">
        <v>3079.222222222222</v>
      </c>
      <c r="AR15" s="2" t="n">
        <v>0</v>
      </c>
      <c r="AS15" s="2" t="n">
        <v>2893.92</v>
      </c>
      <c r="AT15" s="2" t="n">
        <v>431.64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3378.16</v>
      </c>
      <c r="BB15" s="2" t="n">
        <v>3378.16</v>
      </c>
      <c r="BC15" s="2">
        <f>F15+L15+R15+X15+AD15+AJ15+AP15+AV15+IF(BE15="",0,BE15)</f>
        <v/>
      </c>
      <c r="BD15" s="2" t="n">
        <v>52.023664</v>
      </c>
      <c r="BE15" s="2" t="n"/>
      <c r="BF15" s="2" t="n">
        <v>3127.925925925926</v>
      </c>
      <c r="BG15" s="2" t="n">
        <v>0</v>
      </c>
      <c r="BH15" s="2" t="n">
        <v>0</v>
      </c>
      <c r="BI15" s="2" t="n">
        <v>26868.14</v>
      </c>
      <c r="BJ15" s="2" t="n">
        <v>80.97958677685951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45.60516</v>
      </c>
      <c r="BQ15" s="2" t="n">
        <v>0</v>
      </c>
      <c r="BR15" s="2" t="n">
        <v>27019.72474677686</v>
      </c>
      <c r="BS15" s="2" t="n">
        <v>778.1611570247934</v>
      </c>
      <c r="BT15" s="2" t="n">
        <v>0</v>
      </c>
      <c r="BU15" s="2" t="n">
        <v>5550.456148760331</v>
      </c>
      <c r="BV15" s="2" t="n">
        <v>6328.617305785125</v>
      </c>
      <c r="BW15" s="2" t="n">
        <v>33348.34205256198</v>
      </c>
      <c r="BX15" s="2" t="n">
        <v>2946.52</v>
      </c>
      <c r="BY15" s="2" t="n">
        <v>431.64</v>
      </c>
      <c r="BZ15" s="2" t="n">
        <v>0</v>
      </c>
      <c r="CA15" s="2" t="n">
        <v>3378.16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9189.940000000001</v>
      </c>
      <c r="L16" s="2" t="n">
        <v>764.9774129629631</v>
      </c>
      <c r="M16" s="2" t="n">
        <v>8509.203703703704</v>
      </c>
      <c r="N16" s="2" t="n">
        <v>0</v>
      </c>
      <c r="O16" s="2" t="n">
        <v>8848.24</v>
      </c>
      <c r="P16" s="2" t="n">
        <v>341.7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24365.51</v>
      </c>
      <c r="X16" s="2" t="n">
        <v>750</v>
      </c>
      <c r="Y16" s="2" t="n">
        <v>22560.65740740741</v>
      </c>
      <c r="Z16" s="2" t="n">
        <v>0</v>
      </c>
      <c r="AA16" s="2" t="n">
        <v>23698</v>
      </c>
      <c r="AB16" s="2" t="n">
        <v>667.51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1200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3093.95</v>
      </c>
      <c r="AP16" s="2" t="n">
        <v>4150</v>
      </c>
      <c r="AQ16" s="2" t="n">
        <v>2864.768518518519</v>
      </c>
      <c r="AR16" s="2" t="n">
        <v>0</v>
      </c>
      <c r="AS16" s="2" t="n">
        <v>2837.76</v>
      </c>
      <c r="AT16" s="2" t="n">
        <v>256.19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36649.39999999999</v>
      </c>
      <c r="BB16" s="2" t="n">
        <v>36649.39999999999</v>
      </c>
      <c r="BC16" s="2">
        <f>F16+L16+R16+X16+AD16+AJ16+AP16+AV16+IF(BE16="",0,BE16)</f>
        <v/>
      </c>
      <c r="BD16" s="2" t="n">
        <v>518.1062909999999</v>
      </c>
      <c r="BE16" s="2" t="n"/>
      <c r="BF16" s="2" t="n">
        <v>33934.62962962963</v>
      </c>
      <c r="BG16" s="2" t="n">
        <v>1020</v>
      </c>
      <c r="BH16" s="2" t="n">
        <v>317.4</v>
      </c>
      <c r="BI16" s="2" t="n">
        <v>26868.14</v>
      </c>
      <c r="BJ16" s="2" t="n">
        <v>80.97958677685951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494.7669</v>
      </c>
      <c r="BQ16" s="2" t="n">
        <v>0</v>
      </c>
      <c r="BR16" s="2" t="n">
        <v>28806.28648677686</v>
      </c>
      <c r="BS16" s="2" t="n">
        <v>778.1611570247934</v>
      </c>
      <c r="BT16" s="2" t="n">
        <v>0</v>
      </c>
      <c r="BU16" s="2" t="n">
        <v>5817.936148760331</v>
      </c>
      <c r="BV16" s="2" t="n">
        <v>6596.097305785124</v>
      </c>
      <c r="BW16" s="2" t="n">
        <v>35402.38379256198</v>
      </c>
      <c r="BX16" s="2" t="n">
        <v>35384</v>
      </c>
      <c r="BY16" s="2" t="n">
        <v>1265.4</v>
      </c>
      <c r="BZ16" s="2" t="n">
        <v>0</v>
      </c>
      <c r="CA16" s="2" t="n">
        <v>36649.4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1200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1247.5</v>
      </c>
      <c r="AP17" s="2" t="n">
        <v>3500</v>
      </c>
      <c r="AQ17" s="2" t="n">
        <v>1155.092592592593</v>
      </c>
      <c r="AR17" s="2" t="n">
        <v>0</v>
      </c>
      <c r="AS17" s="2" t="n">
        <v>1241</v>
      </c>
      <c r="AT17" s="2" t="n">
        <v>6.5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1247.5</v>
      </c>
      <c r="BB17" s="2" t="n">
        <v>1247.5</v>
      </c>
      <c r="BC17" s="2">
        <f>F17+L17+R17+X17+AD17+AJ17+AP17+AV17+IF(BE17="",0,BE17)</f>
        <v/>
      </c>
      <c r="BD17" s="2" t="n">
        <v>19.2115</v>
      </c>
      <c r="BE17" s="2" t="n"/>
      <c r="BF17" s="2" t="n">
        <v>1155.092592592593</v>
      </c>
      <c r="BG17" s="2" t="n">
        <v>0</v>
      </c>
      <c r="BH17" s="2" t="n">
        <v>0</v>
      </c>
      <c r="BI17" s="2" t="n">
        <v>26868.14</v>
      </c>
      <c r="BJ17" s="2" t="n">
        <v>80.97958677685951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16.84125</v>
      </c>
      <c r="BQ17" s="2" t="n">
        <v>0</v>
      </c>
      <c r="BR17" s="2" t="n">
        <v>26990.96083677686</v>
      </c>
      <c r="BS17" s="2" t="n">
        <v>778.1611570247934</v>
      </c>
      <c r="BT17" s="2" t="n">
        <v>0</v>
      </c>
      <c r="BU17" s="2" t="n">
        <v>5550.456148760331</v>
      </c>
      <c r="BV17" s="2" t="n">
        <v>6328.617305785125</v>
      </c>
      <c r="BW17" s="2" t="n">
        <v>33319.57814256199</v>
      </c>
      <c r="BX17" s="2" t="n">
        <v>1241</v>
      </c>
      <c r="BY17" s="2" t="n">
        <v>6.5</v>
      </c>
      <c r="BZ17" s="2" t="n">
        <v>0</v>
      </c>
      <c r="CA17" s="2" t="n">
        <v>1247.5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9338.719999999999</v>
      </c>
      <c r="L18" s="2" t="n">
        <v>777.3619703703703</v>
      </c>
      <c r="M18" s="2" t="n">
        <v>8646.962962962962</v>
      </c>
      <c r="N18" s="2" t="n">
        <v>0</v>
      </c>
      <c r="O18" s="2" t="n">
        <v>9079.07</v>
      </c>
      <c r="P18" s="2" t="n">
        <v>259.65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1200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1767.7</v>
      </c>
      <c r="AP18" s="2" t="n">
        <v>4150</v>
      </c>
      <c r="AQ18" s="2" t="n">
        <v>1636.759259259259</v>
      </c>
      <c r="AR18" s="2" t="n">
        <v>0</v>
      </c>
      <c r="AS18" s="2" t="n">
        <v>1500.19</v>
      </c>
      <c r="AT18" s="2" t="n">
        <v>267.51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11106.42</v>
      </c>
      <c r="BB18" s="2" t="n">
        <v>11106.42</v>
      </c>
      <c r="BC18" s="2">
        <f>F18+L18+R18+X18+AD18+AJ18+AP18+AV18+IF(BE18="",0,BE18)</f>
        <v/>
      </c>
      <c r="BD18" s="2" t="n">
        <v>171.038868</v>
      </c>
      <c r="BE18" s="2" t="n"/>
      <c r="BF18" s="2" t="n">
        <v>10283.72222222222</v>
      </c>
      <c r="BG18" s="2" t="n">
        <v>0</v>
      </c>
      <c r="BH18" s="2" t="n">
        <v>0</v>
      </c>
      <c r="BI18" s="2" t="n">
        <v>26868.14</v>
      </c>
      <c r="BJ18" s="2" t="n">
        <v>80.97958677685951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149.93667</v>
      </c>
      <c r="BQ18" s="2" t="n">
        <v>0</v>
      </c>
      <c r="BR18" s="2" t="n">
        <v>27124.05625677686</v>
      </c>
      <c r="BS18" s="2" t="n">
        <v>778.1611570247934</v>
      </c>
      <c r="BT18" s="2" t="n">
        <v>0</v>
      </c>
      <c r="BU18" s="2" t="n">
        <v>5550.456148760331</v>
      </c>
      <c r="BV18" s="2" t="n">
        <v>6328.617305785125</v>
      </c>
      <c r="BW18" s="2" t="n">
        <v>33452.67356256198</v>
      </c>
      <c r="BX18" s="2" t="n">
        <v>10579.26</v>
      </c>
      <c r="BY18" s="2" t="n">
        <v>527.16</v>
      </c>
      <c r="BZ18" s="2" t="n">
        <v>0</v>
      </c>
      <c r="CA18" s="2" t="n">
        <v>11106.42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5721.84</v>
      </c>
      <c r="L19" s="2" t="n">
        <v>476.2902</v>
      </c>
      <c r="M19" s="2" t="n">
        <v>5298</v>
      </c>
      <c r="N19" s="2" t="n">
        <v>0</v>
      </c>
      <c r="O19" s="2" t="n">
        <v>5432.95</v>
      </c>
      <c r="P19" s="2" t="n">
        <v>288.89</v>
      </c>
      <c r="Q19" s="2" t="n">
        <v>14994.43</v>
      </c>
      <c r="R19" s="2" t="n">
        <v>1041.279861111111</v>
      </c>
      <c r="S19" s="2" t="n">
        <v>13883.73148148148</v>
      </c>
      <c r="T19" s="2" t="n">
        <v>0</v>
      </c>
      <c r="U19" s="2" t="n">
        <v>14658.04</v>
      </c>
      <c r="V19" s="2" t="n">
        <v>336.39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6924.150000000001</v>
      </c>
      <c r="AP19" s="2" t="n">
        <v>4150</v>
      </c>
      <c r="AQ19" s="2" t="n">
        <v>6411.25</v>
      </c>
      <c r="AR19" s="2" t="n">
        <v>0</v>
      </c>
      <c r="AS19" s="2" t="n">
        <v>6582.85</v>
      </c>
      <c r="AT19" s="2" t="n">
        <v>341.3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27640.42</v>
      </c>
      <c r="BB19" s="2" t="n">
        <v>27640.42</v>
      </c>
      <c r="BC19" s="2">
        <f>F19+L19+R19+X19+AD19+AJ19+AP19+AV19+IF(BE19="",0,BE19)</f>
        <v/>
      </c>
      <c r="BD19" s="2" t="n">
        <v>425.662468</v>
      </c>
      <c r="BE19" s="2" t="n"/>
      <c r="BF19" s="2" t="n">
        <v>25592.98148148148</v>
      </c>
      <c r="BG19" s="2" t="n">
        <v>0</v>
      </c>
      <c r="BH19" s="2" t="n">
        <v>0</v>
      </c>
      <c r="BI19" s="2" t="n">
        <v>26868.14</v>
      </c>
      <c r="BJ19" s="2" t="n">
        <v>80.97958677685951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373.14567</v>
      </c>
      <c r="BQ19" s="2" t="n">
        <v>0</v>
      </c>
      <c r="BR19" s="2" t="n">
        <v>27347.26525677686</v>
      </c>
      <c r="BS19" s="2" t="n">
        <v>778.1611570247934</v>
      </c>
      <c r="BT19" s="2" t="n">
        <v>0</v>
      </c>
      <c r="BU19" s="2" t="n">
        <v>5550.456148760331</v>
      </c>
      <c r="BV19" s="2" t="n">
        <v>6328.617305785125</v>
      </c>
      <c r="BW19" s="2" t="n">
        <v>33675.88256256199</v>
      </c>
      <c r="BX19" s="2" t="n">
        <v>26673.84</v>
      </c>
      <c r="BY19" s="2" t="n">
        <v>966.5799999999999</v>
      </c>
      <c r="BZ19" s="2" t="n">
        <v>0</v>
      </c>
      <c r="CA19" s="2" t="n">
        <v>27640.42000000001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1119</v>
      </c>
      <c r="B20" t="inlineStr">
        <is>
          <t>Glogow</t>
        </is>
      </c>
      <c r="C20" t="inlineStr"/>
      <c r="D20" t="inlineStr"/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1052.93</v>
      </c>
      <c r="L20" s="2" t="n">
        <v>87.64667314814815</v>
      </c>
      <c r="M20" s="2" t="n">
        <v>974.9351851851852</v>
      </c>
      <c r="N20" s="2" t="n">
        <v>0</v>
      </c>
      <c r="O20" s="2" t="n">
        <v>891.49</v>
      </c>
      <c r="P20" s="2" t="n">
        <v>161.44</v>
      </c>
      <c r="Q20" s="2" t="n">
        <v>3259.49</v>
      </c>
      <c r="R20" s="2" t="n">
        <v>226.3534722222222</v>
      </c>
      <c r="S20" s="2" t="n">
        <v>3018.046296296296</v>
      </c>
      <c r="T20" s="2" t="n">
        <v>0</v>
      </c>
      <c r="U20" s="2" t="n">
        <v>3079.54</v>
      </c>
      <c r="V20" s="2" t="n">
        <v>179.95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405.44</v>
      </c>
      <c r="AP20" s="2" t="n">
        <v>4150</v>
      </c>
      <c r="AQ20" s="2" t="n">
        <v>375.4074074074074</v>
      </c>
      <c r="AR20" s="2" t="n">
        <v>0</v>
      </c>
      <c r="AS20" s="2" t="n">
        <v>392.44</v>
      </c>
      <c r="AT20" s="2" t="n">
        <v>13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4717.86</v>
      </c>
      <c r="BB20" s="2" t="n">
        <v>4717.86</v>
      </c>
      <c r="BC20" s="2">
        <f>F20+L20+R20+X20+AD20+AJ20+AP20+AV20+IF(BE20="",0,BE20)</f>
        <v/>
      </c>
      <c r="BD20" s="2" t="n">
        <v>72.655044</v>
      </c>
      <c r="BE20" s="2" t="n"/>
      <c r="BF20" s="2" t="n">
        <v>4368.388888888889</v>
      </c>
      <c r="BG20" s="2" t="n">
        <v>0</v>
      </c>
      <c r="BH20" s="2" t="n">
        <v>0</v>
      </c>
      <c r="BI20" s="2" t="n">
        <v>26868.14</v>
      </c>
      <c r="BJ20" s="2" t="n">
        <v>80.97958677685951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63.69110999999999</v>
      </c>
      <c r="BQ20" s="2" t="n">
        <v>0</v>
      </c>
      <c r="BR20" s="2" t="n">
        <v>27037.81069677686</v>
      </c>
      <c r="BS20" s="2" t="n">
        <v>778.1611570247934</v>
      </c>
      <c r="BT20" s="2" t="n">
        <v>0</v>
      </c>
      <c r="BU20" s="2" t="n">
        <v>5550.456148760331</v>
      </c>
      <c r="BV20" s="2" t="n">
        <v>6328.617305785125</v>
      </c>
      <c r="BW20" s="2" t="n">
        <v>33366.42800256198</v>
      </c>
      <c r="BX20" s="2" t="n">
        <v>4363.469999999999</v>
      </c>
      <c r="BY20" s="2" t="n">
        <v>354.39</v>
      </c>
      <c r="BZ20" s="2" t="n">
        <v>0</v>
      </c>
      <c r="CA20" s="2" t="n">
        <v>4717.86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1120</v>
      </c>
      <c r="B21" t="inlineStr">
        <is>
          <t>Dworcowa 1, 47-220 Kędzierzyn-Koźle</t>
        </is>
      </c>
      <c r="C21" t="inlineStr">
        <is>
          <t>Kędzierzyn-Koźle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2219.1</v>
      </c>
      <c r="L21" s="2" t="n">
        <v>184.7195277777778</v>
      </c>
      <c r="M21" s="2" t="n">
        <v>2054.722222222222</v>
      </c>
      <c r="N21" s="2" t="n">
        <v>0</v>
      </c>
      <c r="O21" s="2" t="n">
        <v>2168.1</v>
      </c>
      <c r="P21" s="2" t="n">
        <v>51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3320.12</v>
      </c>
      <c r="AP21" s="2" t="n">
        <v>4150</v>
      </c>
      <c r="AQ21" s="2" t="n">
        <v>3074.185185185185</v>
      </c>
      <c r="AR21" s="2" t="n">
        <v>0</v>
      </c>
      <c r="AS21" s="2" t="n">
        <v>3125.91</v>
      </c>
      <c r="AT21" s="2" t="n">
        <v>194.21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5539.219999999999</v>
      </c>
      <c r="BB21" s="2" t="n">
        <v>5539.219999999999</v>
      </c>
      <c r="BC21" s="2">
        <f>F21+L21+R21+X21+AD21+AJ21+AP21+AV21+IF(BE21="",0,BE21)</f>
        <v/>
      </c>
      <c r="BD21" s="2" t="n">
        <v>85.303988</v>
      </c>
      <c r="BE21" s="2" t="n"/>
      <c r="BF21" s="2" t="n">
        <v>5128.907407407407</v>
      </c>
      <c r="BG21" s="2" t="n">
        <v>0</v>
      </c>
      <c r="BH21" s="2" t="n">
        <v>0</v>
      </c>
      <c r="BI21" s="2" t="n">
        <v>26868.14</v>
      </c>
      <c r="BJ21" s="2" t="n">
        <v>80.97958677685951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74.77946999999999</v>
      </c>
      <c r="BQ21" s="2" t="n">
        <v>0</v>
      </c>
      <c r="BR21" s="2" t="n">
        <v>27048.89905677686</v>
      </c>
      <c r="BS21" s="2" t="n">
        <v>778.1611570247934</v>
      </c>
      <c r="BT21" s="2" t="n">
        <v>0</v>
      </c>
      <c r="BU21" s="2" t="n">
        <v>5550.456148760331</v>
      </c>
      <c r="BV21" s="2" t="n">
        <v>6328.617305785125</v>
      </c>
      <c r="BW21" s="2" t="n">
        <v>33377.51636256198</v>
      </c>
      <c r="BX21" s="2" t="n">
        <v>5294.01</v>
      </c>
      <c r="BY21" s="2" t="n">
        <v>245.21</v>
      </c>
      <c r="BZ21" s="2" t="n">
        <v>0</v>
      </c>
      <c r="CA21" s="2" t="n">
        <v>5539.22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1121</v>
      </c>
      <c r="B22" t="inlineStr">
        <is>
          <t>pl. Dworcowy, 47-320 Gogolin</t>
        </is>
      </c>
      <c r="C22" t="inlineStr">
        <is>
          <t>Gogolin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912.1700000000001</v>
      </c>
      <c r="L22" s="2" t="n">
        <v>75.92970648148149</v>
      </c>
      <c r="M22" s="2" t="n">
        <v>844.6018518518518</v>
      </c>
      <c r="N22" s="2" t="n">
        <v>0</v>
      </c>
      <c r="O22" s="2" t="n">
        <v>772.49</v>
      </c>
      <c r="P22" s="2" t="n">
        <v>139.68</v>
      </c>
      <c r="Q22" s="2" t="n">
        <v>34.8</v>
      </c>
      <c r="R22" s="2" t="n">
        <v>2.416666666666666</v>
      </c>
      <c r="S22" s="2" t="n">
        <v>32.22222222222221</v>
      </c>
      <c r="T22" s="2" t="n">
        <v>0</v>
      </c>
      <c r="U22" s="2" t="n">
        <v>34.8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3468.44</v>
      </c>
      <c r="AP22" s="2" t="n">
        <v>8300</v>
      </c>
      <c r="AQ22" s="2" t="n">
        <v>3211.518518518518</v>
      </c>
      <c r="AR22" s="2" t="n">
        <v>0</v>
      </c>
      <c r="AS22" s="2" t="n">
        <v>3234.22</v>
      </c>
      <c r="AT22" s="2" t="n">
        <v>234.22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4415.41</v>
      </c>
      <c r="BB22" s="2" t="n">
        <v>4415.41</v>
      </c>
      <c r="BC22" s="2">
        <f>F22+L22+R22+X22+AD22+AJ22+AP22+AV22+IF(BE22="",0,BE22)</f>
        <v/>
      </c>
      <c r="BD22" s="2" t="n">
        <v>67.997314</v>
      </c>
      <c r="BE22" s="2" t="n"/>
      <c r="BF22" s="2" t="n">
        <v>4088.342592592592</v>
      </c>
      <c r="BG22" s="2" t="n">
        <v>0</v>
      </c>
      <c r="BH22" s="2" t="n">
        <v>0</v>
      </c>
      <c r="BI22" s="2" t="n">
        <v>26868.14</v>
      </c>
      <c r="BJ22" s="2" t="n">
        <v>80.97958677685951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59.60803499999999</v>
      </c>
      <c r="BQ22" s="2" t="n">
        <v>0</v>
      </c>
      <c r="BR22" s="2" t="n">
        <v>27033.72762177686</v>
      </c>
      <c r="BS22" s="2" t="n">
        <v>778.1611570247934</v>
      </c>
      <c r="BT22" s="2" t="n">
        <v>0</v>
      </c>
      <c r="BU22" s="2" t="n">
        <v>5550.456148760331</v>
      </c>
      <c r="BV22" s="2" t="n">
        <v>6328.617305785125</v>
      </c>
      <c r="BW22" s="2" t="n">
        <v>33362.34492756199</v>
      </c>
      <c r="BX22" s="2" t="n">
        <v>4041.51</v>
      </c>
      <c r="BY22" s="2" t="n">
        <v>373.9</v>
      </c>
      <c r="BZ22" s="2" t="n">
        <v>0</v>
      </c>
      <c r="CA22" s="2" t="n">
        <v>4415.41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1122</v>
      </c>
      <c r="B23" t="inlineStr">
        <is>
          <t>Elblag</t>
        </is>
      </c>
      <c r="C23" t="inlineStr">
        <is>
          <t>Gdańsk Główny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233.08</v>
      </c>
      <c r="L23" s="2" t="n">
        <v>19.40175185185185</v>
      </c>
      <c r="M23" s="2" t="n">
        <v>215.8148148148148</v>
      </c>
      <c r="N23" s="2" t="n">
        <v>0</v>
      </c>
      <c r="O23" s="2" t="n">
        <v>218.08</v>
      </c>
      <c r="P23" s="2" t="n">
        <v>15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1200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863.13</v>
      </c>
      <c r="AP23" s="2" t="n">
        <v>3500</v>
      </c>
      <c r="AQ23" s="2" t="n">
        <v>799.1944444444443</v>
      </c>
      <c r="AR23" s="2" t="n">
        <v>0</v>
      </c>
      <c r="AS23" s="2" t="n">
        <v>800.4299999999999</v>
      </c>
      <c r="AT23" s="2" t="n">
        <v>62.7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1096.21</v>
      </c>
      <c r="BB23" s="2" t="n">
        <v>1096.21</v>
      </c>
      <c r="BC23" s="2">
        <f>F23+L23+R23+X23+AD23+AJ23+AP23+AV23+IF(BE23="",0,BE23)</f>
        <v/>
      </c>
      <c r="BD23" s="2" t="n">
        <v>16.881634</v>
      </c>
      <c r="BE23" s="2" t="n"/>
      <c r="BF23" s="2" t="n">
        <v>1015.009259259259</v>
      </c>
      <c r="BG23" s="2" t="n">
        <v>0</v>
      </c>
      <c r="BH23" s="2" t="n">
        <v>0</v>
      </c>
      <c r="BI23" s="2" t="n">
        <v>26868.14</v>
      </c>
      <c r="BJ23" s="2" t="n">
        <v>80.97958677685951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14.798835</v>
      </c>
      <c r="BQ23" s="2" t="n">
        <v>0</v>
      </c>
      <c r="BR23" s="2" t="n">
        <v>26988.91842177686</v>
      </c>
      <c r="BS23" s="2" t="n">
        <v>778.1611570247934</v>
      </c>
      <c r="BT23" s="2" t="n">
        <v>0</v>
      </c>
      <c r="BU23" s="2" t="n">
        <v>5550.456148760331</v>
      </c>
      <c r="BV23" s="2" t="n">
        <v>6328.617305785125</v>
      </c>
      <c r="BW23" s="2" t="n">
        <v>33317.53572756198</v>
      </c>
      <c r="BX23" s="2" t="n">
        <v>1018.51</v>
      </c>
      <c r="BY23" s="2" t="n">
        <v>77.7</v>
      </c>
      <c r="BZ23" s="2" t="n">
        <v>0</v>
      </c>
      <c r="CA23" s="2" t="n">
        <v>1096.21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1123</v>
      </c>
      <c r="B24" t="inlineStr">
        <is>
          <t>Dmowskiego 1, 80-264 Gdańsk</t>
        </is>
      </c>
      <c r="C24" t="inlineStr">
        <is>
          <t>Gdańsk Wrzeszcz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11552.96</v>
      </c>
      <c r="L24" s="2" t="n">
        <v>961.6769481481483</v>
      </c>
      <c r="M24" s="2" t="n">
        <v>10697.18518518519</v>
      </c>
      <c r="N24" s="2" t="n">
        <v>0</v>
      </c>
      <c r="O24" s="2" t="n">
        <v>10956.53</v>
      </c>
      <c r="P24" s="2" t="n">
        <v>596.4299999999999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1200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15261.41</v>
      </c>
      <c r="AP24" s="2" t="n">
        <v>3500</v>
      </c>
      <c r="AQ24" s="2" t="n">
        <v>14130.93518518518</v>
      </c>
      <c r="AR24" s="2" t="n">
        <v>0</v>
      </c>
      <c r="AS24" s="2" t="n">
        <v>14439.06</v>
      </c>
      <c r="AT24" s="2" t="n">
        <v>822.35</v>
      </c>
      <c r="AU24" s="2" t="n">
        <v>7256.6</v>
      </c>
      <c r="AV24" s="2" t="n">
        <v>201.5722222222222</v>
      </c>
      <c r="AW24" s="2" t="n">
        <v>6719.074074074074</v>
      </c>
      <c r="AX24" s="2" t="n">
        <v>0</v>
      </c>
      <c r="AY24" s="2" t="n">
        <v>7019.75</v>
      </c>
      <c r="AZ24" s="2" t="n">
        <v>236.85</v>
      </c>
      <c r="BA24" s="2" t="n">
        <v>34070.97</v>
      </c>
      <c r="BB24" s="2" t="n">
        <v>34070.97</v>
      </c>
      <c r="BC24" s="2">
        <f>F24+L24+R24+X24+AD24+AJ24+AP24+AV24+IF(BE24="",0,BE24)</f>
        <v/>
      </c>
      <c r="BD24" s="2" t="n">
        <v>524.692938</v>
      </c>
      <c r="BE24" s="2" t="n"/>
      <c r="BF24" s="2" t="n">
        <v>31547.19444444445</v>
      </c>
      <c r="BG24" s="2" t="n">
        <v>0</v>
      </c>
      <c r="BH24" s="2" t="n">
        <v>0</v>
      </c>
      <c r="BI24" s="2" t="n">
        <v>26868.14</v>
      </c>
      <c r="BJ24" s="2" t="n">
        <v>80.97958677685951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459.9580950000001</v>
      </c>
      <c r="BQ24" s="2" t="n">
        <v>0</v>
      </c>
      <c r="BR24" s="2" t="n">
        <v>27434.07768177686</v>
      </c>
      <c r="BS24" s="2" t="n">
        <v>778.1611570247934</v>
      </c>
      <c r="BT24" s="2" t="n">
        <v>0</v>
      </c>
      <c r="BU24" s="2" t="n">
        <v>5550.456148760331</v>
      </c>
      <c r="BV24" s="2" t="n">
        <v>6328.617305785125</v>
      </c>
      <c r="BW24" s="2" t="n">
        <v>33762.69498756198</v>
      </c>
      <c r="BX24" s="2" t="n">
        <v>32415.34</v>
      </c>
      <c r="BY24" s="2" t="n">
        <v>1655.63</v>
      </c>
      <c r="BZ24" s="2" t="n">
        <v>0</v>
      </c>
      <c r="CA24" s="2" t="n">
        <v>34070.97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1124</v>
      </c>
      <c r="B25" t="inlineStr">
        <is>
          <t>Zwierzyn (Strzelce Krajenskie)</t>
        </is>
      </c>
      <c r="C25" t="inlineStr"/>
      <c r="D25" t="inlineStr"/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151.88</v>
      </c>
      <c r="L25" s="2" t="n">
        <v>12.6426037037037</v>
      </c>
      <c r="M25" s="2" t="n">
        <v>140.6296296296296</v>
      </c>
      <c r="N25" s="2" t="n">
        <v>0</v>
      </c>
      <c r="O25" s="2" t="n">
        <v>134.4</v>
      </c>
      <c r="P25" s="2" t="n">
        <v>17.48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1200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2390.16</v>
      </c>
      <c r="AP25" s="2" t="n">
        <v>4200</v>
      </c>
      <c r="AQ25" s="2" t="n">
        <v>2213.111111111111</v>
      </c>
      <c r="AR25" s="2" t="n">
        <v>0</v>
      </c>
      <c r="AS25" s="2" t="n">
        <v>2104.9</v>
      </c>
      <c r="AT25" s="2" t="n">
        <v>285.26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2542.04</v>
      </c>
      <c r="BB25" s="2" t="n">
        <v>2542.04</v>
      </c>
      <c r="BC25" s="2">
        <f>F25+L25+R25+X25+AD25+AJ25+AP25+AV25+IF(BE25="",0,BE25)</f>
        <v/>
      </c>
      <c r="BD25" s="2" t="n">
        <v>39.147416</v>
      </c>
      <c r="BE25" s="2" t="n"/>
      <c r="BF25" s="2" t="n">
        <v>2353.74074074074</v>
      </c>
      <c r="BG25" s="2" t="n">
        <v>0</v>
      </c>
      <c r="BH25" s="2" t="n">
        <v>0</v>
      </c>
      <c r="BI25" s="2" t="n">
        <v>26868.14</v>
      </c>
      <c r="BJ25" s="2" t="n">
        <v>80.97958677685951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34.31753999999999</v>
      </c>
      <c r="BQ25" s="2" t="n">
        <v>0</v>
      </c>
      <c r="BR25" s="2" t="n">
        <v>27008.43712677686</v>
      </c>
      <c r="BS25" s="2" t="n">
        <v>778.1611570247934</v>
      </c>
      <c r="BT25" s="2" t="n">
        <v>0</v>
      </c>
      <c r="BU25" s="2" t="n">
        <v>5550.456148760331</v>
      </c>
      <c r="BV25" s="2" t="n">
        <v>6328.617305785125</v>
      </c>
      <c r="BW25" s="2" t="n">
        <v>33337.05443256198</v>
      </c>
      <c r="BX25" s="2" t="n">
        <v>2239.3</v>
      </c>
      <c r="BY25" s="2" t="n">
        <v>302.74</v>
      </c>
      <c r="BZ25" s="2" t="n">
        <v>0</v>
      </c>
      <c r="CA25" s="2" t="n">
        <v>2542.04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1125</v>
      </c>
      <c r="B26" t="inlineStr">
        <is>
          <t>Czestochowa</t>
        </is>
      </c>
      <c r="C26" t="inlineStr">
        <is>
          <t>Koluszki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1780.27</v>
      </c>
      <c r="L26" s="2" t="n">
        <v>148.1909935185185</v>
      </c>
      <c r="M26" s="2" t="n">
        <v>1648.398148148148</v>
      </c>
      <c r="N26" s="2" t="n">
        <v>0</v>
      </c>
      <c r="O26" s="2" t="n">
        <v>1663.87</v>
      </c>
      <c r="P26" s="2" t="n">
        <v>116.4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93.5</v>
      </c>
      <c r="AJ26" s="2" t="n">
        <v>0</v>
      </c>
      <c r="AK26" s="2" t="n">
        <v>86.57407407407406</v>
      </c>
      <c r="AL26" s="2" t="n">
        <v>0</v>
      </c>
      <c r="AM26" s="2" t="n">
        <v>87.33</v>
      </c>
      <c r="AN26" s="2" t="n">
        <v>6.17</v>
      </c>
      <c r="AO26" s="2" t="n">
        <v>2224.83</v>
      </c>
      <c r="AP26" s="2" t="n">
        <v>4200</v>
      </c>
      <c r="AQ26" s="2" t="n">
        <v>2060.027777777777</v>
      </c>
      <c r="AR26" s="2" t="n">
        <v>0</v>
      </c>
      <c r="AS26" s="2" t="n">
        <v>2026.53</v>
      </c>
      <c r="AT26" s="2" t="n">
        <v>198.3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4098.6</v>
      </c>
      <c r="BB26" s="2" t="n">
        <v>4098.6</v>
      </c>
      <c r="BC26" s="2">
        <f>F26+L26+R26+X26+AD26+AJ26+AP26+AV26+IF(BE26="",0,BE26)</f>
        <v/>
      </c>
      <c r="BD26" s="2" t="n">
        <v>63.11844000000001</v>
      </c>
      <c r="BE26" s="2" t="n"/>
      <c r="BF26" s="2" t="n">
        <v>3795</v>
      </c>
      <c r="BG26" s="2" t="n">
        <v>0</v>
      </c>
      <c r="BH26" s="2" t="n">
        <v>0</v>
      </c>
      <c r="BI26" s="2" t="n">
        <v>26868.14</v>
      </c>
      <c r="BJ26" s="2" t="n">
        <v>80.97958677685951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55.3311</v>
      </c>
      <c r="BQ26" s="2" t="n">
        <v>0</v>
      </c>
      <c r="BR26" s="2" t="n">
        <v>27029.45068677686</v>
      </c>
      <c r="BS26" s="2" t="n">
        <v>778.1611570247934</v>
      </c>
      <c r="BT26" s="2" t="n">
        <v>0</v>
      </c>
      <c r="BU26" s="2" t="n">
        <v>5550.456148760331</v>
      </c>
      <c r="BV26" s="2" t="n">
        <v>6328.617305785125</v>
      </c>
      <c r="BW26" s="2" t="n">
        <v>33358.06799256198</v>
      </c>
      <c r="BX26" s="2" t="n">
        <v>3777.73</v>
      </c>
      <c r="BY26" s="2" t="n">
        <v>320.87</v>
      </c>
      <c r="BZ26" s="2" t="n">
        <v>0</v>
      </c>
      <c r="CA26" s="2" t="n">
        <v>4098.599999999999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1126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24436.46</v>
      </c>
      <c r="L27" s="2" t="n">
        <v>2034.109031481481</v>
      </c>
      <c r="M27" s="2" t="n">
        <v>22626.35185185185</v>
      </c>
      <c r="N27" s="2" t="n">
        <v>0</v>
      </c>
      <c r="O27" s="2" t="n">
        <v>22503.02</v>
      </c>
      <c r="P27" s="2" t="n">
        <v>1933.44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991.04</v>
      </c>
      <c r="AJ27" s="2" t="n">
        <v>0</v>
      </c>
      <c r="AK27" s="2" t="n">
        <v>917.6296296296296</v>
      </c>
      <c r="AL27" s="2" t="n">
        <v>0</v>
      </c>
      <c r="AM27" s="2" t="n">
        <v>831.04</v>
      </c>
      <c r="AN27" s="2" t="n">
        <v>160</v>
      </c>
      <c r="AO27" s="2" t="n">
        <v>626.85</v>
      </c>
      <c r="AP27" s="2" t="n">
        <v>45.85291666666667</v>
      </c>
      <c r="AQ27" s="2" t="n">
        <v>580.4166666666666</v>
      </c>
      <c r="AR27" s="2" t="n">
        <v>0</v>
      </c>
      <c r="AS27" s="2" t="n">
        <v>572.01</v>
      </c>
      <c r="AT27" s="2" t="n">
        <v>54.84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26054.35</v>
      </c>
      <c r="BB27" s="2" t="n">
        <v>26054.35</v>
      </c>
      <c r="BC27" s="2">
        <f>F27+L27+R27+X27+AD27+AJ27+AP27+AV27+IF(BE27="",0,BE27)</f>
        <v/>
      </c>
      <c r="BD27" s="2" t="n">
        <v>401.23699</v>
      </c>
      <c r="BE27" s="2" t="n"/>
      <c r="BF27" s="2" t="n">
        <v>24124.39814814815</v>
      </c>
      <c r="BG27" s="2" t="n">
        <v>857.64</v>
      </c>
      <c r="BH27" s="2" t="n">
        <v>263.52</v>
      </c>
      <c r="BI27" s="2" t="n">
        <v>26868.14</v>
      </c>
      <c r="BJ27" s="2" t="n">
        <v>80.97958677685951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351.7337249999999</v>
      </c>
      <c r="BQ27" s="2" t="n">
        <v>0</v>
      </c>
      <c r="BR27" s="2" t="n">
        <v>28447.01331177686</v>
      </c>
      <c r="BS27" s="2" t="n">
        <v>778.1611570247934</v>
      </c>
      <c r="BT27" s="2" t="n">
        <v>0</v>
      </c>
      <c r="BU27" s="2" t="n">
        <v>5774.688148760331</v>
      </c>
      <c r="BV27" s="2" t="n">
        <v>6552.849305785125</v>
      </c>
      <c r="BW27" s="2" t="n">
        <v>34999.86261756198</v>
      </c>
      <c r="BX27" s="2" t="n">
        <v>23906.07</v>
      </c>
      <c r="BY27" s="2" t="n">
        <v>2148.28</v>
      </c>
      <c r="BZ27" s="2" t="n">
        <v>0</v>
      </c>
      <c r="CA27" s="2" t="n">
        <v>26054.35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1127</v>
      </c>
      <c r="B28" t="inlineStr">
        <is>
          <t>Warszawa Centralna</t>
        </is>
      </c>
      <c r="C28" t="inlineStr">
        <is>
          <t>Warszawa Centralna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24039.45</v>
      </c>
      <c r="L28" s="2" t="n">
        <v>2001.061625</v>
      </c>
      <c r="M28" s="2" t="n">
        <v>22258.75</v>
      </c>
      <c r="N28" s="2" t="n">
        <v>0</v>
      </c>
      <c r="O28" s="2" t="n">
        <v>22387.07</v>
      </c>
      <c r="P28" s="2" t="n">
        <v>1652.38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904.89</v>
      </c>
      <c r="AJ28" s="2" t="n">
        <v>0</v>
      </c>
      <c r="AK28" s="2" t="n">
        <v>837.8611111111111</v>
      </c>
      <c r="AL28" s="2" t="n">
        <v>0</v>
      </c>
      <c r="AM28" s="2" t="n">
        <v>796.89</v>
      </c>
      <c r="AN28" s="2" t="n">
        <v>108</v>
      </c>
      <c r="AO28" s="2" t="n">
        <v>652.02</v>
      </c>
      <c r="AP28" s="2" t="n">
        <v>47.69405555555555</v>
      </c>
      <c r="AQ28" s="2" t="n">
        <v>603.7222222222222</v>
      </c>
      <c r="AR28" s="2" t="n">
        <v>0</v>
      </c>
      <c r="AS28" s="2" t="n">
        <v>513.3</v>
      </c>
      <c r="AT28" s="2" t="n">
        <v>138.72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25596.36</v>
      </c>
      <c r="BB28" s="2" t="n">
        <v>25596.36</v>
      </c>
      <c r="BC28" s="2">
        <f>F28+L28+R28+X28+AD28+AJ28+AP28+AV28+IF(BE28="",0,BE28)</f>
        <v/>
      </c>
      <c r="BD28" s="2" t="n">
        <v>394.1839440000001</v>
      </c>
      <c r="BE28" s="2" t="n"/>
      <c r="BF28" s="2" t="n">
        <v>23700.33333333333</v>
      </c>
      <c r="BG28" s="2" t="n">
        <v>857.64</v>
      </c>
      <c r="BH28" s="2" t="n">
        <v>263.52</v>
      </c>
      <c r="BI28" s="2" t="n">
        <v>26868.14</v>
      </c>
      <c r="BJ28" s="2" t="n">
        <v>80.97958677685951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345.5508600000001</v>
      </c>
      <c r="BQ28" s="2" t="n">
        <v>0</v>
      </c>
      <c r="BR28" s="2" t="n">
        <v>28440.83044677686</v>
      </c>
      <c r="BS28" s="2" t="n">
        <v>778.1611570247934</v>
      </c>
      <c r="BT28" s="2" t="n">
        <v>0</v>
      </c>
      <c r="BU28" s="2" t="n">
        <v>5774.688148760331</v>
      </c>
      <c r="BV28" s="2" t="n">
        <v>6552.849305785125</v>
      </c>
      <c r="BW28" s="2" t="n">
        <v>34993.67975256198</v>
      </c>
      <c r="BX28" s="2" t="n">
        <v>23697.26</v>
      </c>
      <c r="BY28" s="2" t="n">
        <v>1899.1</v>
      </c>
      <c r="BZ28" s="2" t="n">
        <v>0</v>
      </c>
      <c r="CA28" s="2" t="n">
        <v>25596.36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1128</v>
      </c>
      <c r="B29" t="inlineStr">
        <is>
          <t>Wojska Polskiego 109, 64-761 Krzyż Wielkopolski</t>
        </is>
      </c>
      <c r="C29" t="inlineStr">
        <is>
          <t>Krzyż Wielkopolski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2447.12</v>
      </c>
      <c r="L29" s="2" t="n">
        <v>203.7000814814815</v>
      </c>
      <c r="M29" s="2" t="n">
        <v>2265.851851851852</v>
      </c>
      <c r="N29" s="2" t="n">
        <v>0</v>
      </c>
      <c r="O29" s="2" t="n">
        <v>2178.4</v>
      </c>
      <c r="P29" s="2" t="n">
        <v>268.72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343.66</v>
      </c>
      <c r="AD29" s="2" t="n">
        <v>21.95605555555555</v>
      </c>
      <c r="AE29" s="2" t="n">
        <v>318.2037037037036</v>
      </c>
      <c r="AF29" s="2" t="n">
        <v>0</v>
      </c>
      <c r="AG29" s="2" t="n">
        <v>214.48</v>
      </c>
      <c r="AH29" s="2" t="n">
        <v>129.18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2402.07</v>
      </c>
      <c r="AP29" s="2" t="n">
        <v>175.7069722222222</v>
      </c>
      <c r="AQ29" s="2" t="n">
        <v>2224.138888888889</v>
      </c>
      <c r="AR29" s="2" t="n">
        <v>0</v>
      </c>
      <c r="AS29" s="2" t="n">
        <v>2056.77</v>
      </c>
      <c r="AT29" s="2" t="n">
        <v>345.3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5192.85</v>
      </c>
      <c r="BB29" s="2" t="n">
        <v>5192.85</v>
      </c>
      <c r="BC29" s="2">
        <f>F29+L29+R29+X29+AD29+AJ29+AP29+AV29+IF(BE29="",0,BE29)</f>
        <v/>
      </c>
      <c r="BD29" s="2" t="n">
        <v>79.96989000000001</v>
      </c>
      <c r="BE29" s="2" t="n"/>
      <c r="BF29" s="2" t="n">
        <v>4808.194444444443</v>
      </c>
      <c r="BG29" s="2" t="n">
        <v>500</v>
      </c>
      <c r="BH29" s="2" t="n">
        <v>332</v>
      </c>
      <c r="BI29" s="2" t="n">
        <v>26868.14</v>
      </c>
      <c r="BJ29" s="2" t="n">
        <v>80.97958677685951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70.103475</v>
      </c>
      <c r="BQ29" s="2" t="n">
        <v>0</v>
      </c>
      <c r="BR29" s="2" t="n">
        <v>27876.22306177686</v>
      </c>
      <c r="BS29" s="2" t="n">
        <v>778.1611570247934</v>
      </c>
      <c r="BT29" s="2" t="n">
        <v>0</v>
      </c>
      <c r="BU29" s="2" t="n">
        <v>5716.856148760331</v>
      </c>
      <c r="BV29" s="2" t="n">
        <v>6495.017305785124</v>
      </c>
      <c r="BW29" s="2" t="n">
        <v>34371.24036756199</v>
      </c>
      <c r="BX29" s="2" t="n">
        <v>4449.65</v>
      </c>
      <c r="BY29" s="2" t="n">
        <v>743.2</v>
      </c>
      <c r="BZ29" s="2" t="n">
        <v>0</v>
      </c>
      <c r="CA29" s="2" t="n">
        <v>5192.849999999999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1203</v>
      </c>
      <c r="B30" t="inlineStr">
        <is>
          <t>Piłsudskiego 105, 50-085 Wrocław</t>
        </is>
      </c>
      <c r="C30" t="inlineStr">
        <is>
          <t>Wrocław Główny</t>
        </is>
      </c>
      <c r="D30" t="inlineStr">
        <is>
          <t>FAA2000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24485.09</v>
      </c>
      <c r="L30" s="2" t="n">
        <v>2038.157028703704</v>
      </c>
      <c r="M30" s="2" t="n">
        <v>22671.37962962963</v>
      </c>
      <c r="N30" s="2" t="n">
        <v>3731.01</v>
      </c>
      <c r="O30" s="2" t="n">
        <v>19375.02</v>
      </c>
      <c r="P30" s="2" t="n">
        <v>1379.06</v>
      </c>
      <c r="Q30" s="2" t="n">
        <v>23054.63</v>
      </c>
      <c r="R30" s="2" t="n">
        <v>0</v>
      </c>
      <c r="S30" s="2" t="n">
        <v>21346.87962962963</v>
      </c>
      <c r="T30" s="2" t="n">
        <v>6315.79</v>
      </c>
      <c r="U30" s="2" t="n">
        <v>15406.7</v>
      </c>
      <c r="V30" s="2" t="n">
        <v>1332.14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13257.68</v>
      </c>
      <c r="AP30" s="2" t="n">
        <v>969.7747407407408</v>
      </c>
      <c r="AQ30" s="2" t="n">
        <v>12275.62962962963</v>
      </c>
      <c r="AR30" s="2" t="n">
        <v>3035.49</v>
      </c>
      <c r="AS30" s="2" t="n">
        <v>9651.370000000001</v>
      </c>
      <c r="AT30" s="2" t="n">
        <v>570.8200000000001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60797.4</v>
      </c>
      <c r="BB30" s="2" t="n">
        <v>47715.11</v>
      </c>
      <c r="BC30" s="2">
        <f>F30+L30+R30+X30+AD30+AJ30+AP30+AV30+IF(BE30="",0,BE30)</f>
        <v/>
      </c>
      <c r="BD30" s="2" t="n">
        <v>734.8126940000001</v>
      </c>
      <c r="BE30" s="2" t="n"/>
      <c r="BF30" s="2" t="n">
        <v>56293.88888888888</v>
      </c>
      <c r="BG30" s="2" t="n">
        <v>0</v>
      </c>
      <c r="BH30" s="2" t="n">
        <v>0</v>
      </c>
      <c r="BI30" s="2" t="n">
        <v>26868.14</v>
      </c>
      <c r="BJ30" s="2" t="n">
        <v>80.97958677685951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644.1539850000001</v>
      </c>
      <c r="BQ30" s="2" t="n">
        <v>0</v>
      </c>
      <c r="BR30" s="2" t="n">
        <v>27618.27357177686</v>
      </c>
      <c r="BS30" s="2" t="n">
        <v>778.1611570247934</v>
      </c>
      <c r="BT30" s="2" t="n">
        <v>0</v>
      </c>
      <c r="BU30" s="2" t="n">
        <v>5550.456148760331</v>
      </c>
      <c r="BV30" s="2" t="n">
        <v>6328.617305785125</v>
      </c>
      <c r="BW30" s="2" t="n">
        <v>33946.89087756199</v>
      </c>
      <c r="BX30" s="2" t="n">
        <v>44433.09</v>
      </c>
      <c r="BY30" s="2" t="n">
        <v>3282.02</v>
      </c>
      <c r="BZ30" s="2" t="n">
        <v>13082.29</v>
      </c>
      <c r="CA30" s="2" t="n">
        <v>47715.11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1204</v>
      </c>
      <c r="B31" t="inlineStr">
        <is>
          <t>Piłsudskiego 105, 50-085 Wrocław</t>
        </is>
      </c>
      <c r="C31" t="inlineStr">
        <is>
          <t>Wrocław Główny</t>
        </is>
      </c>
      <c r="D31" t="inlineStr">
        <is>
          <t>FAA2000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9915.940000000001</v>
      </c>
      <c r="L31" s="2" t="n">
        <v>825.4101907407407</v>
      </c>
      <c r="M31" s="2" t="n">
        <v>9181.425925925925</v>
      </c>
      <c r="N31" s="2" t="n">
        <v>1835.82</v>
      </c>
      <c r="O31" s="2" t="n">
        <v>7855.72</v>
      </c>
      <c r="P31" s="2" t="n">
        <v>224.4</v>
      </c>
      <c r="Q31" s="2" t="n">
        <v>21262.75</v>
      </c>
      <c r="R31" s="2" t="n">
        <v>0</v>
      </c>
      <c r="S31" s="2" t="n">
        <v>19687.73148148148</v>
      </c>
      <c r="T31" s="2" t="n">
        <v>4235.35</v>
      </c>
      <c r="U31" s="2" t="n">
        <v>16624.8</v>
      </c>
      <c r="V31" s="2" t="n">
        <v>402.6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9037.67</v>
      </c>
      <c r="AP31" s="2" t="n">
        <v>661.088824074074</v>
      </c>
      <c r="AQ31" s="2" t="n">
        <v>8368.212962962962</v>
      </c>
      <c r="AR31" s="2" t="n">
        <v>1130.69</v>
      </c>
      <c r="AS31" s="2" t="n">
        <v>7721.88</v>
      </c>
      <c r="AT31" s="2" t="n">
        <v>185.1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40216.36</v>
      </c>
      <c r="BB31" s="2" t="n">
        <v>33014.5</v>
      </c>
      <c r="BC31" s="2">
        <f>F31+L31+R31+X31+AD31+AJ31+AP31+AV31+IF(BE31="",0,BE31)</f>
        <v/>
      </c>
      <c r="BD31" s="2" t="n">
        <v>508.4233</v>
      </c>
      <c r="BE31" s="2" t="n"/>
      <c r="BF31" s="2" t="n">
        <v>37237.37037037037</v>
      </c>
      <c r="BG31" s="2" t="n">
        <v>630.3666666666667</v>
      </c>
      <c r="BH31" s="2" t="n">
        <v>86.66666666666667</v>
      </c>
      <c r="BI31" s="2" t="n">
        <v>26868.14</v>
      </c>
      <c r="BJ31" s="2" t="n">
        <v>80.97958677685951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445.69575</v>
      </c>
      <c r="BQ31" s="2" t="n">
        <v>0</v>
      </c>
      <c r="BR31" s="2" t="n">
        <v>28136.84867011019</v>
      </c>
      <c r="BS31" s="2" t="n">
        <v>778.1611570247934</v>
      </c>
      <c r="BT31" s="2" t="n">
        <v>0</v>
      </c>
      <c r="BU31" s="2" t="n">
        <v>5693.862815426997</v>
      </c>
      <c r="BV31" s="2" t="n">
        <v>6472.023972451791</v>
      </c>
      <c r="BW31" s="2" t="n">
        <v>34608.87264256198</v>
      </c>
      <c r="BX31" s="2" t="n">
        <v>32202.4</v>
      </c>
      <c r="BY31" s="2" t="n">
        <v>812.1</v>
      </c>
      <c r="BZ31" s="2" t="n">
        <v>7201.860000000001</v>
      </c>
      <c r="CA31" s="2" t="n">
        <v>33014.5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1205</v>
      </c>
      <c r="B32" t="inlineStr">
        <is>
          <t>Wroclaw</t>
        </is>
      </c>
      <c r="C32" t="inlineStr">
        <is>
          <t>Ciechocinek</t>
        </is>
      </c>
      <c r="D32" t="inlineStr">
        <is>
          <t>ST|40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19465.98</v>
      </c>
      <c r="L32" s="2" t="n">
        <v>1620.362594444445</v>
      </c>
      <c r="M32" s="2" t="n">
        <v>18024.05555555556</v>
      </c>
      <c r="N32" s="2" t="n">
        <v>4180.71</v>
      </c>
      <c r="O32" s="2" t="n">
        <v>14553.19</v>
      </c>
      <c r="P32" s="2" t="n">
        <v>732.08</v>
      </c>
      <c r="Q32" s="2" t="n">
        <v>35526.68</v>
      </c>
      <c r="R32" s="2" t="n">
        <v>0</v>
      </c>
      <c r="S32" s="2" t="n">
        <v>32895.07407407407</v>
      </c>
      <c r="T32" s="2" t="n">
        <v>7779.5</v>
      </c>
      <c r="U32" s="2" t="n">
        <v>26680.83</v>
      </c>
      <c r="V32" s="2" t="n">
        <v>1066.35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11192.99</v>
      </c>
      <c r="AP32" s="2" t="n">
        <v>818.7464907407408</v>
      </c>
      <c r="AQ32" s="2" t="n">
        <v>10363.87962962963</v>
      </c>
      <c r="AR32" s="2" t="n">
        <v>2411.79</v>
      </c>
      <c r="AS32" s="2" t="n">
        <v>8227.76</v>
      </c>
      <c r="AT32" s="2" t="n">
        <v>553.4400000000001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66185.65000000001</v>
      </c>
      <c r="BB32" s="2" t="n">
        <v>51813.64999999999</v>
      </c>
      <c r="BC32" s="2">
        <f>F32+L32+R32+X32+AD32+AJ32+AP32+AV32+IF(BE32="",0,BE32)</f>
        <v/>
      </c>
      <c r="BD32" s="2" t="n">
        <v>797.9302100000001</v>
      </c>
      <c r="BE32" s="2" t="n"/>
      <c r="BF32" s="2" t="n">
        <v>61283.00925925926</v>
      </c>
      <c r="BG32" s="2" t="n">
        <v>630.3666666666667</v>
      </c>
      <c r="BH32" s="2" t="n">
        <v>86.66666666666667</v>
      </c>
      <c r="BI32" s="2" t="n">
        <v>26868.14</v>
      </c>
      <c r="BJ32" s="2" t="n">
        <v>80.97958677685951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699.484275</v>
      </c>
      <c r="BQ32" s="2" t="n">
        <v>0</v>
      </c>
      <c r="BR32" s="2" t="n">
        <v>28390.63719511019</v>
      </c>
      <c r="BS32" s="2" t="n">
        <v>778.1611570247934</v>
      </c>
      <c r="BT32" s="2" t="n">
        <v>0</v>
      </c>
      <c r="BU32" s="2" t="n">
        <v>5693.862815426997</v>
      </c>
      <c r="BV32" s="2" t="n">
        <v>6472.023972451791</v>
      </c>
      <c r="BW32" s="2" t="n">
        <v>34862.66116756198</v>
      </c>
      <c r="BX32" s="2" t="n">
        <v>49461.78000000001</v>
      </c>
      <c r="BY32" s="2" t="n">
        <v>2351.87</v>
      </c>
      <c r="BZ32" s="2" t="n">
        <v>14372</v>
      </c>
      <c r="CA32" s="2" t="n">
        <v>51813.65000000001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1206</v>
      </c>
      <c r="B33" t="inlineStr">
        <is>
          <t>Piłsudskiego 105, 50-085 Wrocław</t>
        </is>
      </c>
      <c r="C33" t="inlineStr">
        <is>
          <t>Wrocław Główny</t>
        </is>
      </c>
      <c r="D33" t="inlineStr">
        <is>
          <t>FAA2000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5232.420000000001</v>
      </c>
      <c r="L33" s="2" t="n">
        <v>435.5505166666667</v>
      </c>
      <c r="M33" s="2" t="n">
        <v>4844.833333333334</v>
      </c>
      <c r="N33" s="2" t="n">
        <v>839.85</v>
      </c>
      <c r="O33" s="2" t="n">
        <v>4344.47</v>
      </c>
      <c r="P33" s="2" t="n">
        <v>48.1</v>
      </c>
      <c r="Q33" s="2" t="n">
        <v>11918.25</v>
      </c>
      <c r="R33" s="2" t="n">
        <v>0</v>
      </c>
      <c r="S33" s="2" t="n">
        <v>11035.41666666667</v>
      </c>
      <c r="T33" s="2" t="n">
        <v>1800.83</v>
      </c>
      <c r="U33" s="2" t="n">
        <v>9776.059999999999</v>
      </c>
      <c r="V33" s="2" t="n">
        <v>341.36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4702.79</v>
      </c>
      <c r="AP33" s="2" t="n">
        <v>344.0003796296297</v>
      </c>
      <c r="AQ33" s="2" t="n">
        <v>4354.435185185185</v>
      </c>
      <c r="AR33" s="2" t="n">
        <v>658.8</v>
      </c>
      <c r="AS33" s="2" t="n">
        <v>3911.83</v>
      </c>
      <c r="AT33" s="2" t="n">
        <v>132.16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21853.46</v>
      </c>
      <c r="BB33" s="2" t="n">
        <v>18553.98</v>
      </c>
      <c r="BC33" s="2">
        <f>F33+L33+R33+X33+AD33+AJ33+AP33+AV33+IF(BE33="",0,BE33)</f>
        <v/>
      </c>
      <c r="BD33" s="2" t="n">
        <v>285.731292</v>
      </c>
      <c r="BE33" s="2" t="n"/>
      <c r="BF33" s="2" t="n">
        <v>20234.68518518519</v>
      </c>
      <c r="BG33" s="2" t="n">
        <v>630.3666666666667</v>
      </c>
      <c r="BH33" s="2" t="n">
        <v>86.66666666666667</v>
      </c>
      <c r="BI33" s="2" t="n">
        <v>26868.14</v>
      </c>
      <c r="BJ33" s="2" t="n">
        <v>80.97958677685951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250.47873</v>
      </c>
      <c r="BQ33" s="2" t="n">
        <v>0</v>
      </c>
      <c r="BR33" s="2" t="n">
        <v>27941.63165011019</v>
      </c>
      <c r="BS33" s="2" t="n">
        <v>778.1611570247934</v>
      </c>
      <c r="BT33" s="2" t="n">
        <v>0</v>
      </c>
      <c r="BU33" s="2" t="n">
        <v>5693.862815426997</v>
      </c>
      <c r="BV33" s="2" t="n">
        <v>6472.023972451791</v>
      </c>
      <c r="BW33" s="2" t="n">
        <v>34413.65562256198</v>
      </c>
      <c r="BX33" s="2" t="n">
        <v>18032.36</v>
      </c>
      <c r="BY33" s="2" t="n">
        <v>521.62</v>
      </c>
      <c r="BZ33" s="2" t="n">
        <v>3299.48</v>
      </c>
      <c r="CA33" s="2" t="n">
        <v>18553.98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1207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3987.18</v>
      </c>
      <c r="L34" s="2" t="n">
        <v>331.8958166666667</v>
      </c>
      <c r="M34" s="2" t="n">
        <v>3691.833333333333</v>
      </c>
      <c r="N34" s="2" t="n">
        <v>345.5</v>
      </c>
      <c r="O34" s="2" t="n">
        <v>3611.79</v>
      </c>
      <c r="P34" s="2" t="n">
        <v>29.89</v>
      </c>
      <c r="Q34" s="2" t="n">
        <v>6297.05</v>
      </c>
      <c r="R34" s="2" t="n">
        <v>0</v>
      </c>
      <c r="S34" s="2" t="n">
        <v>5830.601851851851</v>
      </c>
      <c r="T34" s="2" t="n">
        <v>1013.1</v>
      </c>
      <c r="U34" s="2" t="n">
        <v>4982.53</v>
      </c>
      <c r="V34" s="2" t="n">
        <v>301.42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3214.77</v>
      </c>
      <c r="AP34" s="2" t="n">
        <v>235.1544722222222</v>
      </c>
      <c r="AQ34" s="2" t="n">
        <v>2976.638888888889</v>
      </c>
      <c r="AR34" s="2" t="n">
        <v>678.88</v>
      </c>
      <c r="AS34" s="2" t="n">
        <v>2296.31</v>
      </c>
      <c r="AT34" s="2" t="n">
        <v>239.58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13499</v>
      </c>
      <c r="BB34" s="2" t="n">
        <v>11461.52</v>
      </c>
      <c r="BC34" s="2">
        <f>F34+L34+R34+X34+AD34+AJ34+AP34+AV34+IF(BE34="",0,BE34)</f>
        <v/>
      </c>
      <c r="BD34" s="2" t="n">
        <v>176.507408</v>
      </c>
      <c r="BE34" s="2" t="n"/>
      <c r="BF34" s="2" t="n">
        <v>12499.07407407407</v>
      </c>
      <c r="BG34" s="2" t="n">
        <v>630.3666666666667</v>
      </c>
      <c r="BH34" s="2" t="n">
        <v>86.66666666666667</v>
      </c>
      <c r="BI34" s="2" t="n">
        <v>26868.14</v>
      </c>
      <c r="BJ34" s="2" t="n">
        <v>80.97958677685951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154.73052</v>
      </c>
      <c r="BQ34" s="2" t="n">
        <v>0</v>
      </c>
      <c r="BR34" s="2" t="n">
        <v>27845.88344011019</v>
      </c>
      <c r="BS34" s="2" t="n">
        <v>778.1611570247934</v>
      </c>
      <c r="BT34" s="2" t="n">
        <v>0</v>
      </c>
      <c r="BU34" s="2" t="n">
        <v>5693.862815426997</v>
      </c>
      <c r="BV34" s="2" t="n">
        <v>6472.023972451791</v>
      </c>
      <c r="BW34" s="2" t="n">
        <v>34317.90741256198</v>
      </c>
      <c r="BX34" s="2" t="n">
        <v>10890.63</v>
      </c>
      <c r="BY34" s="2" t="n">
        <v>570.89</v>
      </c>
      <c r="BZ34" s="2" t="n">
        <v>2037.48</v>
      </c>
      <c r="CA34" s="2" t="n">
        <v>11461.52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1208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4308.85</v>
      </c>
      <c r="L35" s="2" t="n">
        <v>358.6718657407408</v>
      </c>
      <c r="M35" s="2" t="n">
        <v>3989.675925925926</v>
      </c>
      <c r="N35" s="2" t="n">
        <v>793.38</v>
      </c>
      <c r="O35" s="2" t="n">
        <v>3306.38</v>
      </c>
      <c r="P35" s="2" t="n">
        <v>209.09</v>
      </c>
      <c r="Q35" s="2" t="n">
        <v>9237.859999999999</v>
      </c>
      <c r="R35" s="2" t="n">
        <v>0</v>
      </c>
      <c r="S35" s="2" t="n">
        <v>8553.574074074073</v>
      </c>
      <c r="T35" s="2" t="n">
        <v>1498.25</v>
      </c>
      <c r="U35" s="2" t="n">
        <v>7118.12</v>
      </c>
      <c r="V35" s="2" t="n">
        <v>621.49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4071.96</v>
      </c>
      <c r="AP35" s="2" t="n">
        <v>297.8563333333333</v>
      </c>
      <c r="AQ35" s="2" t="n">
        <v>3770.333333333333</v>
      </c>
      <c r="AR35" s="2" t="n">
        <v>1296.93</v>
      </c>
      <c r="AS35" s="2" t="n">
        <v>2560.34</v>
      </c>
      <c r="AT35" s="2" t="n">
        <v>214.69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17618.67</v>
      </c>
      <c r="BB35" s="2" t="n">
        <v>14030.11</v>
      </c>
      <c r="BC35" s="2">
        <f>F35+L35+R35+X35+AD35+AJ35+AP35+AV35+IF(BE35="",0,BE35)</f>
        <v/>
      </c>
      <c r="BD35" s="2" t="n">
        <v>216.063694</v>
      </c>
      <c r="BE35" s="2" t="n"/>
      <c r="BF35" s="2" t="n">
        <v>16313.58333333333</v>
      </c>
      <c r="BG35" s="2" t="n">
        <v>630.3666666666667</v>
      </c>
      <c r="BH35" s="2" t="n">
        <v>86.66666666666667</v>
      </c>
      <c r="BI35" s="2" t="n">
        <v>26868.14</v>
      </c>
      <c r="BJ35" s="2" t="n">
        <v>80.97958677685951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189.406485</v>
      </c>
      <c r="BQ35" s="2" t="n">
        <v>0</v>
      </c>
      <c r="BR35" s="2" t="n">
        <v>27880.55940511019</v>
      </c>
      <c r="BS35" s="2" t="n">
        <v>778.1611570247934</v>
      </c>
      <c r="BT35" s="2" t="n">
        <v>0</v>
      </c>
      <c r="BU35" s="2" t="n">
        <v>5693.862815426997</v>
      </c>
      <c r="BV35" s="2" t="n">
        <v>6472.023972451791</v>
      </c>
      <c r="BW35" s="2" t="n">
        <v>34352.58337756198</v>
      </c>
      <c r="BX35" s="2" t="n">
        <v>12984.84</v>
      </c>
      <c r="BY35" s="2" t="n">
        <v>1045.27</v>
      </c>
      <c r="BZ35" s="2" t="n">
        <v>3588.56</v>
      </c>
      <c r="CA35" s="2" t="n">
        <v>14030.11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1209</v>
      </c>
      <c r="B36" t="inlineStr">
        <is>
          <t>tunel dworca od ul. Suchej, 50-085 Wrocław</t>
        </is>
      </c>
      <c r="C36" t="inlineStr"/>
      <c r="D36" t="inlineStr"/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14603.6</v>
      </c>
      <c r="L36" s="2" t="n">
        <v>1215.614481481482</v>
      </c>
      <c r="M36" s="2" t="n">
        <v>13521.85185185185</v>
      </c>
      <c r="N36" s="2" t="n">
        <v>3926.03</v>
      </c>
      <c r="O36" s="2" t="n">
        <v>10246.11</v>
      </c>
      <c r="P36" s="2" t="n">
        <v>431.46</v>
      </c>
      <c r="Q36" s="2" t="n">
        <v>29765.21</v>
      </c>
      <c r="R36" s="2" t="n">
        <v>0</v>
      </c>
      <c r="S36" s="2" t="n">
        <v>27560.37962962963</v>
      </c>
      <c r="T36" s="2" t="n">
        <v>6513.03</v>
      </c>
      <c r="U36" s="2" t="n">
        <v>22224.25</v>
      </c>
      <c r="V36" s="2" t="n">
        <v>1027.93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7915.96</v>
      </c>
      <c r="AP36" s="2" t="n">
        <v>579.0378148148147</v>
      </c>
      <c r="AQ36" s="2" t="n">
        <v>7329.592592592592</v>
      </c>
      <c r="AR36" s="2" t="n">
        <v>1782.15</v>
      </c>
      <c r="AS36" s="2" t="n">
        <v>5736.78</v>
      </c>
      <c r="AT36" s="2" t="n">
        <v>397.03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52284.77</v>
      </c>
      <c r="BB36" s="2" t="n">
        <v>40063.56</v>
      </c>
      <c r="BC36" s="2">
        <f>F36+L36+R36+X36+AD36+AJ36+AP36+AV36+IF(BE36="",0,BE36)</f>
        <v/>
      </c>
      <c r="BD36" s="2" t="n">
        <v>616.978824</v>
      </c>
      <c r="BE36" s="2" t="n"/>
      <c r="BF36" s="2" t="n">
        <v>48411.82407407407</v>
      </c>
      <c r="BG36" s="2" t="n">
        <v>630.3666666666667</v>
      </c>
      <c r="BH36" s="2" t="n">
        <v>86.66666666666667</v>
      </c>
      <c r="BI36" s="2" t="n">
        <v>26868.14</v>
      </c>
      <c r="BJ36" s="2" t="n">
        <v>80.97958677685951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540.8580599999999</v>
      </c>
      <c r="BQ36" s="2" t="n">
        <v>0</v>
      </c>
      <c r="BR36" s="2" t="n">
        <v>28232.01098011019</v>
      </c>
      <c r="BS36" s="2" t="n">
        <v>778.1611570247934</v>
      </c>
      <c r="BT36" s="2" t="n">
        <v>0</v>
      </c>
      <c r="BU36" s="2" t="n">
        <v>5693.862815426997</v>
      </c>
      <c r="BV36" s="2" t="n">
        <v>6472.023972451791</v>
      </c>
      <c r="BW36" s="2" t="n">
        <v>34704.03495256198</v>
      </c>
      <c r="BX36" s="2" t="n">
        <v>38207.14</v>
      </c>
      <c r="BY36" s="2" t="n">
        <v>1856.42</v>
      </c>
      <c r="BZ36" s="2" t="n">
        <v>12221.21</v>
      </c>
      <c r="CA36" s="2" t="n">
        <v>40063.56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1210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27796.44</v>
      </c>
      <c r="L37" s="2" t="n">
        <v>2313.796255555556</v>
      </c>
      <c r="M37" s="2" t="n">
        <v>25737.44444444445</v>
      </c>
      <c r="N37" s="2" t="n">
        <v>4152.91</v>
      </c>
      <c r="O37" s="2" t="n">
        <v>22256.24</v>
      </c>
      <c r="P37" s="2" t="n">
        <v>1387.29</v>
      </c>
      <c r="Q37" s="2" t="n">
        <v>21017.21</v>
      </c>
      <c r="R37" s="2" t="n">
        <v>0</v>
      </c>
      <c r="S37" s="2" t="n">
        <v>19460.37962962963</v>
      </c>
      <c r="T37" s="2" t="n">
        <v>4703.26</v>
      </c>
      <c r="U37" s="2" t="n">
        <v>15201.4</v>
      </c>
      <c r="V37" s="2" t="n">
        <v>1112.55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12128.36</v>
      </c>
      <c r="AP37" s="2" t="n">
        <v>887.1670740740741</v>
      </c>
      <c r="AQ37" s="2" t="n">
        <v>11229.96296296296</v>
      </c>
      <c r="AR37" s="2" t="n">
        <v>1856.57</v>
      </c>
      <c r="AS37" s="2" t="n">
        <v>9723.790000000001</v>
      </c>
      <c r="AT37" s="2" t="n">
        <v>548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60942.01</v>
      </c>
      <c r="BB37" s="2" t="n">
        <v>50229.27</v>
      </c>
      <c r="BC37" s="2">
        <f>F37+L37+R37+X37+AD37+AJ37+AP37+AV37+IF(BE37="",0,BE37)</f>
        <v/>
      </c>
      <c r="BD37" s="2" t="n">
        <v>773.530758</v>
      </c>
      <c r="BE37" s="2" t="n"/>
      <c r="BF37" s="2" t="n">
        <v>56427.78703703704</v>
      </c>
      <c r="BG37" s="2" t="n">
        <v>734.13</v>
      </c>
      <c r="BH37" s="2" t="n">
        <v>260</v>
      </c>
      <c r="BI37" s="2" t="n">
        <v>26868.14</v>
      </c>
      <c r="BJ37" s="2" t="n">
        <v>80.97958677685951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678.095145</v>
      </c>
      <c r="BQ37" s="2" t="n">
        <v>0</v>
      </c>
      <c r="BR37" s="2" t="n">
        <v>28646.34473177686</v>
      </c>
      <c r="BS37" s="2" t="n">
        <v>778.1611570247934</v>
      </c>
      <c r="BT37" s="2" t="n">
        <v>0</v>
      </c>
      <c r="BU37" s="2" t="n">
        <v>5749.282148760331</v>
      </c>
      <c r="BV37" s="2" t="n">
        <v>6527.443305785125</v>
      </c>
      <c r="BW37" s="2" t="n">
        <v>35173.78803756199</v>
      </c>
      <c r="BX37" s="2" t="n">
        <v>47181.43</v>
      </c>
      <c r="BY37" s="2" t="n">
        <v>3047.84</v>
      </c>
      <c r="BZ37" s="2" t="n">
        <v>10712.74</v>
      </c>
      <c r="CA37" s="2" t="n">
        <v>50229.27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1211</v>
      </c>
      <c r="B38" t="inlineStr">
        <is>
          <t>Lubin</t>
        </is>
      </c>
      <c r="C38" t="inlineStr">
        <is>
          <t>Lubin</t>
        </is>
      </c>
      <c r="D38" t="inlineStr">
        <is>
          <t>ST|40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24477.54</v>
      </c>
      <c r="R38" s="2" t="n">
        <v>0</v>
      </c>
      <c r="S38" s="2" t="n">
        <v>22664.38888888888</v>
      </c>
      <c r="T38" s="2" t="n">
        <v>10008.71</v>
      </c>
      <c r="U38" s="2" t="n">
        <v>13751.82</v>
      </c>
      <c r="V38" s="2" t="n">
        <v>717.01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24477.54</v>
      </c>
      <c r="BB38" s="2" t="n">
        <v>14468.83</v>
      </c>
      <c r="BC38" s="2">
        <f>F38+L38+R38+X38+AD38+AJ38+AP38+AV38+IF(BE38="",0,BE38)</f>
        <v/>
      </c>
      <c r="BD38" s="2" t="n">
        <v>222.819982</v>
      </c>
      <c r="BE38" s="2" t="n"/>
      <c r="BF38" s="2" t="n">
        <v>22664.38888888888</v>
      </c>
      <c r="BG38" s="2" t="n">
        <v>0</v>
      </c>
      <c r="BH38" s="2" t="n">
        <v>107.67</v>
      </c>
      <c r="BI38" s="2" t="n">
        <v>26868.14</v>
      </c>
      <c r="BJ38" s="2" t="n">
        <v>80.97958677685951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195.329205</v>
      </c>
      <c r="BQ38" s="2" t="n">
        <v>0</v>
      </c>
      <c r="BR38" s="2" t="n">
        <v>27277.11879177685</v>
      </c>
      <c r="BS38" s="2" t="n">
        <v>778.1611570247934</v>
      </c>
      <c r="BT38" s="2" t="n">
        <v>0</v>
      </c>
      <c r="BU38" s="2" t="n">
        <v>5571.990148760331</v>
      </c>
      <c r="BV38" s="2" t="n">
        <v>6350.151305785124</v>
      </c>
      <c r="BW38" s="2" t="n">
        <v>33627.27009756198</v>
      </c>
      <c r="BX38" s="2" t="n">
        <v>13751.82</v>
      </c>
      <c r="BY38" s="2" t="n">
        <v>717.01</v>
      </c>
      <c r="BZ38" s="2" t="n">
        <v>10008.71</v>
      </c>
      <c r="CA38" s="2" t="n">
        <v>14468.83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1212</v>
      </c>
      <c r="B39" t="inlineStr">
        <is>
          <t>Armii Krajowej 26C, 58-302 Wałbrzych</t>
        </is>
      </c>
      <c r="C39" t="inlineStr">
        <is>
          <t>Wałbrzych Miasto</t>
        </is>
      </c>
      <c r="D39" t="inlineStr">
        <is>
          <t>ST|40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1957.13</v>
      </c>
      <c r="L39" s="2" t="n">
        <v>162.9129509259259</v>
      </c>
      <c r="M39" s="2" t="n">
        <v>1812.157407407407</v>
      </c>
      <c r="N39" s="2" t="n">
        <v>663</v>
      </c>
      <c r="O39" s="2" t="n">
        <v>1294.13</v>
      </c>
      <c r="P39" s="2" t="n">
        <v>0</v>
      </c>
      <c r="Q39" s="2" t="n">
        <v>7545.540000000001</v>
      </c>
      <c r="R39" s="2" t="n">
        <v>0</v>
      </c>
      <c r="S39" s="2" t="n">
        <v>6986.611111111111</v>
      </c>
      <c r="T39" s="2" t="n">
        <v>1537.15</v>
      </c>
      <c r="U39" s="2" t="n">
        <v>6008.39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384.16</v>
      </c>
      <c r="AP39" s="2" t="n">
        <v>28.10059259259259</v>
      </c>
      <c r="AQ39" s="2" t="n">
        <v>355.7037037037037</v>
      </c>
      <c r="AR39" s="2" t="n">
        <v>0</v>
      </c>
      <c r="AS39" s="2" t="n">
        <v>384.16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9886.830000000002</v>
      </c>
      <c r="BB39" s="2" t="n">
        <v>7686.68</v>
      </c>
      <c r="BC39" s="2">
        <f>F39+L39+R39+X39+AD39+AJ39+AP39+AV39+IF(BE39="",0,BE39)</f>
        <v/>
      </c>
      <c r="BD39" s="2" t="n">
        <v>118.374872</v>
      </c>
      <c r="BE39" s="2" t="n"/>
      <c r="BF39" s="2" t="n">
        <v>9154.472222222223</v>
      </c>
      <c r="BG39" s="2" t="n">
        <v>553.98</v>
      </c>
      <c r="BH39" s="2" t="n">
        <v>110.7</v>
      </c>
      <c r="BI39" s="2" t="n">
        <v>26868.14</v>
      </c>
      <c r="BJ39" s="2" t="n">
        <v>80.97958677685951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103.77018</v>
      </c>
      <c r="BQ39" s="2" t="n">
        <v>0</v>
      </c>
      <c r="BR39" s="2" t="n">
        <v>27742.56976677686</v>
      </c>
      <c r="BS39" s="2" t="n">
        <v>778.1611570247934</v>
      </c>
      <c r="BT39" s="2" t="n">
        <v>0</v>
      </c>
      <c r="BU39" s="2" t="n">
        <v>5683.392148760331</v>
      </c>
      <c r="BV39" s="2" t="n">
        <v>6461.553305785124</v>
      </c>
      <c r="BW39" s="2" t="n">
        <v>34204.12307256198</v>
      </c>
      <c r="BX39" s="2" t="n">
        <v>7686.68</v>
      </c>
      <c r="BY39" s="2" t="n">
        <v>0</v>
      </c>
      <c r="BZ39" s="2" t="n">
        <v>2200.15</v>
      </c>
      <c r="CA39" s="2" t="n">
        <v>7686.68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1213</v>
      </c>
      <c r="B40" t="inlineStr">
        <is>
          <t>Plac 1000-Lecia 1, 67-200 Głogów</t>
        </is>
      </c>
      <c r="C40" t="inlineStr">
        <is>
          <t>Głogów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5236.150000000001</v>
      </c>
      <c r="L40" s="2" t="n">
        <v>435.8610046296297</v>
      </c>
      <c r="M40" s="2" t="n">
        <v>4848.287037037037</v>
      </c>
      <c r="N40" s="2" t="n">
        <v>2340.03</v>
      </c>
      <c r="O40" s="2" t="n">
        <v>2803.67</v>
      </c>
      <c r="P40" s="2" t="n">
        <v>92.45</v>
      </c>
      <c r="Q40" s="2" t="n">
        <v>18945.21</v>
      </c>
      <c r="R40" s="2" t="n">
        <v>0</v>
      </c>
      <c r="S40" s="2" t="n">
        <v>17541.86111111111</v>
      </c>
      <c r="T40" s="2" t="n">
        <v>6616.03</v>
      </c>
      <c r="U40" s="2" t="n">
        <v>11904.07</v>
      </c>
      <c r="V40" s="2" t="n">
        <v>425.11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2332.11</v>
      </c>
      <c r="AP40" s="2" t="n">
        <v>170.5895277777778</v>
      </c>
      <c r="AQ40" s="2" t="n">
        <v>2159.361111111111</v>
      </c>
      <c r="AR40" s="2" t="n">
        <v>1127.46</v>
      </c>
      <c r="AS40" s="2" t="n">
        <v>1148.71</v>
      </c>
      <c r="AT40" s="2" t="n">
        <v>55.94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26513.47</v>
      </c>
      <c r="BB40" s="2" t="n">
        <v>16429.95</v>
      </c>
      <c r="BC40" s="2">
        <f>F40+L40+R40+X40+AD40+AJ40+AP40+AV40+IF(BE40="",0,BE40)</f>
        <v/>
      </c>
      <c r="BD40" s="2" t="n">
        <v>253.02123</v>
      </c>
      <c r="BE40" s="2" t="n"/>
      <c r="BF40" s="2" t="n">
        <v>24549.50925925926</v>
      </c>
      <c r="BG40" s="2" t="n">
        <v>553.98</v>
      </c>
      <c r="BH40" s="2" t="n">
        <v>134.1</v>
      </c>
      <c r="BI40" s="2" t="n">
        <v>26868.14</v>
      </c>
      <c r="BJ40" s="2" t="n">
        <v>80.97958677685951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221.804325</v>
      </c>
      <c r="BQ40" s="2" t="n">
        <v>0</v>
      </c>
      <c r="BR40" s="2" t="n">
        <v>27884.00391177686</v>
      </c>
      <c r="BS40" s="2" t="n">
        <v>778.1611570247934</v>
      </c>
      <c r="BT40" s="2" t="n">
        <v>0</v>
      </c>
      <c r="BU40" s="2" t="n">
        <v>5688.072148760331</v>
      </c>
      <c r="BV40" s="2" t="n">
        <v>6466.233305785125</v>
      </c>
      <c r="BW40" s="2" t="n">
        <v>34350.23721756198</v>
      </c>
      <c r="BX40" s="2" t="n">
        <v>15856.45</v>
      </c>
      <c r="BY40" s="2" t="n">
        <v>573.5</v>
      </c>
      <c r="BZ40" s="2" t="n">
        <v>10083.52</v>
      </c>
      <c r="CA40" s="2" t="n">
        <v>16429.95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1214</v>
      </c>
      <c r="B41" t="inlineStr">
        <is>
          <t>Dworcowa 72A, 69-110 Rzepin</t>
        </is>
      </c>
      <c r="C41" t="inlineStr">
        <is>
          <t>Rzepin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9936.130000000001</v>
      </c>
      <c r="L41" s="2" t="n">
        <v>827.0908212962963</v>
      </c>
      <c r="M41" s="2" t="n">
        <v>9200.12037037037</v>
      </c>
      <c r="N41" s="2" t="n">
        <v>4515.3</v>
      </c>
      <c r="O41" s="2" t="n">
        <v>5305.1</v>
      </c>
      <c r="P41" s="2" t="n">
        <v>115.73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9936.130000000001</v>
      </c>
      <c r="BB41" s="2" t="n">
        <v>5420.83</v>
      </c>
      <c r="BC41" s="2">
        <f>F41+L41+R41+X41+AD41+AJ41+AP41+AV41+IF(BE41="",0,BE41)</f>
        <v/>
      </c>
      <c r="BD41" s="2" t="n">
        <v>83.480782</v>
      </c>
      <c r="BE41" s="2" t="n"/>
      <c r="BF41" s="2" t="n">
        <v>9200.12037037037</v>
      </c>
      <c r="BG41" s="2" t="n">
        <v>372.97</v>
      </c>
      <c r="BH41" s="2" t="n">
        <v>0</v>
      </c>
      <c r="BI41" s="2" t="n">
        <v>26868.14</v>
      </c>
      <c r="BJ41" s="2" t="n">
        <v>80.97958677685951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73.18120499999999</v>
      </c>
      <c r="BQ41" s="2" t="n">
        <v>0</v>
      </c>
      <c r="BR41" s="2" t="n">
        <v>27420.27079177686</v>
      </c>
      <c r="BS41" s="2" t="n">
        <v>778.1611570247934</v>
      </c>
      <c r="BT41" s="2" t="n">
        <v>0</v>
      </c>
      <c r="BU41" s="2" t="n">
        <v>5625.050148760331</v>
      </c>
      <c r="BV41" s="2" t="n">
        <v>6403.211305785125</v>
      </c>
      <c r="BW41" s="2" t="n">
        <v>33823.48209756199</v>
      </c>
      <c r="BX41" s="2" t="n">
        <v>5305.1</v>
      </c>
      <c r="BY41" s="2" t="n">
        <v>115.73</v>
      </c>
      <c r="BZ41" s="2" t="n">
        <v>4515.3</v>
      </c>
      <c r="CA41" s="2" t="n">
        <v>5420.83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1216</v>
      </c>
      <c r="B42" t="inlineStr">
        <is>
          <t>Pszczyna</t>
        </is>
      </c>
      <c r="C42" t="inlineStr"/>
      <c r="D4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2116.58</v>
      </c>
      <c r="L42" s="2" t="n">
        <v>176.185687037037</v>
      </c>
      <c r="M42" s="2" t="n">
        <v>1959.796296296296</v>
      </c>
      <c r="N42" s="2" t="n">
        <v>775.91</v>
      </c>
      <c r="O42" s="2" t="n">
        <v>1213.17</v>
      </c>
      <c r="P42" s="2" t="n">
        <v>127.5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2116.58</v>
      </c>
      <c r="BB42" s="2" t="n">
        <v>1340.67</v>
      </c>
      <c r="BC42" s="2">
        <f>F42+L42+R42+X42+AD42+AJ42+AP42+AV42+IF(BE42="",0,BE42)</f>
        <v/>
      </c>
      <c r="BD42" s="2" t="n">
        <v>20.646318</v>
      </c>
      <c r="BE42" s="2" t="n"/>
      <c r="BF42" s="2" t="n">
        <v>1959.796296296296</v>
      </c>
      <c r="BG42" s="2" t="n">
        <v>569.0500000000001</v>
      </c>
      <c r="BH42" s="2" t="n">
        <v>117.6</v>
      </c>
      <c r="BI42" s="2" t="n">
        <v>26868.14</v>
      </c>
      <c r="BJ42" s="2" t="n">
        <v>80.97958677685951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18.099045</v>
      </c>
      <c r="BQ42" s="2" t="n">
        <v>0</v>
      </c>
      <c r="BR42" s="2" t="n">
        <v>27678.86863177686</v>
      </c>
      <c r="BS42" s="2" t="n">
        <v>778.1611570247934</v>
      </c>
      <c r="BT42" s="2" t="n">
        <v>0</v>
      </c>
      <c r="BU42" s="2" t="n">
        <v>5687.786148760331</v>
      </c>
      <c r="BV42" s="2" t="n">
        <v>6465.947305785125</v>
      </c>
      <c r="BW42" s="2" t="n">
        <v>34144.81593756199</v>
      </c>
      <c r="BX42" s="2" t="n">
        <v>1213.17</v>
      </c>
      <c r="BY42" s="2" t="n">
        <v>127.5</v>
      </c>
      <c r="BZ42" s="2" t="n">
        <v>775.91</v>
      </c>
      <c r="CA42" s="2" t="n">
        <v>1340.67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1217</v>
      </c>
      <c r="B43" t="inlineStr">
        <is>
          <t>pl. Marii i Lecha Kaczyńskiego 2, 40-098 Katowice</t>
        </is>
      </c>
      <c r="C43" t="inlineStr">
        <is>
          <t>Katowice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27911.06</v>
      </c>
      <c r="L43" s="2" t="n">
        <v>2323.337309259259</v>
      </c>
      <c r="M43" s="2" t="n">
        <v>25843.57407407407</v>
      </c>
      <c r="N43" s="2" t="n">
        <v>5642.55</v>
      </c>
      <c r="O43" s="2" t="n">
        <v>21130.18</v>
      </c>
      <c r="P43" s="2" t="n">
        <v>1138.33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7455.88</v>
      </c>
      <c r="AP43" s="2" t="n">
        <v>545.3838148148147</v>
      </c>
      <c r="AQ43" s="2" t="n">
        <v>6903.592592592592</v>
      </c>
      <c r="AR43" s="2" t="n">
        <v>1290.36</v>
      </c>
      <c r="AS43" s="2" t="n">
        <v>5850.85</v>
      </c>
      <c r="AT43" s="2" t="n">
        <v>314.67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35366.94</v>
      </c>
      <c r="BB43" s="2" t="n">
        <v>28434.03</v>
      </c>
      <c r="BC43" s="2">
        <f>F43+L43+R43+X43+AD43+AJ43+AP43+AV43+IF(BE43="",0,BE43)</f>
        <v/>
      </c>
      <c r="BD43" s="2" t="n">
        <v>437.884062</v>
      </c>
      <c r="BE43" s="2" t="n"/>
      <c r="BF43" s="2" t="n">
        <v>32747.16666666666</v>
      </c>
      <c r="BG43" s="2" t="n">
        <v>775</v>
      </c>
      <c r="BH43" s="2" t="n">
        <v>540</v>
      </c>
      <c r="BI43" s="2" t="n">
        <v>26868.14</v>
      </c>
      <c r="BJ43" s="2" t="n">
        <v>80.97958677685951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383.859405</v>
      </c>
      <c r="BQ43" s="2" t="n">
        <v>0</v>
      </c>
      <c r="BR43" s="2" t="n">
        <v>28672.97899177686</v>
      </c>
      <c r="BS43" s="2" t="n">
        <v>778.1611570247934</v>
      </c>
      <c r="BT43" s="2" t="n">
        <v>0</v>
      </c>
      <c r="BU43" s="2" t="n">
        <v>5813.456148760331</v>
      </c>
      <c r="BV43" s="2" t="n">
        <v>6591.617305785125</v>
      </c>
      <c r="BW43" s="2" t="n">
        <v>35264.59629756198</v>
      </c>
      <c r="BX43" s="2" t="n">
        <v>26981.03</v>
      </c>
      <c r="BY43" s="2" t="n">
        <v>1453</v>
      </c>
      <c r="BZ43" s="2" t="n">
        <v>6932.91</v>
      </c>
      <c r="CA43" s="2" t="n">
        <v>28434.03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1219</v>
      </c>
      <c r="B44" t="inlineStr">
        <is>
          <t>Armii Krajowej 3, 75-200 Koszalin</t>
        </is>
      </c>
      <c r="C44" t="inlineStr">
        <is>
          <t>Koszalin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4318.06</v>
      </c>
      <c r="L44" s="2" t="n">
        <v>359.438512962963</v>
      </c>
      <c r="M44" s="2" t="n">
        <v>3998.203703703704</v>
      </c>
      <c r="N44" s="2" t="n">
        <v>1540.41</v>
      </c>
      <c r="O44" s="2" t="n">
        <v>2676.05</v>
      </c>
      <c r="P44" s="2" t="n">
        <v>101.6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3950.45</v>
      </c>
      <c r="AP44" s="2" t="n">
        <v>288.9681018518518</v>
      </c>
      <c r="AQ44" s="2" t="n">
        <v>3657.824074074074</v>
      </c>
      <c r="AR44" s="2" t="n">
        <v>1058.11</v>
      </c>
      <c r="AS44" s="2" t="n">
        <v>2650.27</v>
      </c>
      <c r="AT44" s="2" t="n">
        <v>242.07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8268.51</v>
      </c>
      <c r="BB44" s="2" t="n">
        <v>5669.99</v>
      </c>
      <c r="BC44" s="2">
        <f>F44+L44+R44+X44+AD44+AJ44+AP44+AV44+IF(BE44="",0,BE44)</f>
        <v/>
      </c>
      <c r="BD44" s="2" t="n">
        <v>87.317846</v>
      </c>
      <c r="BE44" s="2" t="n"/>
      <c r="BF44" s="2" t="n">
        <v>7656.027777777777</v>
      </c>
      <c r="BG44" s="2" t="n">
        <v>0</v>
      </c>
      <c r="BH44" s="2" t="n">
        <v>0</v>
      </c>
      <c r="BI44" s="2" t="n">
        <v>26868.14</v>
      </c>
      <c r="BJ44" s="2" t="n">
        <v>80.97958677685951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76.544865</v>
      </c>
      <c r="BQ44" s="2" t="n">
        <v>0</v>
      </c>
      <c r="BR44" s="2" t="n">
        <v>27050.66445177686</v>
      </c>
      <c r="BS44" s="2" t="n">
        <v>778.1611570247934</v>
      </c>
      <c r="BT44" s="2" t="n">
        <v>0</v>
      </c>
      <c r="BU44" s="2" t="n">
        <v>5550.456148760331</v>
      </c>
      <c r="BV44" s="2" t="n">
        <v>6328.617305785125</v>
      </c>
      <c r="BW44" s="2" t="n">
        <v>33379.28175756198</v>
      </c>
      <c r="BX44" s="2" t="n">
        <v>5326.32</v>
      </c>
      <c r="BY44" s="2" t="n">
        <v>343.67</v>
      </c>
      <c r="BZ44" s="2" t="n">
        <v>2598.52</v>
      </c>
      <c r="CA44" s="2" t="n">
        <v>5669.99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1220</v>
      </c>
      <c r="B45" t="inlineStr">
        <is>
          <t>Kotłątaja 32, 76-200 Słupsk</t>
        </is>
      </c>
      <c r="C45" t="inlineStr">
        <is>
          <t>Słupsk</t>
        </is>
      </c>
      <c r="D45" t="inlineStr">
        <is>
          <t>FAA2000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10025.46</v>
      </c>
      <c r="L45" s="2" t="n">
        <v>834.5267166666666</v>
      </c>
      <c r="M45" s="2" t="n">
        <v>9282.833333333332</v>
      </c>
      <c r="N45" s="2" t="n">
        <v>4221.33</v>
      </c>
      <c r="O45" s="2" t="n">
        <v>5219.82</v>
      </c>
      <c r="P45" s="2" t="n">
        <v>584.3099999999999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10092.14</v>
      </c>
      <c r="AP45" s="2" t="n">
        <v>4144</v>
      </c>
      <c r="AQ45" s="2" t="n">
        <v>9344.574074074075</v>
      </c>
      <c r="AR45" s="2" t="n">
        <v>5165.81</v>
      </c>
      <c r="AS45" s="2" t="n">
        <v>4550.38</v>
      </c>
      <c r="AT45" s="2" t="n">
        <v>375.95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20117.6</v>
      </c>
      <c r="BB45" s="2" t="n">
        <v>10730.46</v>
      </c>
      <c r="BC45" s="2">
        <f>F45+L45+R45+X45+AD45+AJ45+AP45+AV45+IF(BE45="",0,BE45)</f>
        <v/>
      </c>
      <c r="BD45" s="2" t="n">
        <v>165.249084</v>
      </c>
      <c r="BE45" s="2" t="n"/>
      <c r="BF45" s="2" t="n">
        <v>18627.40740740741</v>
      </c>
      <c r="BG45" s="2" t="n">
        <v>0</v>
      </c>
      <c r="BH45" s="2" t="n">
        <v>0</v>
      </c>
      <c r="BI45" s="2" t="n">
        <v>26868.14</v>
      </c>
      <c r="BJ45" s="2" t="n">
        <v>80.97958677685951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144.86121</v>
      </c>
      <c r="BQ45" s="2" t="n">
        <v>0</v>
      </c>
      <c r="BR45" s="2" t="n">
        <v>27118.98079677686</v>
      </c>
      <c r="BS45" s="2" t="n">
        <v>778.1611570247934</v>
      </c>
      <c r="BT45" s="2" t="n">
        <v>0</v>
      </c>
      <c r="BU45" s="2" t="n">
        <v>5550.456148760331</v>
      </c>
      <c r="BV45" s="2" t="n">
        <v>6328.617305785125</v>
      </c>
      <c r="BW45" s="2" t="n">
        <v>33447.59810256198</v>
      </c>
      <c r="BX45" s="2" t="n">
        <v>9770.200000000001</v>
      </c>
      <c r="BY45" s="2" t="n">
        <v>960.26</v>
      </c>
      <c r="BZ45" s="2" t="n">
        <v>9387.139999999999</v>
      </c>
      <c r="CA45" s="2" t="n">
        <v>10730.46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1221</v>
      </c>
      <c r="B46" t="inlineStr">
        <is>
          <t>SWID-MI</t>
        </is>
      </c>
      <c r="C46" t="inlineStr">
        <is>
          <t>Świdnica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31200.9</v>
      </c>
      <c r="R46" s="2" t="n">
        <v>0</v>
      </c>
      <c r="S46" s="2" t="n">
        <v>28889.72222222222</v>
      </c>
      <c r="T46" s="2" t="n">
        <v>10426.34</v>
      </c>
      <c r="U46" s="2" t="n">
        <v>19986.94</v>
      </c>
      <c r="V46" s="2" t="n">
        <v>787.62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31200.9</v>
      </c>
      <c r="BB46" s="2" t="n">
        <v>20774.56</v>
      </c>
      <c r="BC46" s="2">
        <f>F46+L46+R46+X46+AD46+AJ46+AP46+AV46+IF(BE46="",0,BE46)</f>
        <v/>
      </c>
      <c r="BD46" s="2" t="n">
        <v>319.928224</v>
      </c>
      <c r="BE46" s="2" t="n"/>
      <c r="BF46" s="2" t="n">
        <v>28889.72222222222</v>
      </c>
      <c r="BG46" s="2" t="n">
        <v>200</v>
      </c>
      <c r="BH46" s="2" t="n">
        <v>0</v>
      </c>
      <c r="BI46" s="2" t="n">
        <v>26868.14</v>
      </c>
      <c r="BJ46" s="2" t="n">
        <v>80.97958677685951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280.45656</v>
      </c>
      <c r="BQ46" s="2" t="n">
        <v>0</v>
      </c>
      <c r="BR46" s="2" t="n">
        <v>27454.57614677686</v>
      </c>
      <c r="BS46" s="2" t="n">
        <v>778.1611570247934</v>
      </c>
      <c r="BT46" s="2" t="n">
        <v>0</v>
      </c>
      <c r="BU46" s="2" t="n">
        <v>5590.456148760331</v>
      </c>
      <c r="BV46" s="2" t="n">
        <v>6368.617305785125</v>
      </c>
      <c r="BW46" s="2" t="n">
        <v>33823.19345256198</v>
      </c>
      <c r="BX46" s="2" t="n">
        <v>19986.94</v>
      </c>
      <c r="BY46" s="2" t="n">
        <v>787.62</v>
      </c>
      <c r="BZ46" s="2" t="n">
        <v>10426.34</v>
      </c>
      <c r="CA46" s="2" t="n">
        <v>20774.56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1222</v>
      </c>
      <c r="B47" t="inlineStr">
        <is>
          <t>Dworcowa 33, 83-400 Kościerzyna</t>
        </is>
      </c>
      <c r="C47" t="inlineStr">
        <is>
          <t>Kościerzyna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2443.64</v>
      </c>
      <c r="AP47" s="2" t="n">
        <v>4050</v>
      </c>
      <c r="AQ47" s="2" t="n">
        <v>2262.62962962963</v>
      </c>
      <c r="AR47" s="2" t="n">
        <v>0</v>
      </c>
      <c r="AS47" s="2" t="n">
        <v>2343.74</v>
      </c>
      <c r="AT47" s="2" t="n">
        <v>99.90000000000001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2443.64</v>
      </c>
      <c r="BB47" s="2" t="n">
        <v>2443.64</v>
      </c>
      <c r="BC47" s="2">
        <f>F47+L47+R47+X47+AD47+AJ47+AP47+AV47+IF(BE47="",0,BE47)</f>
        <v/>
      </c>
      <c r="BD47" s="2" t="n">
        <v>37.632056</v>
      </c>
      <c r="BE47" s="2" t="n"/>
      <c r="BF47" s="2" t="n">
        <v>2262.62962962963</v>
      </c>
      <c r="BG47" s="2" t="n">
        <v>0</v>
      </c>
      <c r="BH47" s="2" t="n">
        <v>0</v>
      </c>
      <c r="BI47" s="2" t="n">
        <v>26868.14</v>
      </c>
      <c r="BJ47" s="2" t="n">
        <v>80.97958677685951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32.98914</v>
      </c>
      <c r="BQ47" s="2" t="n">
        <v>0</v>
      </c>
      <c r="BR47" s="2" t="n">
        <v>27007.10872677686</v>
      </c>
      <c r="BS47" s="2" t="n">
        <v>778.1611570247934</v>
      </c>
      <c r="BT47" s="2" t="n">
        <v>0</v>
      </c>
      <c r="BU47" s="2" t="n">
        <v>5550.456148760331</v>
      </c>
      <c r="BV47" s="2" t="n">
        <v>6328.617305785125</v>
      </c>
      <c r="BW47" s="2" t="n">
        <v>33335.72603256199</v>
      </c>
      <c r="BX47" s="2" t="n">
        <v>2343.74</v>
      </c>
      <c r="BY47" s="2" t="n">
        <v>99.90000000000001</v>
      </c>
      <c r="BZ47" s="2" t="n">
        <v>0</v>
      </c>
      <c r="CA47" s="2" t="n">
        <v>2443.64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1223</v>
      </c>
      <c r="B48" t="inlineStr">
        <is>
          <t>Dworcowa 17, 82-200 Malbork</t>
        </is>
      </c>
      <c r="C48" t="inlineStr">
        <is>
          <t>Malbork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7554.360000000001</v>
      </c>
      <c r="L48" s="2" t="n">
        <v>628.8305222222223</v>
      </c>
      <c r="M48" s="2" t="n">
        <v>6994.777777777778</v>
      </c>
      <c r="N48" s="2" t="n">
        <v>2722.37</v>
      </c>
      <c r="O48" s="2" t="n">
        <v>4410.77</v>
      </c>
      <c r="P48" s="2" t="n">
        <v>421.22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15676.79</v>
      </c>
      <c r="AP48" s="2" t="n">
        <v>1146.728157407407</v>
      </c>
      <c r="AQ48" s="2" t="n">
        <v>14515.5462962963</v>
      </c>
      <c r="AR48" s="2" t="n">
        <v>5158.01</v>
      </c>
      <c r="AS48" s="2" t="n">
        <v>9778.24</v>
      </c>
      <c r="AT48" s="2" t="n">
        <v>740.54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23231.15</v>
      </c>
      <c r="BB48" s="2" t="n">
        <v>15350.77</v>
      </c>
      <c r="BC48" s="2">
        <f>F48+L48+R48+X48+AD48+AJ48+AP48+AV48+IF(BE48="",0,BE48)</f>
        <v/>
      </c>
      <c r="BD48" s="2" t="n">
        <v>236.401858</v>
      </c>
      <c r="BE48" s="2" t="n"/>
      <c r="BF48" s="2" t="n">
        <v>21510.32407407407</v>
      </c>
      <c r="BG48" s="2" t="n">
        <v>440.48</v>
      </c>
      <c r="BH48" s="2" t="n">
        <v>117</v>
      </c>
      <c r="BI48" s="2" t="n">
        <v>26868.14</v>
      </c>
      <c r="BJ48" s="2" t="n">
        <v>80.97958677685951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207.235395</v>
      </c>
      <c r="BQ48" s="2" t="n">
        <v>0</v>
      </c>
      <c r="BR48" s="2" t="n">
        <v>27738.83498177686</v>
      </c>
      <c r="BS48" s="2" t="n">
        <v>778.1611570247934</v>
      </c>
      <c r="BT48" s="2" t="n">
        <v>0</v>
      </c>
      <c r="BU48" s="2" t="n">
        <v>5661.952148760331</v>
      </c>
      <c r="BV48" s="2" t="n">
        <v>6440.113305785124</v>
      </c>
      <c r="BW48" s="2" t="n">
        <v>34178.94828756198</v>
      </c>
      <c r="BX48" s="2" t="n">
        <v>14189.01</v>
      </c>
      <c r="BY48" s="2" t="n">
        <v>1161.76</v>
      </c>
      <c r="BZ48" s="2" t="n">
        <v>7880.38</v>
      </c>
      <c r="CA48" s="2" t="n">
        <v>15350.77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1224</v>
      </c>
      <c r="B49" t="inlineStr">
        <is>
          <t>Kuznica</t>
        </is>
      </c>
      <c r="C49" t="inlineStr">
        <is>
          <t>Kuźnica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1279</v>
      </c>
      <c r="AP49" s="2" t="n">
        <v>4052</v>
      </c>
      <c r="AQ49" s="2" t="n">
        <v>1184.259259259259</v>
      </c>
      <c r="AR49" s="2" t="n">
        <v>0</v>
      </c>
      <c r="AS49" s="2" t="n">
        <v>1224.39</v>
      </c>
      <c r="AT49" s="2" t="n">
        <v>54.61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1279</v>
      </c>
      <c r="BB49" s="2" t="n">
        <v>1279</v>
      </c>
      <c r="BC49" s="2">
        <f>F49+L49+R49+X49+AD49+AJ49+AP49+AV49+IF(BE49="",0,BE49)</f>
        <v/>
      </c>
      <c r="BD49" s="2" t="n">
        <v>19.6966</v>
      </c>
      <c r="BE49" s="2" t="n"/>
      <c r="BF49" s="2" t="n">
        <v>1184.259259259259</v>
      </c>
      <c r="BG49" s="2" t="n">
        <v>440.48</v>
      </c>
      <c r="BH49" s="2" t="n">
        <v>141</v>
      </c>
      <c r="BI49" s="2" t="n">
        <v>26868.14</v>
      </c>
      <c r="BJ49" s="2" t="n">
        <v>80.97958677685951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17.2665</v>
      </c>
      <c r="BQ49" s="2" t="n">
        <v>0</v>
      </c>
      <c r="BR49" s="2" t="n">
        <v>27572.86608677686</v>
      </c>
      <c r="BS49" s="2" t="n">
        <v>778.1611570247934</v>
      </c>
      <c r="BT49" s="2" t="n">
        <v>0</v>
      </c>
      <c r="BU49" s="2" t="n">
        <v>5666.752148760331</v>
      </c>
      <c r="BV49" s="2" t="n">
        <v>6444.913305785124</v>
      </c>
      <c r="BW49" s="2" t="n">
        <v>34017.77939256198</v>
      </c>
      <c r="BX49" s="2" t="n">
        <v>1224.39</v>
      </c>
      <c r="BY49" s="2" t="n">
        <v>54.61</v>
      </c>
      <c r="BZ49" s="2" t="n">
        <v>0</v>
      </c>
      <c r="CA49" s="2" t="n">
        <v>1279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1225</v>
      </c>
      <c r="B50" t="inlineStr">
        <is>
          <t>Plac Legionów 2, 37-700 Przemyśl</t>
        </is>
      </c>
      <c r="C50" t="inlineStr">
        <is>
          <t>Przemyśl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26722</v>
      </c>
      <c r="L50" s="2" t="n">
        <v>2224.359074074074</v>
      </c>
      <c r="M50" s="2" t="n">
        <v>24742.59259259259</v>
      </c>
      <c r="N50" s="2" t="n">
        <v>1610.3</v>
      </c>
      <c r="O50" s="2" t="n">
        <v>24957.7</v>
      </c>
      <c r="P50" s="2" t="n">
        <v>154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5522.910000000001</v>
      </c>
      <c r="AP50" s="2" t="n">
        <v>403.9906388888889</v>
      </c>
      <c r="AQ50" s="2" t="n">
        <v>5113.805555555556</v>
      </c>
      <c r="AR50" s="2" t="n">
        <v>1341.65</v>
      </c>
      <c r="AS50" s="2" t="n">
        <v>4138.06</v>
      </c>
      <c r="AT50" s="2" t="n">
        <v>43.2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32244.91</v>
      </c>
      <c r="BB50" s="2" t="n">
        <v>29292.96</v>
      </c>
      <c r="BC50" s="2">
        <f>F50+L50+R50+X50+AD50+AJ50+AP50+AV50+IF(BE50="",0,BE50)</f>
        <v/>
      </c>
      <c r="BD50" s="2" t="n">
        <v>451.1115840000001</v>
      </c>
      <c r="BE50" s="2" t="n"/>
      <c r="BF50" s="2" t="n">
        <v>29856.39814814815</v>
      </c>
      <c r="BG50" s="2" t="n">
        <v>440.48</v>
      </c>
      <c r="BH50" s="2" t="n">
        <v>113</v>
      </c>
      <c r="BI50" s="2" t="n">
        <v>26868.14</v>
      </c>
      <c r="BJ50" s="2" t="n">
        <v>80.97958677685951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395.45496</v>
      </c>
      <c r="BQ50" s="2" t="n">
        <v>0</v>
      </c>
      <c r="BR50" s="2" t="n">
        <v>27923.05454677686</v>
      </c>
      <c r="BS50" s="2" t="n">
        <v>778.1611570247934</v>
      </c>
      <c r="BT50" s="2" t="n">
        <v>0</v>
      </c>
      <c r="BU50" s="2" t="n">
        <v>5661.152148760331</v>
      </c>
      <c r="BV50" s="2" t="n">
        <v>6439.313305785125</v>
      </c>
      <c r="BW50" s="2" t="n">
        <v>34362.36785256198</v>
      </c>
      <c r="BX50" s="2" t="n">
        <v>29095.76</v>
      </c>
      <c r="BY50" s="2" t="n">
        <v>197.2</v>
      </c>
      <c r="BZ50" s="2" t="n">
        <v>2951.95</v>
      </c>
      <c r="CA50" s="2" t="n">
        <v>29292.96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1226</v>
      </c>
      <c r="B51" t="inlineStr">
        <is>
          <t>Plac Dworcowy 3, 33-100 Tarnów</t>
        </is>
      </c>
      <c r="C51" t="inlineStr">
        <is>
          <t>Tarnów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9642.48</v>
      </c>
      <c r="L51" s="2" t="n">
        <v>802.6471777777778</v>
      </c>
      <c r="M51" s="2" t="n">
        <v>8928.222222222221</v>
      </c>
      <c r="N51" s="2" t="n">
        <v>1544.12</v>
      </c>
      <c r="O51" s="2" t="n">
        <v>7947.45</v>
      </c>
      <c r="P51" s="2" t="n">
        <v>150.91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7532.459999999999</v>
      </c>
      <c r="AP51" s="2" t="n">
        <v>550.9854999999999</v>
      </c>
      <c r="AQ51" s="2" t="n">
        <v>6974.499999999999</v>
      </c>
      <c r="AR51" s="2" t="n">
        <v>1887.27</v>
      </c>
      <c r="AS51" s="2" t="n">
        <v>5556.53</v>
      </c>
      <c r="AT51" s="2" t="n">
        <v>88.66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17174.94</v>
      </c>
      <c r="BB51" s="2" t="n">
        <v>13743.55</v>
      </c>
      <c r="BC51" s="2">
        <f>F51+L51+R51+X51+AD51+AJ51+AP51+AV51+IF(BE51="",0,BE51)</f>
        <v/>
      </c>
      <c r="BD51" s="2" t="n">
        <v>211.65067</v>
      </c>
      <c r="BE51" s="2" t="n"/>
      <c r="BF51" s="2" t="n">
        <v>15902.72222222222</v>
      </c>
      <c r="BG51" s="2" t="n">
        <v>440.48</v>
      </c>
      <c r="BH51" s="2" t="n">
        <v>142</v>
      </c>
      <c r="BI51" s="2" t="n">
        <v>26868.14</v>
      </c>
      <c r="BJ51" s="2" t="n">
        <v>80.97958677685951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185.537925</v>
      </c>
      <c r="BQ51" s="2" t="n">
        <v>0</v>
      </c>
      <c r="BR51" s="2" t="n">
        <v>27742.13751177686</v>
      </c>
      <c r="BS51" s="2" t="n">
        <v>778.1611570247934</v>
      </c>
      <c r="BT51" s="2" t="n">
        <v>0</v>
      </c>
      <c r="BU51" s="2" t="n">
        <v>5666.952148760331</v>
      </c>
      <c r="BV51" s="2" t="n">
        <v>6445.113305785124</v>
      </c>
      <c r="BW51" s="2" t="n">
        <v>34187.25081756198</v>
      </c>
      <c r="BX51" s="2" t="n">
        <v>13503.98</v>
      </c>
      <c r="BY51" s="2" t="n">
        <v>239.57</v>
      </c>
      <c r="BZ51" s="2" t="n">
        <v>3431.39</v>
      </c>
      <c r="CA51" s="2" t="n">
        <v>13743.55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1227</v>
      </c>
      <c r="B52" t="inlineStr">
        <is>
          <t>Bochnia</t>
        </is>
      </c>
      <c r="C52" t="inlineStr"/>
      <c r="D52" t="inlineStr"/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2740.3</v>
      </c>
      <c r="L52" s="2" t="n">
        <v>228.1046018518519</v>
      </c>
      <c r="M52" s="2" t="n">
        <v>2537.314814814815</v>
      </c>
      <c r="N52" s="2" t="n">
        <v>853.87</v>
      </c>
      <c r="O52" s="2" t="n">
        <v>1856.43</v>
      </c>
      <c r="P52" s="2" t="n">
        <v>30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2920.22</v>
      </c>
      <c r="X52" s="2" t="n">
        <v>350</v>
      </c>
      <c r="Y52" s="2" t="n">
        <v>2703.907407407407</v>
      </c>
      <c r="Z52" s="2" t="n">
        <v>1157.31</v>
      </c>
      <c r="AA52" s="2" t="n">
        <v>1676.22</v>
      </c>
      <c r="AB52" s="2" t="n">
        <v>86.69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1102.45</v>
      </c>
      <c r="AP52" s="2" t="n">
        <v>80.64217592592593</v>
      </c>
      <c r="AQ52" s="2" t="n">
        <v>1020.787037037037</v>
      </c>
      <c r="AR52" s="2" t="n">
        <v>147.79</v>
      </c>
      <c r="AS52" s="2" t="n">
        <v>930.2</v>
      </c>
      <c r="AT52" s="2" t="n">
        <v>24.46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6762.97</v>
      </c>
      <c r="BB52" s="2" t="n">
        <v>4604</v>
      </c>
      <c r="BC52" s="2">
        <f>F52+L52+R52+X52+AD52+AJ52+AP52+AV52+IF(BE52="",0,BE52)</f>
        <v/>
      </c>
      <c r="BD52" s="2" t="n">
        <v>67.552071</v>
      </c>
      <c r="BE52" s="2" t="n"/>
      <c r="BF52" s="2" t="n">
        <v>6262.009259259259</v>
      </c>
      <c r="BG52" s="2" t="n">
        <v>440.48</v>
      </c>
      <c r="BH52" s="2" t="n">
        <v>92.8</v>
      </c>
      <c r="BI52" s="2" t="n">
        <v>26868.14</v>
      </c>
      <c r="BJ52" s="2" t="n">
        <v>80.97958677685951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62.15400000000001</v>
      </c>
      <c r="BQ52" s="2" t="n">
        <v>0</v>
      </c>
      <c r="BR52" s="2" t="n">
        <v>27569.55358677686</v>
      </c>
      <c r="BS52" s="2" t="n">
        <v>778.1611570247934</v>
      </c>
      <c r="BT52" s="2" t="n">
        <v>0</v>
      </c>
      <c r="BU52" s="2" t="n">
        <v>5657.11214876033</v>
      </c>
      <c r="BV52" s="2" t="n">
        <v>6435.273305785124</v>
      </c>
      <c r="BW52" s="2" t="n">
        <v>34004.82689256198</v>
      </c>
      <c r="BX52" s="2" t="n">
        <v>4462.85</v>
      </c>
      <c r="BY52" s="2" t="n">
        <v>141.15</v>
      </c>
      <c r="BZ52" s="2" t="n">
        <v>2158.97</v>
      </c>
      <c r="CA52" s="2" t="n">
        <v>4604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1228</v>
      </c>
      <c r="B53" t="inlineStr">
        <is>
          <t>Sosnowiec</t>
        </is>
      </c>
      <c r="C53" t="inlineStr"/>
      <c r="D53" t="inlineStr"/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5826.18</v>
      </c>
      <c r="L53" s="2" t="n">
        <v>484.9755388888889</v>
      </c>
      <c r="M53" s="2" t="n">
        <v>5394.611111111111</v>
      </c>
      <c r="N53" s="2" t="n">
        <v>1517.95</v>
      </c>
      <c r="O53" s="2" t="n">
        <v>3852.56</v>
      </c>
      <c r="P53" s="2" t="n">
        <v>455.67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5826.18</v>
      </c>
      <c r="BB53" s="2" t="n">
        <v>4308.23</v>
      </c>
      <c r="BC53" s="2">
        <f>F53+L53+R53+X53+AD53+AJ53+AP53+AV53+IF(BE53="",0,BE53)</f>
        <v/>
      </c>
      <c r="BD53" s="2" t="n">
        <v>66.34674199999999</v>
      </c>
      <c r="BE53" s="2" t="n"/>
      <c r="BF53" s="2" t="n">
        <v>5394.611111111111</v>
      </c>
      <c r="BG53" s="2" t="n">
        <v>254.88</v>
      </c>
      <c r="BH53" s="2" t="n">
        <v>311.21</v>
      </c>
      <c r="BI53" s="2" t="n">
        <v>26868.14</v>
      </c>
      <c r="BJ53" s="2" t="n">
        <v>80.97958677685951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58.16110499999999</v>
      </c>
      <c r="BQ53" s="2" t="n">
        <v>0</v>
      </c>
      <c r="BR53" s="2" t="n">
        <v>27598.37069177686</v>
      </c>
      <c r="BS53" s="2" t="n">
        <v>778.1611570247934</v>
      </c>
      <c r="BT53" s="2" t="n">
        <v>0</v>
      </c>
      <c r="BU53" s="2" t="n">
        <v>5663.674148760331</v>
      </c>
      <c r="BV53" s="2" t="n">
        <v>6441.835305785125</v>
      </c>
      <c r="BW53" s="2" t="n">
        <v>34040.20599756198</v>
      </c>
      <c r="BX53" s="2" t="n">
        <v>3852.56</v>
      </c>
      <c r="BY53" s="2" t="n">
        <v>455.67</v>
      </c>
      <c r="BZ53" s="2" t="n">
        <v>1517.95</v>
      </c>
      <c r="CA53" s="2" t="n">
        <v>4308.23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1229</v>
      </c>
      <c r="B54" t="inlineStr">
        <is>
          <t>Tychy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2579.42</v>
      </c>
      <c r="L54" s="2" t="n">
        <v>214.7128314814815</v>
      </c>
      <c r="M54" s="2" t="n">
        <v>2388.351851851851</v>
      </c>
      <c r="N54" s="2" t="n">
        <v>1024.36</v>
      </c>
      <c r="O54" s="2" t="n">
        <v>1237.67</v>
      </c>
      <c r="P54" s="2" t="n">
        <v>317.39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2579.42</v>
      </c>
      <c r="BB54" s="2" t="n">
        <v>1555.06</v>
      </c>
      <c r="BC54" s="2">
        <f>F54+L54+R54+X54+AD54+AJ54+AP54+AV54+IF(BE54="",0,BE54)</f>
        <v/>
      </c>
      <c r="BD54" s="2" t="n">
        <v>23.947924</v>
      </c>
      <c r="BE54" s="2" t="n"/>
      <c r="BF54" s="2" t="n">
        <v>2388.351851851851</v>
      </c>
      <c r="BG54" s="2" t="n">
        <v>0</v>
      </c>
      <c r="BH54" s="2" t="n">
        <v>0</v>
      </c>
      <c r="BI54" s="2" t="n">
        <v>26868.14</v>
      </c>
      <c r="BJ54" s="2" t="n">
        <v>80.97958677685951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20.99331</v>
      </c>
      <c r="BQ54" s="2" t="n">
        <v>0</v>
      </c>
      <c r="BR54" s="2" t="n">
        <v>26995.11289677686</v>
      </c>
      <c r="BS54" s="2" t="n">
        <v>778.1611570247934</v>
      </c>
      <c r="BT54" s="2" t="n">
        <v>0</v>
      </c>
      <c r="BU54" s="2" t="n">
        <v>5550.456148760331</v>
      </c>
      <c r="BV54" s="2" t="n">
        <v>6328.617305785125</v>
      </c>
      <c r="BW54" s="2" t="n">
        <v>33323.73020256199</v>
      </c>
      <c r="BX54" s="2" t="n">
        <v>1237.67</v>
      </c>
      <c r="BY54" s="2" t="n">
        <v>317.39</v>
      </c>
      <c r="BZ54" s="2" t="n">
        <v>1024.36</v>
      </c>
      <c r="CA54" s="2" t="n">
        <v>1555.06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1230</v>
      </c>
      <c r="B55" t="inlineStr">
        <is>
          <t>Bohaterów Getta Warszawskiego 12, 44-100 Gliwice</t>
        </is>
      </c>
      <c r="C55" t="inlineStr">
        <is>
          <t>Gliwice</t>
        </is>
      </c>
      <c r="D55" t="inlineStr">
        <is>
          <t>ST|40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10673.73</v>
      </c>
      <c r="L55" s="2" t="n">
        <v>888.4891916666668</v>
      </c>
      <c r="M55" s="2" t="n">
        <v>9883.083333333334</v>
      </c>
      <c r="N55" s="2" t="n">
        <v>2713.1</v>
      </c>
      <c r="O55" s="2" t="n">
        <v>7004.43</v>
      </c>
      <c r="P55" s="2" t="n">
        <v>956.2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10673.73</v>
      </c>
      <c r="BB55" s="2" t="n">
        <v>7960.63</v>
      </c>
      <c r="BC55" s="2">
        <f>F55+L55+R55+X55+AD55+AJ55+AP55+AV55+IF(BE55="",0,BE55)</f>
        <v/>
      </c>
      <c r="BD55" s="2" t="n">
        <v>122.593702</v>
      </c>
      <c r="BE55" s="2" t="n"/>
      <c r="BF55" s="2" t="n">
        <v>9883.083333333334</v>
      </c>
      <c r="BG55" s="2" t="n">
        <v>1143.51</v>
      </c>
      <c r="BH55" s="2" t="n">
        <v>109.6</v>
      </c>
      <c r="BI55" s="2" t="n">
        <v>26868.14</v>
      </c>
      <c r="BJ55" s="2" t="n">
        <v>80.97958677685951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107.468505</v>
      </c>
      <c r="BQ55" s="2" t="n">
        <v>0</v>
      </c>
      <c r="BR55" s="2" t="n">
        <v>28334.69809177686</v>
      </c>
      <c r="BS55" s="2" t="n">
        <v>778.1611570247934</v>
      </c>
      <c r="BT55" s="2" t="n">
        <v>0</v>
      </c>
      <c r="BU55" s="2" t="n">
        <v>5801.078148760331</v>
      </c>
      <c r="BV55" s="2" t="n">
        <v>6579.239305785124</v>
      </c>
      <c r="BW55" s="2" t="n">
        <v>34913.93739756198</v>
      </c>
      <c r="BX55" s="2" t="n">
        <v>7004.43</v>
      </c>
      <c r="BY55" s="2" t="n">
        <v>956.2</v>
      </c>
      <c r="BZ55" s="2" t="n">
        <v>2713.1</v>
      </c>
      <c r="CA55" s="2" t="n">
        <v>7960.63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1231</v>
      </c>
      <c r="B56" t="inlineStr">
        <is>
          <t>Rybnik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3719.97</v>
      </c>
      <c r="L56" s="2" t="n">
        <v>309.6530583333333</v>
      </c>
      <c r="M56" s="2" t="n">
        <v>3444.416666666667</v>
      </c>
      <c r="N56" s="2" t="n">
        <v>1338.03</v>
      </c>
      <c r="O56" s="2" t="n">
        <v>2200.52</v>
      </c>
      <c r="P56" s="2" t="n">
        <v>181.42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3719.97</v>
      </c>
      <c r="BB56" s="2" t="n">
        <v>2381.94</v>
      </c>
      <c r="BC56" s="2">
        <f>F56+L56+R56+X56+AD56+AJ56+AP56+AV56+IF(BE56="",0,BE56)</f>
        <v/>
      </c>
      <c r="BD56" s="2" t="n">
        <v>36.681876</v>
      </c>
      <c r="BE56" s="2" t="n"/>
      <c r="BF56" s="2" t="n">
        <v>3444.416666666667</v>
      </c>
      <c r="BG56" s="2" t="n">
        <v>571.8200000000001</v>
      </c>
      <c r="BH56" s="2" t="n">
        <v>179</v>
      </c>
      <c r="BI56" s="2" t="n">
        <v>26868.14</v>
      </c>
      <c r="BJ56" s="2" t="n">
        <v>80.97958677685951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32.15619</v>
      </c>
      <c r="BQ56" s="2" t="n">
        <v>0</v>
      </c>
      <c r="BR56" s="2" t="n">
        <v>27757.09577677686</v>
      </c>
      <c r="BS56" s="2" t="n">
        <v>778.1611570247934</v>
      </c>
      <c r="BT56" s="2" t="n">
        <v>0</v>
      </c>
      <c r="BU56" s="2" t="n">
        <v>5700.620148760331</v>
      </c>
      <c r="BV56" s="2" t="n">
        <v>6478.781305785124</v>
      </c>
      <c r="BW56" s="2" t="n">
        <v>34235.87708256199</v>
      </c>
      <c r="BX56" s="2" t="n">
        <v>2200.52</v>
      </c>
      <c r="BY56" s="2" t="n">
        <v>181.42</v>
      </c>
      <c r="BZ56" s="2" t="n">
        <v>1338.03</v>
      </c>
      <c r="CA56" s="2" t="n">
        <v>2381.94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1232</v>
      </c>
      <c r="B57" t="inlineStr">
        <is>
          <t>Bielsko Biala</t>
        </is>
      </c>
      <c r="C57" t="inlineStr">
        <is>
          <t>Oława Zachodnia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3677.190000000001</v>
      </c>
      <c r="L57" s="2" t="n">
        <v>306.0920194444445</v>
      </c>
      <c r="M57" s="2" t="n">
        <v>3404.805555555556</v>
      </c>
      <c r="N57" s="2" t="n">
        <v>1188.43</v>
      </c>
      <c r="O57" s="2" t="n">
        <v>2423.01</v>
      </c>
      <c r="P57" s="2" t="n">
        <v>65.75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3677.190000000001</v>
      </c>
      <c r="BB57" s="2" t="n">
        <v>2488.76</v>
      </c>
      <c r="BC57" s="2">
        <f>F57+L57+R57+X57+AD57+AJ57+AP57+AV57+IF(BE57="",0,BE57)</f>
        <v/>
      </c>
      <c r="BD57" s="2" t="n">
        <v>38.32690400000001</v>
      </c>
      <c r="BE57" s="2" t="n"/>
      <c r="BF57" s="2" t="n">
        <v>3404.805555555556</v>
      </c>
      <c r="BG57" s="2" t="n">
        <v>560.99</v>
      </c>
      <c r="BH57" s="2" t="n">
        <v>28</v>
      </c>
      <c r="BI57" s="2" t="n">
        <v>26868.14</v>
      </c>
      <c r="BJ57" s="2" t="n">
        <v>80.97958677685951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33.59826</v>
      </c>
      <c r="BQ57" s="2" t="n">
        <v>0</v>
      </c>
      <c r="BR57" s="2" t="n">
        <v>27596.70784677686</v>
      </c>
      <c r="BS57" s="2" t="n">
        <v>778.1611570247934</v>
      </c>
      <c r="BT57" s="2" t="n">
        <v>0</v>
      </c>
      <c r="BU57" s="2" t="n">
        <v>5668.254148760331</v>
      </c>
      <c r="BV57" s="2" t="n">
        <v>6446.415305785124</v>
      </c>
      <c r="BW57" s="2" t="n">
        <v>34043.12315256198</v>
      </c>
      <c r="BX57" s="2" t="n">
        <v>2423.01</v>
      </c>
      <c r="BY57" s="2" t="n">
        <v>65.75</v>
      </c>
      <c r="BZ57" s="2" t="n">
        <v>1188.43</v>
      </c>
      <c r="CA57" s="2" t="n">
        <v>2488.76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1233</v>
      </c>
      <c r="B58" t="inlineStr">
        <is>
          <t>Lubliniec</t>
        </is>
      </c>
      <c r="C58" t="inlineStr"/>
      <c r="D58" t="inlineStr"/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4310.99</v>
      </c>
      <c r="L58" s="2" t="n">
        <v>358.8500009259259</v>
      </c>
      <c r="M58" s="2" t="n">
        <v>3991.657407407407</v>
      </c>
      <c r="N58" s="2" t="n">
        <v>1962.4</v>
      </c>
      <c r="O58" s="2" t="n">
        <v>2185.59</v>
      </c>
      <c r="P58" s="2" t="n">
        <v>163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4310.99</v>
      </c>
      <c r="BB58" s="2" t="n">
        <v>2348.59</v>
      </c>
      <c r="BC58" s="2">
        <f>F58+L58+R58+X58+AD58+AJ58+AP58+AV58+IF(BE58="",0,BE58)</f>
        <v/>
      </c>
      <c r="BD58" s="2" t="n">
        <v>36.168286</v>
      </c>
      <c r="BE58" s="2" t="n"/>
      <c r="BF58" s="2" t="n">
        <v>3991.657407407407</v>
      </c>
      <c r="BG58" s="2" t="n">
        <v>432.34</v>
      </c>
      <c r="BH58" s="2" t="n">
        <v>127</v>
      </c>
      <c r="BI58" s="2" t="n">
        <v>26868.14</v>
      </c>
      <c r="BJ58" s="2" t="n">
        <v>80.97958677685951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31.705965</v>
      </c>
      <c r="BQ58" s="2" t="n">
        <v>0</v>
      </c>
      <c r="BR58" s="2" t="n">
        <v>27565.16555177686</v>
      </c>
      <c r="BS58" s="2" t="n">
        <v>778.1611570247934</v>
      </c>
      <c r="BT58" s="2" t="n">
        <v>0</v>
      </c>
      <c r="BU58" s="2" t="n">
        <v>5662.324148760331</v>
      </c>
      <c r="BV58" s="2" t="n">
        <v>6440.485305785124</v>
      </c>
      <c r="BW58" s="2" t="n">
        <v>34005.65085756198</v>
      </c>
      <c r="BX58" s="2" t="n">
        <v>2185.59</v>
      </c>
      <c r="BY58" s="2" t="n">
        <v>163</v>
      </c>
      <c r="BZ58" s="2" t="n">
        <v>1962.4</v>
      </c>
      <c r="CA58" s="2" t="n">
        <v>2348.59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1234</v>
      </c>
      <c r="B59" t="inlineStr">
        <is>
          <t>Kolejowa 88, 68-100 Żagań</t>
        </is>
      </c>
      <c r="C59" t="inlineStr">
        <is>
          <t>Żagań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581.9300000000001</v>
      </c>
      <c r="L59" s="2" t="n">
        <v>48.44028425925927</v>
      </c>
      <c r="M59" s="2" t="n">
        <v>538.8240740740741</v>
      </c>
      <c r="N59" s="2" t="n">
        <v>238.33</v>
      </c>
      <c r="O59" s="2" t="n">
        <v>343.6</v>
      </c>
      <c r="P59" s="2" t="n">
        <v>0</v>
      </c>
      <c r="Q59" s="2" t="n">
        <v>4401.42</v>
      </c>
      <c r="R59" s="2" t="n">
        <v>0</v>
      </c>
      <c r="S59" s="2" t="n">
        <v>4075.388888888889</v>
      </c>
      <c r="T59" s="2" t="n">
        <v>998.79</v>
      </c>
      <c r="U59" s="2" t="n">
        <v>2955.83</v>
      </c>
      <c r="V59" s="2" t="n">
        <v>446.8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3430.67</v>
      </c>
      <c r="AP59" s="2" t="n">
        <v>250.9471574074074</v>
      </c>
      <c r="AQ59" s="2" t="n">
        <v>3176.546296296296</v>
      </c>
      <c r="AR59" s="2" t="n">
        <v>1180.21</v>
      </c>
      <c r="AS59" s="2" t="n">
        <v>2087</v>
      </c>
      <c r="AT59" s="2" t="n">
        <v>163.46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8414.02</v>
      </c>
      <c r="BB59" s="2" t="n">
        <v>5996.690000000001</v>
      </c>
      <c r="BC59" s="2">
        <f>F59+L59+R59+X59+AD59+AJ59+AP59+AV59+IF(BE59="",0,BE59)</f>
        <v/>
      </c>
      <c r="BD59" s="2" t="n">
        <v>92.34902600000001</v>
      </c>
      <c r="BE59" s="2" t="n"/>
      <c r="BF59" s="2" t="n">
        <v>7790.759259259259</v>
      </c>
      <c r="BG59" s="2" t="n">
        <v>573.49</v>
      </c>
      <c r="BH59" s="2" t="n">
        <v>214</v>
      </c>
      <c r="BI59" s="2" t="n">
        <v>26868.14</v>
      </c>
      <c r="BJ59" s="2" t="n">
        <v>80.97958677685951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80.955315</v>
      </c>
      <c r="BQ59" s="2" t="n">
        <v>0</v>
      </c>
      <c r="BR59" s="2" t="n">
        <v>27842.56490177686</v>
      </c>
      <c r="BS59" s="2" t="n">
        <v>778.1611570247934</v>
      </c>
      <c r="BT59" s="2" t="n">
        <v>0</v>
      </c>
      <c r="BU59" s="2" t="n">
        <v>5707.954148760331</v>
      </c>
      <c r="BV59" s="2" t="n">
        <v>6486.115305785124</v>
      </c>
      <c r="BW59" s="2" t="n">
        <v>34328.68020756199</v>
      </c>
      <c r="BX59" s="2" t="n">
        <v>5386.43</v>
      </c>
      <c r="BY59" s="2" t="n">
        <v>610.26</v>
      </c>
      <c r="BZ59" s="2" t="n">
        <v>2417.33</v>
      </c>
      <c r="CA59" s="2" t="n">
        <v>5996.690000000001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1235</v>
      </c>
      <c r="B60" t="inlineStr">
        <is>
          <t>Dworcowa 2, 61-801 Poznań</t>
        </is>
      </c>
      <c r="C60" t="inlineStr">
        <is>
          <t>Poznań Główny, Dworzec Zachodni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9199.65</v>
      </c>
      <c r="L60" s="2" t="n">
        <v>765.7856805555556</v>
      </c>
      <c r="M60" s="2" t="n">
        <v>8518.194444444443</v>
      </c>
      <c r="N60" s="2" t="n">
        <v>2141.88</v>
      </c>
      <c r="O60" s="2" t="n">
        <v>6534.01</v>
      </c>
      <c r="P60" s="2" t="n">
        <v>523.76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18137.31</v>
      </c>
      <c r="AD60" s="2" t="n">
        <v>1158.772583333333</v>
      </c>
      <c r="AE60" s="2" t="n">
        <v>16793.80555555555</v>
      </c>
      <c r="AF60" s="2" t="n">
        <v>4376.45</v>
      </c>
      <c r="AG60" s="2" t="n">
        <v>13132.92</v>
      </c>
      <c r="AH60" s="2" t="n">
        <v>627.9400000000001</v>
      </c>
      <c r="AI60" s="2" t="n">
        <v>78.86</v>
      </c>
      <c r="AJ60" s="2" t="n">
        <v>0</v>
      </c>
      <c r="AK60" s="2" t="n">
        <v>73.01851851851852</v>
      </c>
      <c r="AL60" s="2" t="n">
        <v>0</v>
      </c>
      <c r="AM60" s="2" t="n">
        <v>78.86</v>
      </c>
      <c r="AN60" s="2" t="n">
        <v>0</v>
      </c>
      <c r="AO60" s="2" t="n">
        <v>6715.73</v>
      </c>
      <c r="AP60" s="2" t="n">
        <v>491.2432129629629</v>
      </c>
      <c r="AQ60" s="2" t="n">
        <v>6218.268518518517</v>
      </c>
      <c r="AR60" s="2" t="n">
        <v>1445.49</v>
      </c>
      <c r="AS60" s="2" t="n">
        <v>5057.94</v>
      </c>
      <c r="AT60" s="2" t="n">
        <v>212.3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34131.55</v>
      </c>
      <c r="BB60" s="2" t="n">
        <v>26167.73</v>
      </c>
      <c r="BC60" s="2">
        <f>F60+L60+R60+X60+AD60+AJ60+AP60+AV60+IF(BE60="",0,BE60)</f>
        <v/>
      </c>
      <c r="BD60" s="2" t="n">
        <v>402.983042</v>
      </c>
      <c r="BE60" s="2" t="n"/>
      <c r="BF60" s="2" t="n">
        <v>31603.28703703703</v>
      </c>
      <c r="BG60" s="2" t="n">
        <v>458.58</v>
      </c>
      <c r="BH60" s="2" t="n">
        <v>0</v>
      </c>
      <c r="BI60" s="2" t="n">
        <v>26868.14</v>
      </c>
      <c r="BJ60" s="2" t="n">
        <v>80.97958677685951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353.264355</v>
      </c>
      <c r="BQ60" s="2" t="n">
        <v>0</v>
      </c>
      <c r="BR60" s="2" t="n">
        <v>27785.96394177686</v>
      </c>
      <c r="BS60" s="2" t="n">
        <v>778.1611570247934</v>
      </c>
      <c r="BT60" s="2" t="n">
        <v>0</v>
      </c>
      <c r="BU60" s="2" t="n">
        <v>5642.172148760332</v>
      </c>
      <c r="BV60" s="2" t="n">
        <v>6420.333305785125</v>
      </c>
      <c r="BW60" s="2" t="n">
        <v>34206.29724756198</v>
      </c>
      <c r="BX60" s="2" t="n">
        <v>24803.73</v>
      </c>
      <c r="BY60" s="2" t="n">
        <v>1364</v>
      </c>
      <c r="BZ60" s="2" t="n">
        <v>7963.82</v>
      </c>
      <c r="CA60" s="2" t="n">
        <v>26167.73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1236</v>
      </c>
      <c r="B61" t="inlineStr">
        <is>
          <t>Pelplin</t>
        </is>
      </c>
      <c r="C61" t="inlineStr">
        <is>
          <t>Pelplin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3580.33</v>
      </c>
      <c r="AP61" s="2" t="n">
        <v>3900</v>
      </c>
      <c r="AQ61" s="2" t="n">
        <v>3315.12037037037</v>
      </c>
      <c r="AR61" s="2" t="n">
        <v>0</v>
      </c>
      <c r="AS61" s="2" t="n">
        <v>3301.67</v>
      </c>
      <c r="AT61" s="2" t="n">
        <v>278.66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3580.33</v>
      </c>
      <c r="BB61" s="2" t="n">
        <v>3580.33</v>
      </c>
      <c r="BC61" s="2">
        <f>F61+L61+R61+X61+AD61+AJ61+AP61+AV61+IF(BE61="",0,BE61)</f>
        <v/>
      </c>
      <c r="BD61" s="2" t="n">
        <v>55.137082</v>
      </c>
      <c r="BE61" s="2" t="n"/>
      <c r="BF61" s="2" t="n">
        <v>3315.12037037037</v>
      </c>
      <c r="BG61" s="2" t="n">
        <v>458.58</v>
      </c>
      <c r="BH61" s="2" t="n">
        <v>0</v>
      </c>
      <c r="BI61" s="2" t="n">
        <v>26868.14</v>
      </c>
      <c r="BJ61" s="2" t="n">
        <v>80.97958677685951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48.334455</v>
      </c>
      <c r="BQ61" s="2" t="n">
        <v>0</v>
      </c>
      <c r="BR61" s="2" t="n">
        <v>27481.03404177686</v>
      </c>
      <c r="BS61" s="2" t="n">
        <v>778.1611570247934</v>
      </c>
      <c r="BT61" s="2" t="n">
        <v>0</v>
      </c>
      <c r="BU61" s="2" t="n">
        <v>5642.172148760332</v>
      </c>
      <c r="BV61" s="2" t="n">
        <v>6420.333305785125</v>
      </c>
      <c r="BW61" s="2" t="n">
        <v>33901.36734756199</v>
      </c>
      <c r="BX61" s="2" t="n">
        <v>3301.67</v>
      </c>
      <c r="BY61" s="2" t="n">
        <v>278.66</v>
      </c>
      <c r="BZ61" s="2" t="n">
        <v>0</v>
      </c>
      <c r="CA61" s="2" t="n">
        <v>3580.33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1237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13183.12</v>
      </c>
      <c r="L62" s="2" t="n">
        <v>1097.372674074074</v>
      </c>
      <c r="M62" s="2" t="n">
        <v>12206.59259259259</v>
      </c>
      <c r="N62" s="2" t="n">
        <v>3034.07</v>
      </c>
      <c r="O62" s="2" t="n">
        <v>9482.969999999999</v>
      </c>
      <c r="P62" s="2" t="n">
        <v>666.08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19512.99</v>
      </c>
      <c r="AD62" s="2" t="n">
        <v>1246.66325</v>
      </c>
      <c r="AE62" s="2" t="n">
        <v>18067.58333333333</v>
      </c>
      <c r="AF62" s="2" t="n">
        <v>4449.47</v>
      </c>
      <c r="AG62" s="2" t="n">
        <v>14394.1</v>
      </c>
      <c r="AH62" s="2" t="n">
        <v>669.42</v>
      </c>
      <c r="AI62" s="2" t="n">
        <v>33</v>
      </c>
      <c r="AJ62" s="2" t="n">
        <v>0</v>
      </c>
      <c r="AK62" s="2" t="n">
        <v>30.55555555555555</v>
      </c>
      <c r="AL62" s="2" t="n">
        <v>16.5</v>
      </c>
      <c r="AM62" s="2" t="n">
        <v>16.5</v>
      </c>
      <c r="AN62" s="2" t="n">
        <v>0</v>
      </c>
      <c r="AO62" s="2" t="n">
        <v>8944.470000000001</v>
      </c>
      <c r="AP62" s="2" t="n">
        <v>654.2714166666668</v>
      </c>
      <c r="AQ62" s="2" t="n">
        <v>8281.916666666668</v>
      </c>
      <c r="AR62" s="2" t="n">
        <v>2105.98</v>
      </c>
      <c r="AS62" s="2" t="n">
        <v>6544.62</v>
      </c>
      <c r="AT62" s="2" t="n">
        <v>293.87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41673.58</v>
      </c>
      <c r="BB62" s="2" t="n">
        <v>32067.56</v>
      </c>
      <c r="BC62" s="2">
        <f>F62+L62+R62+X62+AD62+AJ62+AP62+AV62+IF(BE62="",0,BE62)</f>
        <v/>
      </c>
      <c r="BD62" s="2" t="n">
        <v>493.840424</v>
      </c>
      <c r="BE62" s="2" t="n"/>
      <c r="BF62" s="2" t="n">
        <v>38586.64814814815</v>
      </c>
      <c r="BG62" s="2" t="n">
        <v>458.58</v>
      </c>
      <c r="BH62" s="2" t="n">
        <v>0</v>
      </c>
      <c r="BI62" s="2" t="n">
        <v>26868.14</v>
      </c>
      <c r="BJ62" s="2" t="n">
        <v>80.97958677685951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432.91206</v>
      </c>
      <c r="BQ62" s="2" t="n">
        <v>0</v>
      </c>
      <c r="BR62" s="2" t="n">
        <v>27865.61164677686</v>
      </c>
      <c r="BS62" s="2" t="n">
        <v>778.1611570247934</v>
      </c>
      <c r="BT62" s="2" t="n">
        <v>0</v>
      </c>
      <c r="BU62" s="2" t="n">
        <v>5642.172148760332</v>
      </c>
      <c r="BV62" s="2" t="n">
        <v>6420.333305785125</v>
      </c>
      <c r="BW62" s="2" t="n">
        <v>34285.94495256199</v>
      </c>
      <c r="BX62" s="2" t="n">
        <v>30438.19</v>
      </c>
      <c r="BY62" s="2" t="n">
        <v>1629.37</v>
      </c>
      <c r="BZ62" s="2" t="n">
        <v>9606.02</v>
      </c>
      <c r="CA62" s="2" t="n">
        <v>32067.56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1238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8304.76</v>
      </c>
      <c r="L63" s="2" t="n">
        <v>691.2943740740741</v>
      </c>
      <c r="M63" s="2" t="n">
        <v>7689.592592592592</v>
      </c>
      <c r="N63" s="2" t="n">
        <v>1448.43</v>
      </c>
      <c r="O63" s="2" t="n">
        <v>6117.26</v>
      </c>
      <c r="P63" s="2" t="n">
        <v>739.0700000000001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15428.5</v>
      </c>
      <c r="AD63" s="2" t="n">
        <v>985.7097222222222</v>
      </c>
      <c r="AE63" s="2" t="n">
        <v>14285.64814814815</v>
      </c>
      <c r="AF63" s="2" t="n">
        <v>3101.85</v>
      </c>
      <c r="AG63" s="2" t="n">
        <v>11451.98</v>
      </c>
      <c r="AH63" s="2" t="n">
        <v>874.67</v>
      </c>
      <c r="AI63" s="2" t="n">
        <v>86.63</v>
      </c>
      <c r="AJ63" s="2" t="n">
        <v>0</v>
      </c>
      <c r="AK63" s="2" t="n">
        <v>80.21296296296295</v>
      </c>
      <c r="AL63" s="2" t="n">
        <v>0</v>
      </c>
      <c r="AM63" s="2" t="n">
        <v>86.63</v>
      </c>
      <c r="AN63" s="2" t="n">
        <v>0</v>
      </c>
      <c r="AO63" s="2" t="n">
        <v>5241.51</v>
      </c>
      <c r="AP63" s="2" t="n">
        <v>383.40675</v>
      </c>
      <c r="AQ63" s="2" t="n">
        <v>4853.25</v>
      </c>
      <c r="AR63" s="2" t="n">
        <v>920.16</v>
      </c>
      <c r="AS63" s="2" t="n">
        <v>4094.68</v>
      </c>
      <c r="AT63" s="2" t="n">
        <v>226.67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29061.4</v>
      </c>
      <c r="BB63" s="2" t="n">
        <v>23590.96</v>
      </c>
      <c r="BC63" s="2">
        <f>F63+L63+R63+X63+AD63+AJ63+AP63+AV63+IF(BE63="",0,BE63)</f>
        <v/>
      </c>
      <c r="BD63" s="2" t="n">
        <v>363.300784</v>
      </c>
      <c r="BE63" s="2" t="n"/>
      <c r="BF63" s="2" t="n">
        <v>26908.7037037037</v>
      </c>
      <c r="BG63" s="2" t="n">
        <v>458.58</v>
      </c>
      <c r="BH63" s="2" t="n">
        <v>0</v>
      </c>
      <c r="BI63" s="2" t="n">
        <v>26868.14</v>
      </c>
      <c r="BJ63" s="2" t="n">
        <v>80.97958677685951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318.4779600000001</v>
      </c>
      <c r="BQ63" s="2" t="n">
        <v>0</v>
      </c>
      <c r="BR63" s="2" t="n">
        <v>27751.17754677686</v>
      </c>
      <c r="BS63" s="2" t="n">
        <v>778.1611570247934</v>
      </c>
      <c r="BT63" s="2" t="n">
        <v>0</v>
      </c>
      <c r="BU63" s="2" t="n">
        <v>5642.172148760332</v>
      </c>
      <c r="BV63" s="2" t="n">
        <v>6420.333305785125</v>
      </c>
      <c r="BW63" s="2" t="n">
        <v>34171.51085256199</v>
      </c>
      <c r="BX63" s="2" t="n">
        <v>21750.55</v>
      </c>
      <c r="BY63" s="2" t="n">
        <v>1840.41</v>
      </c>
      <c r="BZ63" s="2" t="n">
        <v>5470.44</v>
      </c>
      <c r="CA63" s="2" t="n">
        <v>23590.96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1239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23429.37</v>
      </c>
      <c r="L64" s="2" t="n">
        <v>1950.278113888889</v>
      </c>
      <c r="M64" s="2" t="n">
        <v>21693.86111111111</v>
      </c>
      <c r="N64" s="2" t="n">
        <v>5242.06</v>
      </c>
      <c r="O64" s="2" t="n">
        <v>18187.31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47457.22</v>
      </c>
      <c r="AD64" s="2" t="n">
        <v>3031.989055555555</v>
      </c>
      <c r="AE64" s="2" t="n">
        <v>43941.87037037036</v>
      </c>
      <c r="AF64" s="2" t="n">
        <v>10178.35</v>
      </c>
      <c r="AG64" s="2" t="n">
        <v>37278.87</v>
      </c>
      <c r="AH64" s="2" t="n">
        <v>0</v>
      </c>
      <c r="AI64" s="2" t="n">
        <v>144.14</v>
      </c>
      <c r="AJ64" s="2" t="n">
        <v>0</v>
      </c>
      <c r="AK64" s="2" t="n">
        <v>133.4629629629629</v>
      </c>
      <c r="AL64" s="2" t="n">
        <v>62.14</v>
      </c>
      <c r="AM64" s="2" t="n">
        <v>82</v>
      </c>
      <c r="AN64" s="2" t="n">
        <v>0</v>
      </c>
      <c r="AO64" s="2" t="n">
        <v>11849.46</v>
      </c>
      <c r="AP64" s="2" t="n">
        <v>866.7660555555555</v>
      </c>
      <c r="AQ64" s="2" t="n">
        <v>10971.72222222222</v>
      </c>
      <c r="AR64" s="2" t="n">
        <v>2515.33</v>
      </c>
      <c r="AS64" s="2" t="n">
        <v>9334.129999999999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82880.19</v>
      </c>
      <c r="BB64" s="2" t="n">
        <v>64882.31</v>
      </c>
      <c r="BC64" s="2">
        <f>F64+L64+R64+X64+AD64+AJ64+AP64+AV64+IF(BE64="",0,BE64)</f>
        <v/>
      </c>
      <c r="BD64" s="2" t="n">
        <v>999.187574</v>
      </c>
      <c r="BE64" s="2" t="n"/>
      <c r="BF64" s="2" t="n">
        <v>76740.91666666666</v>
      </c>
      <c r="BG64" s="2" t="n">
        <v>458.58</v>
      </c>
      <c r="BH64" s="2" t="n">
        <v>0</v>
      </c>
      <c r="BI64" s="2" t="n">
        <v>26868.14</v>
      </c>
      <c r="BJ64" s="2" t="n">
        <v>80.97958677685951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875.911185</v>
      </c>
      <c r="BQ64" s="2" t="n">
        <v>0</v>
      </c>
      <c r="BR64" s="2" t="n">
        <v>28308.61077177686</v>
      </c>
      <c r="BS64" s="2" t="n">
        <v>778.1611570247934</v>
      </c>
      <c r="BT64" s="2" t="n">
        <v>0</v>
      </c>
      <c r="BU64" s="2" t="n">
        <v>5642.172148760332</v>
      </c>
      <c r="BV64" s="2" t="n">
        <v>6420.333305785125</v>
      </c>
      <c r="BW64" s="2" t="n">
        <v>34728.94407756199</v>
      </c>
      <c r="BX64" s="2" t="n">
        <v>64882.31</v>
      </c>
      <c r="BY64" s="2" t="n">
        <v>0</v>
      </c>
      <c r="BZ64" s="2" t="n">
        <v>17997.88</v>
      </c>
      <c r="CA64" s="2" t="n">
        <v>64882.31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1240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31125.01</v>
      </c>
      <c r="L65" s="2" t="n">
        <v>2590.868887962963</v>
      </c>
      <c r="M65" s="2" t="n">
        <v>28819.4537037037</v>
      </c>
      <c r="N65" s="2" t="n">
        <v>6140.38</v>
      </c>
      <c r="O65" s="2" t="n">
        <v>23299.68</v>
      </c>
      <c r="P65" s="2" t="n">
        <v>1684.95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60349.33</v>
      </c>
      <c r="AD65" s="2" t="n">
        <v>3855.651638888889</v>
      </c>
      <c r="AE65" s="2" t="n">
        <v>55879.00925925926</v>
      </c>
      <c r="AF65" s="2" t="n">
        <v>12313.27</v>
      </c>
      <c r="AG65" s="2" t="n">
        <v>44653.01</v>
      </c>
      <c r="AH65" s="2" t="n">
        <v>3383.05</v>
      </c>
      <c r="AI65" s="2" t="n">
        <v>484.54</v>
      </c>
      <c r="AJ65" s="2" t="n">
        <v>0</v>
      </c>
      <c r="AK65" s="2" t="n">
        <v>448.6481481481481</v>
      </c>
      <c r="AL65" s="2" t="n">
        <v>26.89</v>
      </c>
      <c r="AM65" s="2" t="n">
        <v>441.15</v>
      </c>
      <c r="AN65" s="2" t="n">
        <v>16.5</v>
      </c>
      <c r="AO65" s="2" t="n">
        <v>17502.33</v>
      </c>
      <c r="AP65" s="2" t="n">
        <v>1280.263027777778</v>
      </c>
      <c r="AQ65" s="2" t="n">
        <v>16205.86111111111</v>
      </c>
      <c r="AR65" s="2" t="n">
        <v>3596.83</v>
      </c>
      <c r="AS65" s="2" t="n">
        <v>13031.86</v>
      </c>
      <c r="AT65" s="2" t="n">
        <v>873.64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109461.21</v>
      </c>
      <c r="BB65" s="2" t="n">
        <v>87383.84</v>
      </c>
      <c r="BC65" s="2">
        <f>F65+L65+R65+X65+AD65+AJ65+AP65+AV65+IF(BE65="",0,BE65)</f>
        <v/>
      </c>
      <c r="BD65" s="2" t="n">
        <v>1345.711136</v>
      </c>
      <c r="BE65" s="2" t="n"/>
      <c r="BF65" s="2" t="n">
        <v>101352.9722222222</v>
      </c>
      <c r="BG65" s="2" t="n">
        <v>458.58</v>
      </c>
      <c r="BH65" s="2" t="n">
        <v>0</v>
      </c>
      <c r="BI65" s="2" t="n">
        <v>26868.14</v>
      </c>
      <c r="BJ65" s="2" t="n">
        <v>80.97958677685951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1179.68184</v>
      </c>
      <c r="BQ65" s="2" t="n">
        <v>0</v>
      </c>
      <c r="BR65" s="2" t="n">
        <v>28612.38142677686</v>
      </c>
      <c r="BS65" s="2" t="n">
        <v>778.1611570247934</v>
      </c>
      <c r="BT65" s="2" t="n">
        <v>0</v>
      </c>
      <c r="BU65" s="2" t="n">
        <v>5642.172148760332</v>
      </c>
      <c r="BV65" s="2" t="n">
        <v>6420.333305785125</v>
      </c>
      <c r="BW65" s="2" t="n">
        <v>35032.71473256199</v>
      </c>
      <c r="BX65" s="2" t="n">
        <v>81425.7</v>
      </c>
      <c r="BY65" s="2" t="n">
        <v>5958.14</v>
      </c>
      <c r="BZ65" s="2" t="n">
        <v>22077.37</v>
      </c>
      <c r="CA65" s="2" t="n">
        <v>87383.84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1241</v>
      </c>
      <c r="B66" t="inlineStr">
        <is>
          <t>Kolejowa 1, 62-510 Konin</t>
        </is>
      </c>
      <c r="C66" t="inlineStr">
        <is>
          <t>Konin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4747.959999999999</v>
      </c>
      <c r="L66" s="2" t="n">
        <v>395.2237074074073</v>
      </c>
      <c r="M66" s="2" t="n">
        <v>4396.259259259258</v>
      </c>
      <c r="N66" s="2" t="n">
        <v>993.27</v>
      </c>
      <c r="O66" s="2" t="n">
        <v>3412.62</v>
      </c>
      <c r="P66" s="2" t="n">
        <v>342.07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8910.299999999999</v>
      </c>
      <c r="AD66" s="2" t="n">
        <v>569.2691666666667</v>
      </c>
      <c r="AE66" s="2" t="n">
        <v>8250.277777777777</v>
      </c>
      <c r="AF66" s="2" t="n">
        <v>1832.48</v>
      </c>
      <c r="AG66" s="2" t="n">
        <v>6520.6</v>
      </c>
      <c r="AH66" s="2" t="n">
        <v>557.22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59</v>
      </c>
      <c r="AP66" s="2" t="n">
        <v>4.315740740740741</v>
      </c>
      <c r="AQ66" s="2" t="n">
        <v>54.62962962962963</v>
      </c>
      <c r="AR66" s="2" t="n">
        <v>0</v>
      </c>
      <c r="AS66" s="2" t="n">
        <v>59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13717.26</v>
      </c>
      <c r="BB66" s="2" t="n">
        <v>10891.51</v>
      </c>
      <c r="BC66" s="2">
        <f>F66+L66+R66+X66+AD66+AJ66+AP66+AV66+IF(BE66="",0,BE66)</f>
        <v/>
      </c>
      <c r="BD66" s="2" t="n">
        <v>167.729254</v>
      </c>
      <c r="BE66" s="2" t="n"/>
      <c r="BF66" s="2" t="n">
        <v>12701.16666666667</v>
      </c>
      <c r="BG66" s="2" t="n">
        <v>0</v>
      </c>
      <c r="BH66" s="2" t="n">
        <v>0</v>
      </c>
      <c r="BI66" s="2" t="n">
        <v>26868.14</v>
      </c>
      <c r="BJ66" s="2" t="n">
        <v>80.97958677685951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147.035385</v>
      </c>
      <c r="BQ66" s="2" t="n">
        <v>0</v>
      </c>
      <c r="BR66" s="2" t="n">
        <v>27121.15497177686</v>
      </c>
      <c r="BS66" s="2" t="n">
        <v>778.1611570247934</v>
      </c>
      <c r="BT66" s="2" t="n">
        <v>0</v>
      </c>
      <c r="BU66" s="2" t="n">
        <v>5550.456148760331</v>
      </c>
      <c r="BV66" s="2" t="n">
        <v>6328.617305785125</v>
      </c>
      <c r="BW66" s="2" t="n">
        <v>33449.77227756198</v>
      </c>
      <c r="BX66" s="2" t="n">
        <v>9992.220000000001</v>
      </c>
      <c r="BY66" s="2" t="n">
        <v>899.29</v>
      </c>
      <c r="BZ66" s="2" t="n">
        <v>2825.75</v>
      </c>
      <c r="CA66" s="2" t="n">
        <v>10891.51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1242</v>
      </c>
      <c r="B67" t="inlineStr">
        <is>
          <t>Dworcowa 1, 62-800 Kalisz</t>
        </is>
      </c>
      <c r="C67" t="inlineStr">
        <is>
          <t>Kalisz</t>
        </is>
      </c>
      <c r="D67" t="inlineStr">
        <is>
          <t>ST|40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12081.09</v>
      </c>
      <c r="L67" s="2" t="n">
        <v>1005.638880555556</v>
      </c>
      <c r="M67" s="2" t="n">
        <v>11186.19444444444</v>
      </c>
      <c r="N67" s="2" t="n">
        <v>5419.56</v>
      </c>
      <c r="O67" s="2" t="n">
        <v>5981.83</v>
      </c>
      <c r="P67" s="2" t="n">
        <v>679.7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2721.73</v>
      </c>
      <c r="AD67" s="2" t="n">
        <v>173.8883055555556</v>
      </c>
      <c r="AE67" s="2" t="n">
        <v>2520.12037037037</v>
      </c>
      <c r="AF67" s="2" t="n">
        <v>683.54</v>
      </c>
      <c r="AG67" s="2" t="n">
        <v>1957.91</v>
      </c>
      <c r="AH67" s="2" t="n">
        <v>80.28</v>
      </c>
      <c r="AI67" s="2" t="n">
        <v>299.3</v>
      </c>
      <c r="AJ67" s="2" t="n">
        <v>0</v>
      </c>
      <c r="AK67" s="2" t="n">
        <v>277.1296296296296</v>
      </c>
      <c r="AL67" s="2" t="n">
        <v>94.69</v>
      </c>
      <c r="AM67" s="2" t="n">
        <v>149.31</v>
      </c>
      <c r="AN67" s="2" t="n">
        <v>55.3</v>
      </c>
      <c r="AO67" s="2" t="n">
        <v>6825.740000000001</v>
      </c>
      <c r="AP67" s="2" t="n">
        <v>499.2902407407407</v>
      </c>
      <c r="AQ67" s="2" t="n">
        <v>6320.12962962963</v>
      </c>
      <c r="AR67" s="2" t="n">
        <v>1972.15</v>
      </c>
      <c r="AS67" s="2" t="n">
        <v>4293.38</v>
      </c>
      <c r="AT67" s="2" t="n">
        <v>560.21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21927.86</v>
      </c>
      <c r="BB67" s="2" t="n">
        <v>13757.92</v>
      </c>
      <c r="BC67" s="2">
        <f>F67+L67+R67+X67+AD67+AJ67+AP67+AV67+IF(BE67="",0,BE67)</f>
        <v/>
      </c>
      <c r="BD67" s="2" t="n">
        <v>211.871968</v>
      </c>
      <c r="BE67" s="2" t="n"/>
      <c r="BF67" s="2" t="n">
        <v>20303.57407407407</v>
      </c>
      <c r="BG67" s="2" t="n">
        <v>538.7299999999999</v>
      </c>
      <c r="BH67" s="2" t="n">
        <v>208</v>
      </c>
      <c r="BI67" s="2" t="n">
        <v>26868.14</v>
      </c>
      <c r="BJ67" s="2" t="n">
        <v>80.97958677685951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185.73192</v>
      </c>
      <c r="BQ67" s="2" t="n">
        <v>0</v>
      </c>
      <c r="BR67" s="2" t="n">
        <v>27906.58150677686</v>
      </c>
      <c r="BS67" s="2" t="n">
        <v>778.1611570247934</v>
      </c>
      <c r="BT67" s="2" t="n">
        <v>0</v>
      </c>
      <c r="BU67" s="2" t="n">
        <v>5699.802148760331</v>
      </c>
      <c r="BV67" s="2" t="n">
        <v>6477.963305785124</v>
      </c>
      <c r="BW67" s="2" t="n">
        <v>34384.54481256198</v>
      </c>
      <c r="BX67" s="2" t="n">
        <v>12382.43</v>
      </c>
      <c r="BY67" s="2" t="n">
        <v>1375.49</v>
      </c>
      <c r="BZ67" s="2" t="n">
        <v>8169.940000000001</v>
      </c>
      <c r="CA67" s="2" t="n">
        <v>13757.92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1243</v>
      </c>
      <c r="B68" t="inlineStr">
        <is>
          <t>Garbary 89, 61-757 Poznań</t>
        </is>
      </c>
      <c r="C68" t="inlineStr">
        <is>
          <t>Poznań Garbary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114.3</v>
      </c>
      <c r="L68" s="2" t="n">
        <v>9.514416666666667</v>
      </c>
      <c r="M68" s="2" t="n">
        <v>105.8333333333333</v>
      </c>
      <c r="N68" s="2" t="n">
        <v>48.3</v>
      </c>
      <c r="O68" s="2" t="n">
        <v>66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17693.93</v>
      </c>
      <c r="AD68" s="2" t="n">
        <v>1130.445527777778</v>
      </c>
      <c r="AE68" s="2" t="n">
        <v>16383.26851851852</v>
      </c>
      <c r="AF68" s="2" t="n">
        <v>1450.77</v>
      </c>
      <c r="AG68" s="2" t="n">
        <v>15187.95</v>
      </c>
      <c r="AH68" s="2" t="n">
        <v>1055.21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2540.9</v>
      </c>
      <c r="AP68" s="2" t="n">
        <v>185.8621296296296</v>
      </c>
      <c r="AQ68" s="2" t="n">
        <v>2352.685185185185</v>
      </c>
      <c r="AR68" s="2" t="n">
        <v>254.9</v>
      </c>
      <c r="AS68" s="2" t="n">
        <v>2136.56</v>
      </c>
      <c r="AT68" s="2" t="n">
        <v>149.44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20349.13</v>
      </c>
      <c r="BB68" s="2" t="n">
        <v>18595.16</v>
      </c>
      <c r="BC68" s="2">
        <f>F68+L68+R68+X68+AD68+AJ68+AP68+AV68+IF(BE68="",0,BE68)</f>
        <v/>
      </c>
      <c r="BD68" s="2" t="n">
        <v>286.365464</v>
      </c>
      <c r="BE68" s="2" t="n"/>
      <c r="BF68" s="2" t="n">
        <v>18841.78703703704</v>
      </c>
      <c r="BG68" s="2" t="n">
        <v>566.73</v>
      </c>
      <c r="BH68" s="2" t="n">
        <v>182</v>
      </c>
      <c r="BI68" s="2" t="n">
        <v>26868.14</v>
      </c>
      <c r="BJ68" s="2" t="n">
        <v>80.97958677685951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251.03466</v>
      </c>
      <c r="BQ68" s="2" t="n">
        <v>0</v>
      </c>
      <c r="BR68" s="2" t="n">
        <v>27973.88424677686</v>
      </c>
      <c r="BS68" s="2" t="n">
        <v>778.1611570247934</v>
      </c>
      <c r="BT68" s="2" t="n">
        <v>0</v>
      </c>
      <c r="BU68" s="2" t="n">
        <v>5700.202148760331</v>
      </c>
      <c r="BV68" s="2" t="n">
        <v>6478.363305785124</v>
      </c>
      <c r="BW68" s="2" t="n">
        <v>34452.24755256198</v>
      </c>
      <c r="BX68" s="2" t="n">
        <v>17390.51</v>
      </c>
      <c r="BY68" s="2" t="n">
        <v>1204.65</v>
      </c>
      <c r="BZ68" s="2" t="n">
        <v>1753.97</v>
      </c>
      <c r="CA68" s="2" t="n">
        <v>18595.16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1244</v>
      </c>
      <c r="B69" t="inlineStr">
        <is>
          <t>Dworcowa 7, 62-200 Gniezno</t>
        </is>
      </c>
      <c r="C69" t="inlineStr">
        <is>
          <t>Gniezno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16292.33</v>
      </c>
      <c r="L69" s="2" t="n">
        <v>1356.185617592593</v>
      </c>
      <c r="M69" s="2" t="n">
        <v>15085.49074074074</v>
      </c>
      <c r="N69" s="2" t="n">
        <v>3846.86</v>
      </c>
      <c r="O69" s="2" t="n">
        <v>11685.6</v>
      </c>
      <c r="P69" s="2" t="n">
        <v>759.87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16141.85</v>
      </c>
      <c r="AD69" s="2" t="n">
        <v>1031.284861111111</v>
      </c>
      <c r="AE69" s="2" t="n">
        <v>14946.15740740741</v>
      </c>
      <c r="AF69" s="2" t="n">
        <v>4690.36</v>
      </c>
      <c r="AG69" s="2" t="n">
        <v>10425.25</v>
      </c>
      <c r="AH69" s="2" t="n">
        <v>1026.24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7248.16</v>
      </c>
      <c r="AP69" s="2" t="n">
        <v>530.1894814814815</v>
      </c>
      <c r="AQ69" s="2" t="n">
        <v>6711.259259259259</v>
      </c>
      <c r="AR69" s="2" t="n">
        <v>2622.68</v>
      </c>
      <c r="AS69" s="2" t="n">
        <v>4424.07</v>
      </c>
      <c r="AT69" s="2" t="n">
        <v>201.41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39682.34</v>
      </c>
      <c r="BB69" s="2" t="n">
        <v>28522.44</v>
      </c>
      <c r="BC69" s="2">
        <f>F69+L69+R69+X69+AD69+AJ69+AP69+AV69+IF(BE69="",0,BE69)</f>
        <v/>
      </c>
      <c r="BD69" s="2" t="n">
        <v>439.245576</v>
      </c>
      <c r="BE69" s="2" t="n"/>
      <c r="BF69" s="2" t="n">
        <v>36742.9074074074</v>
      </c>
      <c r="BG69" s="2" t="n">
        <v>0</v>
      </c>
      <c r="BH69" s="2" t="n">
        <v>0</v>
      </c>
      <c r="BI69" s="2" t="n">
        <v>26868.14</v>
      </c>
      <c r="BJ69" s="2" t="n">
        <v>80.97958677685951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385.05294</v>
      </c>
      <c r="BQ69" s="2" t="n">
        <v>0</v>
      </c>
      <c r="BR69" s="2" t="n">
        <v>27359.17252677686</v>
      </c>
      <c r="BS69" s="2" t="n">
        <v>778.1611570247934</v>
      </c>
      <c r="BT69" s="2" t="n">
        <v>0</v>
      </c>
      <c r="BU69" s="2" t="n">
        <v>5550.456148760331</v>
      </c>
      <c r="BV69" s="2" t="n">
        <v>6328.617305785125</v>
      </c>
      <c r="BW69" s="2" t="n">
        <v>33687.78983256198</v>
      </c>
      <c r="BX69" s="2" t="n">
        <v>26534.92</v>
      </c>
      <c r="BY69" s="2" t="n">
        <v>1987.52</v>
      </c>
      <c r="BZ69" s="2" t="n">
        <v>11159.9</v>
      </c>
      <c r="CA69" s="2" t="n">
        <v>28522.44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1245</v>
      </c>
      <c r="B70" t="inlineStr">
        <is>
          <t>Plac Dworcowy 1, 80-321 Gdańsk</t>
        </is>
      </c>
      <c r="C70" t="inlineStr">
        <is>
          <t>Gdańsk Oliwa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4039.67</v>
      </c>
      <c r="L70" s="2" t="n">
        <v>336.2651231481481</v>
      </c>
      <c r="M70" s="2" t="n">
        <v>3740.435185185185</v>
      </c>
      <c r="N70" s="2" t="n">
        <v>913.04</v>
      </c>
      <c r="O70" s="2" t="n">
        <v>2994.16</v>
      </c>
      <c r="P70" s="2" t="n">
        <v>132.47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4374.12</v>
      </c>
      <c r="AP70" s="2" t="n">
        <v>319.9587777777778</v>
      </c>
      <c r="AQ70" s="2" t="n">
        <v>4050.111111111111</v>
      </c>
      <c r="AR70" s="2" t="n">
        <v>1465.87</v>
      </c>
      <c r="AS70" s="2" t="n">
        <v>2812.33</v>
      </c>
      <c r="AT70" s="2" t="n">
        <v>95.92</v>
      </c>
      <c r="AU70" s="2" t="n">
        <v>1107.3</v>
      </c>
      <c r="AV70" s="2" t="n">
        <v>30.75833333333333</v>
      </c>
      <c r="AW70" s="2" t="n">
        <v>1025.277777777778</v>
      </c>
      <c r="AX70" s="2" t="n">
        <v>208.15</v>
      </c>
      <c r="AY70" s="2" t="n">
        <v>878.45</v>
      </c>
      <c r="AZ70" s="2" t="n">
        <v>20.7</v>
      </c>
      <c r="BA70" s="2" t="n">
        <v>9521.09</v>
      </c>
      <c r="BB70" s="2" t="n">
        <v>6934.029999999999</v>
      </c>
      <c r="BC70" s="2">
        <f>F70+L70+R70+X70+AD70+AJ70+AP70+AV70+IF(BE70="",0,BE70)</f>
        <v/>
      </c>
      <c r="BD70" s="2" t="n">
        <v>106.784062</v>
      </c>
      <c r="BE70" s="2" t="n"/>
      <c r="BF70" s="2" t="n">
        <v>8815.824074074073</v>
      </c>
      <c r="BG70" s="2" t="n">
        <v>0</v>
      </c>
      <c r="BH70" s="2" t="n">
        <v>0</v>
      </c>
      <c r="BI70" s="2" t="n">
        <v>26868.14</v>
      </c>
      <c r="BJ70" s="2" t="n">
        <v>80.97958677685951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93.609405</v>
      </c>
      <c r="BQ70" s="2" t="n">
        <v>0</v>
      </c>
      <c r="BR70" s="2" t="n">
        <v>27067.72899177686</v>
      </c>
      <c r="BS70" s="2" t="n">
        <v>778.1611570247934</v>
      </c>
      <c r="BT70" s="2" t="n">
        <v>0</v>
      </c>
      <c r="BU70" s="2" t="n">
        <v>5550.456148760331</v>
      </c>
      <c r="BV70" s="2" t="n">
        <v>6328.617305785125</v>
      </c>
      <c r="BW70" s="2" t="n">
        <v>33396.34629756198</v>
      </c>
      <c r="BX70" s="2" t="n">
        <v>6684.94</v>
      </c>
      <c r="BY70" s="2" t="n">
        <v>249.09</v>
      </c>
      <c r="BZ70" s="2" t="n">
        <v>2587.06</v>
      </c>
      <c r="CA70" s="2" t="n">
        <v>6934.03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1246</v>
      </c>
      <c r="B71" t="inlineStr">
        <is>
          <t>Dworcowa 1, 63-400 Ostrów Wlkp.</t>
        </is>
      </c>
      <c r="C71" t="inlineStr">
        <is>
          <t>Ostrów Wielkopolski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6323.400000000001</v>
      </c>
      <c r="L71" s="2" t="n">
        <v>526.3645</v>
      </c>
      <c r="M71" s="2" t="n">
        <v>5855</v>
      </c>
      <c r="N71" s="2" t="n">
        <v>3053.07</v>
      </c>
      <c r="O71" s="2" t="n">
        <v>2962.29</v>
      </c>
      <c r="P71" s="2" t="n">
        <v>308.04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9102.360000000001</v>
      </c>
      <c r="AD71" s="2" t="n">
        <v>581.5396666666667</v>
      </c>
      <c r="AE71" s="2" t="n">
        <v>8428.111111111111</v>
      </c>
      <c r="AF71" s="2" t="n">
        <v>2237.23</v>
      </c>
      <c r="AG71" s="2" t="n">
        <v>6587.77</v>
      </c>
      <c r="AH71" s="2" t="n">
        <v>277.36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10668.88</v>
      </c>
      <c r="AP71" s="2" t="n">
        <v>780.4088148148147</v>
      </c>
      <c r="AQ71" s="2" t="n">
        <v>9878.592592592591</v>
      </c>
      <c r="AR71" s="2" t="n">
        <v>2723.72</v>
      </c>
      <c r="AS71" s="2" t="n">
        <v>7665.84</v>
      </c>
      <c r="AT71" s="2" t="n">
        <v>279.32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26094.64</v>
      </c>
      <c r="BB71" s="2" t="n">
        <v>18080.62</v>
      </c>
      <c r="BC71" s="2">
        <f>F71+L71+R71+X71+AD71+AJ71+AP71+AV71+IF(BE71="",0,BE71)</f>
        <v/>
      </c>
      <c r="BD71" s="2" t="n">
        <v>278.441548</v>
      </c>
      <c r="BE71" s="2" t="n"/>
      <c r="BF71" s="2" t="n">
        <v>24161.7037037037</v>
      </c>
      <c r="BG71" s="2" t="n">
        <v>0</v>
      </c>
      <c r="BH71" s="2" t="n">
        <v>104.3</v>
      </c>
      <c r="BI71" s="2" t="n">
        <v>26868.14</v>
      </c>
      <c r="BJ71" s="2" t="n">
        <v>80.97958677685951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244.08837</v>
      </c>
      <c r="BQ71" s="2" t="n">
        <v>0</v>
      </c>
      <c r="BR71" s="2" t="n">
        <v>27322.50795677686</v>
      </c>
      <c r="BS71" s="2" t="n">
        <v>778.1611570247934</v>
      </c>
      <c r="BT71" s="2" t="n">
        <v>0</v>
      </c>
      <c r="BU71" s="2" t="n">
        <v>5571.316148760331</v>
      </c>
      <c r="BV71" s="2" t="n">
        <v>6349.477305785124</v>
      </c>
      <c r="BW71" s="2" t="n">
        <v>33671.98526256198</v>
      </c>
      <c r="BX71" s="2" t="n">
        <v>17215.9</v>
      </c>
      <c r="BY71" s="2" t="n">
        <v>864.72</v>
      </c>
      <c r="BZ71" s="2" t="n">
        <v>8014.02</v>
      </c>
      <c r="CA71" s="2" t="n">
        <v>18080.62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1247</v>
      </c>
      <c r="B72" t="inlineStr">
        <is>
          <t>Kujawska 1, 87-100 Toruń</t>
        </is>
      </c>
      <c r="C72" t="inlineStr">
        <is>
          <t>Toruń</t>
        </is>
      </c>
      <c r="D72" t="inlineStr">
        <is>
          <t>FAA2000</t>
        </is>
      </c>
      <c r="E72" s="2" t="n">
        <v>1625.36</v>
      </c>
      <c r="F72" s="2" t="n">
        <v>1000</v>
      </c>
      <c r="G72" s="2" t="n">
        <v>1504.962962962963</v>
      </c>
      <c r="H72" s="2" t="n">
        <v>762.24</v>
      </c>
      <c r="I72" s="2" t="n">
        <v>863.12</v>
      </c>
      <c r="J72" s="2" t="n">
        <v>0</v>
      </c>
      <c r="K72" s="2" t="n">
        <v>6524.63</v>
      </c>
      <c r="L72" s="2" t="n">
        <v>543.1150342592593</v>
      </c>
      <c r="M72" s="2" t="n">
        <v>6041.324074074074</v>
      </c>
      <c r="N72" s="2" t="n">
        <v>1842.8</v>
      </c>
      <c r="O72" s="2" t="n">
        <v>4681.83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11813.02</v>
      </c>
      <c r="AP72" s="2" t="n">
        <v>864.100537037037</v>
      </c>
      <c r="AQ72" s="2" t="n">
        <v>10937.98148148148</v>
      </c>
      <c r="AR72" s="2" t="n">
        <v>4070.95</v>
      </c>
      <c r="AS72" s="2" t="n">
        <v>7742.07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19963.01</v>
      </c>
      <c r="BB72" s="2" t="n">
        <v>13287.02</v>
      </c>
      <c r="BC72" s="2">
        <f>F72+L72+R72+X72+AD72+AJ72+AP72+AV72+IF(BE72="",0,BE72)</f>
        <v/>
      </c>
      <c r="BD72" s="2" t="n">
        <v>204.620108</v>
      </c>
      <c r="BE72" s="2" t="n"/>
      <c r="BF72" s="2" t="n">
        <v>18484.26851851852</v>
      </c>
      <c r="BG72" s="2" t="n">
        <v>482</v>
      </c>
      <c r="BH72" s="2" t="n">
        <v>90</v>
      </c>
      <c r="BI72" s="2" t="n">
        <v>26868.14</v>
      </c>
      <c r="BJ72" s="2" t="n">
        <v>80.97958677685951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179.37477</v>
      </c>
      <c r="BQ72" s="2" t="n">
        <v>0</v>
      </c>
      <c r="BR72" s="2" t="n">
        <v>27725.49435677686</v>
      </c>
      <c r="BS72" s="2" t="n">
        <v>778.1611570247934</v>
      </c>
      <c r="BT72" s="2" t="n">
        <v>0</v>
      </c>
      <c r="BU72" s="2" t="n">
        <v>5664.856148760331</v>
      </c>
      <c r="BV72" s="2" t="n">
        <v>6443.017305785124</v>
      </c>
      <c r="BW72" s="2" t="n">
        <v>34168.51166256198</v>
      </c>
      <c r="BX72" s="2" t="n">
        <v>13287.02</v>
      </c>
      <c r="BY72" s="2" t="n">
        <v>0</v>
      </c>
      <c r="BZ72" s="2" t="n">
        <v>6675.99</v>
      </c>
      <c r="CA72" s="2" t="n">
        <v>13287.02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1248</v>
      </c>
      <c r="B73" t="inlineStr">
        <is>
          <t>Piotrkow Trybunalski</t>
        </is>
      </c>
      <c r="C73" t="inlineStr"/>
      <c r="D73" t="inlineStr"/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3841.6</v>
      </c>
      <c r="L73" s="2" t="n">
        <v>319.7776296296296</v>
      </c>
      <c r="M73" s="2" t="n">
        <v>3557.037037037036</v>
      </c>
      <c r="N73" s="2" t="n">
        <v>931.16</v>
      </c>
      <c r="O73" s="2" t="n">
        <v>2614.27</v>
      </c>
      <c r="P73" s="2" t="n">
        <v>296.17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3422.07</v>
      </c>
      <c r="AJ73" s="2" t="n">
        <v>0</v>
      </c>
      <c r="AK73" s="2" t="n">
        <v>3168.583333333333</v>
      </c>
      <c r="AL73" s="2" t="n">
        <v>1331.63</v>
      </c>
      <c r="AM73" s="2" t="n">
        <v>2014.71</v>
      </c>
      <c r="AN73" s="2" t="n">
        <v>75.73</v>
      </c>
      <c r="AO73" s="2" t="n">
        <v>2474.57</v>
      </c>
      <c r="AP73" s="2" t="n">
        <v>181.010212962963</v>
      </c>
      <c r="AQ73" s="2" t="n">
        <v>2291.268518518519</v>
      </c>
      <c r="AR73" s="2" t="n">
        <v>618.99</v>
      </c>
      <c r="AS73" s="2" t="n">
        <v>1614.02</v>
      </c>
      <c r="AT73" s="2" t="n">
        <v>241.56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9738.24</v>
      </c>
      <c r="BB73" s="2" t="n">
        <v>6856.46</v>
      </c>
      <c r="BC73" s="2">
        <f>F73+L73+R73+X73+AD73+AJ73+AP73+AV73+IF(BE73="",0,BE73)</f>
        <v/>
      </c>
      <c r="BD73" s="2" t="n">
        <v>105.589484</v>
      </c>
      <c r="BE73" s="2" t="n"/>
      <c r="BF73" s="2" t="n">
        <v>9016.888888888889</v>
      </c>
      <c r="BG73" s="2" t="n">
        <v>553.98</v>
      </c>
      <c r="BH73" s="2" t="n">
        <v>141</v>
      </c>
      <c r="BI73" s="2" t="n">
        <v>26868.14</v>
      </c>
      <c r="BJ73" s="2" t="n">
        <v>80.97958677685951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92.56220999999999</v>
      </c>
      <c r="BQ73" s="2" t="n">
        <v>0</v>
      </c>
      <c r="BR73" s="2" t="n">
        <v>27761.66179677686</v>
      </c>
      <c r="BS73" s="2" t="n">
        <v>778.1611570247934</v>
      </c>
      <c r="BT73" s="2" t="n">
        <v>0</v>
      </c>
      <c r="BU73" s="2" t="n">
        <v>5689.452148760331</v>
      </c>
      <c r="BV73" s="2" t="n">
        <v>6467.613305785124</v>
      </c>
      <c r="BW73" s="2" t="n">
        <v>34229.27510256198</v>
      </c>
      <c r="BX73" s="2" t="n">
        <v>6243</v>
      </c>
      <c r="BY73" s="2" t="n">
        <v>613.46</v>
      </c>
      <c r="BZ73" s="2" t="n">
        <v>2881.78</v>
      </c>
      <c r="CA73" s="2" t="n">
        <v>6856.46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2157.33</v>
      </c>
      <c r="L74" s="2" t="n">
        <v>179.5777472222222</v>
      </c>
      <c r="M74" s="2" t="n">
        <v>1997.527777777778</v>
      </c>
      <c r="N74" s="2" t="n">
        <v>456.31</v>
      </c>
      <c r="O74" s="2" t="n">
        <v>1352.02</v>
      </c>
      <c r="P74" s="2" t="n">
        <v>349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5045.99</v>
      </c>
      <c r="AP74" s="2" t="n">
        <v>369.104824074074</v>
      </c>
      <c r="AQ74" s="2" t="n">
        <v>4672.212962962963</v>
      </c>
      <c r="AR74" s="2" t="n">
        <v>1842.48</v>
      </c>
      <c r="AS74" s="2" t="n">
        <v>2944.99</v>
      </c>
      <c r="AT74" s="2" t="n">
        <v>258.52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7203.32</v>
      </c>
      <c r="BB74" s="2" t="n">
        <v>4904.53</v>
      </c>
      <c r="BC74" s="2">
        <f>F74+L74+R74+X74+AD74+AJ74+AP74+AV74+IF(BE74="",0,BE74)</f>
        <v/>
      </c>
      <c r="BD74" s="2" t="n">
        <v>75.52976199999999</v>
      </c>
      <c r="BE74" s="2" t="n"/>
      <c r="BF74" s="2" t="n">
        <v>6669.74074074074</v>
      </c>
      <c r="BG74" s="2" t="n">
        <v>670.63</v>
      </c>
      <c r="BH74" s="2" t="n">
        <v>167.5</v>
      </c>
      <c r="BI74" s="2" t="n">
        <v>26868.14</v>
      </c>
      <c r="BJ74" s="2" t="n">
        <v>80.97958677685951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66.21115499999999</v>
      </c>
      <c r="BQ74" s="2" t="n">
        <v>0</v>
      </c>
      <c r="BR74" s="2" t="n">
        <v>27878.46074177686</v>
      </c>
      <c r="BS74" s="2" t="n">
        <v>778.1611570247934</v>
      </c>
      <c r="BT74" s="2" t="n">
        <v>0</v>
      </c>
      <c r="BU74" s="2" t="n">
        <v>5718.082148760332</v>
      </c>
      <c r="BV74" s="2" t="n">
        <v>6496.243305785125</v>
      </c>
      <c r="BW74" s="2" t="n">
        <v>34374.70404756199</v>
      </c>
      <c r="BX74" s="2" t="n">
        <v>4297.01</v>
      </c>
      <c r="BY74" s="2" t="n">
        <v>607.52</v>
      </c>
      <c r="BZ74" s="2" t="n">
        <v>2298.79</v>
      </c>
      <c r="CA74" s="2" t="n">
        <v>4904.530000000001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1250</v>
      </c>
      <c r="B75" t="inlineStr">
        <is>
          <t>Radomsko</t>
        </is>
      </c>
      <c r="C75" t="inlineStr">
        <is>
          <t>Karpacz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3077.91</v>
      </c>
      <c r="L75" s="2" t="n">
        <v>256.2075083333334</v>
      </c>
      <c r="M75" s="2" t="n">
        <v>2849.916666666667</v>
      </c>
      <c r="N75" s="2" t="n">
        <v>1003.81</v>
      </c>
      <c r="O75" s="2" t="n">
        <v>1972.1</v>
      </c>
      <c r="P75" s="2" t="n">
        <v>102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974.77</v>
      </c>
      <c r="AJ75" s="2" t="n">
        <v>0</v>
      </c>
      <c r="AK75" s="2" t="n">
        <v>902.5648148148148</v>
      </c>
      <c r="AL75" s="2" t="n">
        <v>347.52</v>
      </c>
      <c r="AM75" s="2" t="n">
        <v>619.85</v>
      </c>
      <c r="AN75" s="2" t="n">
        <v>7.4</v>
      </c>
      <c r="AO75" s="2" t="n">
        <v>2296.91</v>
      </c>
      <c r="AP75" s="2" t="n">
        <v>168.014712962963</v>
      </c>
      <c r="AQ75" s="2" t="n">
        <v>2126.768518518519</v>
      </c>
      <c r="AR75" s="2" t="n">
        <v>880.72</v>
      </c>
      <c r="AS75" s="2" t="n">
        <v>1316.04</v>
      </c>
      <c r="AT75" s="2" t="n">
        <v>100.15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6349.59</v>
      </c>
      <c r="BB75" s="2" t="n">
        <v>4117.54</v>
      </c>
      <c r="BC75" s="2">
        <f>F75+L75+R75+X75+AD75+AJ75+AP75+AV75+IF(BE75="",0,BE75)</f>
        <v/>
      </c>
      <c r="BD75" s="2" t="n">
        <v>63.410116</v>
      </c>
      <c r="BE75" s="2" t="n"/>
      <c r="BF75" s="2" t="n">
        <v>5879.25</v>
      </c>
      <c r="BG75" s="2" t="n">
        <v>736.6799999999999</v>
      </c>
      <c r="BH75" s="2" t="n">
        <v>38.25</v>
      </c>
      <c r="BI75" s="2" t="n">
        <v>26868.14</v>
      </c>
      <c r="BJ75" s="2" t="n">
        <v>80.97958677685951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55.58678999999999</v>
      </c>
      <c r="BQ75" s="2" t="n">
        <v>0</v>
      </c>
      <c r="BR75" s="2" t="n">
        <v>27804.63637677686</v>
      </c>
      <c r="BS75" s="2" t="n">
        <v>778.1611570247934</v>
      </c>
      <c r="BT75" s="2" t="n">
        <v>0</v>
      </c>
      <c r="BU75" s="2" t="n">
        <v>5705.442148760331</v>
      </c>
      <c r="BV75" s="2" t="n">
        <v>6483.603305785125</v>
      </c>
      <c r="BW75" s="2" t="n">
        <v>34288.23968256199</v>
      </c>
      <c r="BX75" s="2" t="n">
        <v>3907.99</v>
      </c>
      <c r="BY75" s="2" t="n">
        <v>209.55</v>
      </c>
      <c r="BZ75" s="2" t="n">
        <v>2232.05</v>
      </c>
      <c r="CA75" s="2" t="n">
        <v>4117.54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1251</v>
      </c>
      <c r="B76" t="inlineStr">
        <is>
          <t>Kielce</t>
        </is>
      </c>
      <c r="C76" t="inlineStr"/>
      <c r="D76" t="inlineStr"/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11045.33</v>
      </c>
      <c r="L76" s="2" t="n">
        <v>919.4214509259261</v>
      </c>
      <c r="M76" s="2" t="n">
        <v>10227.15740740741</v>
      </c>
      <c r="N76" s="2" t="n">
        <v>3275.26</v>
      </c>
      <c r="O76" s="2" t="n">
        <v>7417.87</v>
      </c>
      <c r="P76" s="2" t="n">
        <v>352.2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10845.41</v>
      </c>
      <c r="AP76" s="2" t="n">
        <v>793.3216574074073</v>
      </c>
      <c r="AQ76" s="2" t="n">
        <v>10042.0462962963</v>
      </c>
      <c r="AR76" s="2" t="n">
        <v>3466.27</v>
      </c>
      <c r="AS76" s="2" t="n">
        <v>7042.5</v>
      </c>
      <c r="AT76" s="2" t="n">
        <v>336.64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21890.74</v>
      </c>
      <c r="BB76" s="2" t="n">
        <v>15149.21</v>
      </c>
      <c r="BC76" s="2">
        <f>F76+L76+R76+X76+AD76+AJ76+AP76+AV76+IF(BE76="",0,BE76)</f>
        <v/>
      </c>
      <c r="BD76" s="2" t="n">
        <v>233.297834</v>
      </c>
      <c r="BE76" s="2" t="n"/>
      <c r="BF76" s="2" t="n">
        <v>20269.2037037037</v>
      </c>
      <c r="BG76" s="2" t="n">
        <v>500</v>
      </c>
      <c r="BH76" s="2" t="n">
        <v>238</v>
      </c>
      <c r="BI76" s="2" t="n">
        <v>26868.14</v>
      </c>
      <c r="BJ76" s="2" t="n">
        <v>80.97958677685951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204.514335</v>
      </c>
      <c r="BQ76" s="2" t="n">
        <v>0</v>
      </c>
      <c r="BR76" s="2" t="n">
        <v>27916.63392177686</v>
      </c>
      <c r="BS76" s="2" t="n">
        <v>778.1611570247934</v>
      </c>
      <c r="BT76" s="2" t="n">
        <v>0</v>
      </c>
      <c r="BU76" s="2" t="n">
        <v>5698.056148760331</v>
      </c>
      <c r="BV76" s="2" t="n">
        <v>6476.217305785124</v>
      </c>
      <c r="BW76" s="2" t="n">
        <v>34392.85122756198</v>
      </c>
      <c r="BX76" s="2" t="n">
        <v>14460.37</v>
      </c>
      <c r="BY76" s="2" t="n">
        <v>688.8399999999999</v>
      </c>
      <c r="BZ76" s="2" t="n">
        <v>6741.530000000001</v>
      </c>
      <c r="CA76" s="2" t="n">
        <v>15149.21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7981.550000000001</v>
      </c>
      <c r="L77" s="2" t="n">
        <v>664.3901342592594</v>
      </c>
      <c r="M77" s="2" t="n">
        <v>7390.324074074075</v>
      </c>
      <c r="N77" s="2" t="n">
        <v>2051.53</v>
      </c>
      <c r="O77" s="2" t="n">
        <v>5512.27</v>
      </c>
      <c r="P77" s="2" t="n">
        <v>417.75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9975.969999999999</v>
      </c>
      <c r="AP77" s="2" t="n">
        <v>729.7237314814813</v>
      </c>
      <c r="AQ77" s="2" t="n">
        <v>9237.009259259257</v>
      </c>
      <c r="AR77" s="2" t="n">
        <v>2729.99</v>
      </c>
      <c r="AS77" s="2" t="n">
        <v>6955.75</v>
      </c>
      <c r="AT77" s="2" t="n">
        <v>290.23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17957.52</v>
      </c>
      <c r="BB77" s="2" t="n">
        <v>13176</v>
      </c>
      <c r="BC77" s="2">
        <f>F77+L77+R77+X77+AD77+AJ77+AP77+AV77+IF(BE77="",0,BE77)</f>
        <v/>
      </c>
      <c r="BD77" s="2" t="n">
        <v>202.9104</v>
      </c>
      <c r="BE77" s="2" t="n"/>
      <c r="BF77" s="2" t="n">
        <v>16627.33333333333</v>
      </c>
      <c r="BG77" s="2" t="n">
        <v>228</v>
      </c>
      <c r="BH77" s="2" t="n">
        <v>0</v>
      </c>
      <c r="BI77" s="2" t="n">
        <v>26868.14</v>
      </c>
      <c r="BJ77" s="2" t="n">
        <v>80.97958677685951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177.876</v>
      </c>
      <c r="BQ77" s="2" t="n">
        <v>0</v>
      </c>
      <c r="BR77" s="2" t="n">
        <v>27379.99558677686</v>
      </c>
      <c r="BS77" s="2" t="n">
        <v>778.1611570247934</v>
      </c>
      <c r="BT77" s="2" t="n">
        <v>0</v>
      </c>
      <c r="BU77" s="2" t="n">
        <v>5596.056148760331</v>
      </c>
      <c r="BV77" s="2" t="n">
        <v>6374.217305785124</v>
      </c>
      <c r="BW77" s="2" t="n">
        <v>33754.21289256198</v>
      </c>
      <c r="BX77" s="2" t="n">
        <v>12468.02</v>
      </c>
      <c r="BY77" s="2" t="n">
        <v>707.98</v>
      </c>
      <c r="BZ77" s="2" t="n">
        <v>4781.52</v>
      </c>
      <c r="CA77" s="2" t="n">
        <v>13176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1253</v>
      </c>
      <c r="B78" t="inlineStr">
        <is>
          <t>Opole</t>
        </is>
      </c>
      <c r="C78" t="inlineStr"/>
      <c r="D78" t="inlineStr"/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3996.64</v>
      </c>
      <c r="L78" s="2" t="n">
        <v>332.6832740740741</v>
      </c>
      <c r="M78" s="2" t="n">
        <v>3700.592592592592</v>
      </c>
      <c r="N78" s="2" t="n">
        <v>957.14</v>
      </c>
      <c r="O78" s="2" t="n">
        <v>2771.5</v>
      </c>
      <c r="P78" s="2" t="n">
        <v>268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6223.950000000001</v>
      </c>
      <c r="AP78" s="2" t="n">
        <v>455.2704166666667</v>
      </c>
      <c r="AQ78" s="2" t="n">
        <v>5762.916666666667</v>
      </c>
      <c r="AR78" s="2" t="n">
        <v>2311.86</v>
      </c>
      <c r="AS78" s="2" t="n">
        <v>3785.59</v>
      </c>
      <c r="AT78" s="2" t="n">
        <v>126.5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10220.59</v>
      </c>
      <c r="BB78" s="2" t="n">
        <v>6951.59</v>
      </c>
      <c r="BC78" s="2">
        <f>F78+L78+R78+X78+AD78+AJ78+AP78+AV78+IF(BE78="",0,BE78)</f>
        <v/>
      </c>
      <c r="BD78" s="2" t="n">
        <v>107.054486</v>
      </c>
      <c r="BE78" s="2" t="n"/>
      <c r="BF78" s="2" t="n">
        <v>9463.509259259259</v>
      </c>
      <c r="BG78" s="2" t="n">
        <v>0</v>
      </c>
      <c r="BH78" s="2" t="n">
        <v>0</v>
      </c>
      <c r="BI78" s="2" t="n">
        <v>26868.14</v>
      </c>
      <c r="BJ78" s="2" t="n">
        <v>80.97958677685951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93.84646499999999</v>
      </c>
      <c r="BQ78" s="2" t="n">
        <v>0</v>
      </c>
      <c r="BR78" s="2" t="n">
        <v>27067.96605177686</v>
      </c>
      <c r="BS78" s="2" t="n">
        <v>778.1611570247934</v>
      </c>
      <c r="BT78" s="2" t="n">
        <v>0</v>
      </c>
      <c r="BU78" s="2" t="n">
        <v>5550.456148760331</v>
      </c>
      <c r="BV78" s="2" t="n">
        <v>6328.617305785125</v>
      </c>
      <c r="BW78" s="2" t="n">
        <v>33396.58335756198</v>
      </c>
      <c r="BX78" s="2" t="n">
        <v>6557.09</v>
      </c>
      <c r="BY78" s="2" t="n">
        <v>394.5</v>
      </c>
      <c r="BZ78" s="2" t="n">
        <v>3269</v>
      </c>
      <c r="CA78" s="2" t="n">
        <v>6951.59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1254</v>
      </c>
      <c r="B79" t="inlineStr">
        <is>
          <t>Stacyjna 5, 53-600 Wrocław</t>
        </is>
      </c>
      <c r="C79" t="inlineStr">
        <is>
          <t>Wrocław Mikołajów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5006.68</v>
      </c>
      <c r="L79" s="2" t="n">
        <v>416.7597518518519</v>
      </c>
      <c r="M79" s="2" t="n">
        <v>4635.814814814815</v>
      </c>
      <c r="N79" s="2" t="n">
        <v>988.3099999999999</v>
      </c>
      <c r="O79" s="2" t="n">
        <v>3842.13</v>
      </c>
      <c r="P79" s="2" t="n">
        <v>176.24</v>
      </c>
      <c r="Q79" s="2" t="n">
        <v>11194.44</v>
      </c>
      <c r="R79" s="2" t="n">
        <v>0</v>
      </c>
      <c r="S79" s="2" t="n">
        <v>10365.22222222222</v>
      </c>
      <c r="T79" s="2" t="n">
        <v>2493.4</v>
      </c>
      <c r="U79" s="2" t="n">
        <v>8062.06</v>
      </c>
      <c r="V79" s="2" t="n">
        <v>638.98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9369.27</v>
      </c>
      <c r="AP79" s="2" t="n">
        <v>685.34475</v>
      </c>
      <c r="AQ79" s="2" t="n">
        <v>8675.25</v>
      </c>
      <c r="AR79" s="2" t="n">
        <v>2215.8</v>
      </c>
      <c r="AS79" s="2" t="n">
        <v>6886.37</v>
      </c>
      <c r="AT79" s="2" t="n">
        <v>267.1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25570.39</v>
      </c>
      <c r="BB79" s="2" t="n">
        <v>19872.88</v>
      </c>
      <c r="BC79" s="2">
        <f>F79+L79+R79+X79+AD79+AJ79+AP79+AV79+IF(BE79="",0,BE79)</f>
        <v/>
      </c>
      <c r="BD79" s="2" t="n">
        <v>306.0423520000001</v>
      </c>
      <c r="BE79" s="2" t="n"/>
      <c r="BF79" s="2" t="n">
        <v>23676.28703703704</v>
      </c>
      <c r="BG79" s="2" t="n">
        <v>0</v>
      </c>
      <c r="BH79" s="2" t="n">
        <v>0</v>
      </c>
      <c r="BI79" s="2" t="n">
        <v>26868.14</v>
      </c>
      <c r="BJ79" s="2" t="n">
        <v>80.97958677685951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268.28388</v>
      </c>
      <c r="BQ79" s="2" t="n">
        <v>0</v>
      </c>
      <c r="BR79" s="2" t="n">
        <v>27242.40346677686</v>
      </c>
      <c r="BS79" s="2" t="n">
        <v>778.1611570247934</v>
      </c>
      <c r="BT79" s="2" t="n">
        <v>0</v>
      </c>
      <c r="BU79" s="2" t="n">
        <v>5550.456148760331</v>
      </c>
      <c r="BV79" s="2" t="n">
        <v>6328.617305785125</v>
      </c>
      <c r="BW79" s="2" t="n">
        <v>33571.02077256198</v>
      </c>
      <c r="BX79" s="2" t="n">
        <v>18790.56</v>
      </c>
      <c r="BY79" s="2" t="n">
        <v>1082.32</v>
      </c>
      <c r="BZ79" s="2" t="n">
        <v>5697.51</v>
      </c>
      <c r="CA79" s="2" t="n">
        <v>19872.88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1255</v>
      </c>
      <c r="B80" t="inlineStr">
        <is>
          <t>Zabrze</t>
        </is>
      </c>
      <c r="C80" t="inlineStr"/>
      <c r="D80" t="inlineStr"/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5326.360000000001</v>
      </c>
      <c r="L80" s="2" t="n">
        <v>443.3701518518519</v>
      </c>
      <c r="M80" s="2" t="n">
        <v>4931.814814814815</v>
      </c>
      <c r="N80" s="2" t="n">
        <v>1952.44</v>
      </c>
      <c r="O80" s="2" t="n">
        <v>2902.36</v>
      </c>
      <c r="P80" s="2" t="n">
        <v>471.56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5326.360000000001</v>
      </c>
      <c r="BB80" s="2" t="n">
        <v>3373.92</v>
      </c>
      <c r="BC80" s="2">
        <f>F80+L80+R80+X80+AD80+AJ80+AP80+AV80+IF(BE80="",0,BE80)</f>
        <v/>
      </c>
      <c r="BD80" s="2" t="n">
        <v>51.958368</v>
      </c>
      <c r="BE80" s="2" t="n"/>
      <c r="BF80" s="2" t="n">
        <v>4931.814814814815</v>
      </c>
      <c r="BG80" s="2" t="n">
        <v>136.29</v>
      </c>
      <c r="BH80" s="2" t="n">
        <v>302.852</v>
      </c>
      <c r="BI80" s="2" t="n">
        <v>26868.14</v>
      </c>
      <c r="BJ80" s="2" t="n">
        <v>80.97958677685951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45.54792</v>
      </c>
      <c r="BQ80" s="2" t="n">
        <v>0</v>
      </c>
      <c r="BR80" s="2" t="n">
        <v>27458.80950677686</v>
      </c>
      <c r="BS80" s="2" t="n">
        <v>778.1611570247934</v>
      </c>
      <c r="BT80" s="2" t="n">
        <v>0</v>
      </c>
      <c r="BU80" s="2" t="n">
        <v>5638.284548760331</v>
      </c>
      <c r="BV80" s="2" t="n">
        <v>6416.445705785124</v>
      </c>
      <c r="BW80" s="2" t="n">
        <v>33875.25521256198</v>
      </c>
      <c r="BX80" s="2" t="n">
        <v>2902.36</v>
      </c>
      <c r="BY80" s="2" t="n">
        <v>471.56</v>
      </c>
      <c r="BZ80" s="2" t="n">
        <v>1952.44</v>
      </c>
      <c r="CA80" s="2" t="n">
        <v>3373.92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1256</v>
      </c>
      <c r="B81" t="inlineStr">
        <is>
          <t>Dworcowa 2, 61-801 Poznań</t>
        </is>
      </c>
      <c r="C81" t="inlineStr">
        <is>
          <t>Poznań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1812.28</v>
      </c>
      <c r="L81" s="2" t="n">
        <v>150.8555296296296</v>
      </c>
      <c r="M81" s="2" t="n">
        <v>1678.037037037037</v>
      </c>
      <c r="N81" s="2" t="n">
        <v>253.24</v>
      </c>
      <c r="O81" s="2" t="n">
        <v>1340.09</v>
      </c>
      <c r="P81" s="2" t="n">
        <v>218.95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3119.53</v>
      </c>
      <c r="AD81" s="2" t="n">
        <v>199.3033055555556</v>
      </c>
      <c r="AE81" s="2" t="n">
        <v>2888.453703703704</v>
      </c>
      <c r="AF81" s="2" t="n">
        <v>618.24</v>
      </c>
      <c r="AG81" s="2" t="n">
        <v>2455.35</v>
      </c>
      <c r="AH81" s="2" t="n">
        <v>45.94</v>
      </c>
      <c r="AI81" s="2" t="n">
        <v>57.47</v>
      </c>
      <c r="AJ81" s="2" t="n">
        <v>0</v>
      </c>
      <c r="AK81" s="2" t="n">
        <v>53.21296296296296</v>
      </c>
      <c r="AL81" s="2" t="n">
        <v>31.17</v>
      </c>
      <c r="AM81" s="2" t="n">
        <v>26.3</v>
      </c>
      <c r="AN81" s="2" t="n">
        <v>0</v>
      </c>
      <c r="AO81" s="2" t="n">
        <v>987.72</v>
      </c>
      <c r="AP81" s="2" t="n">
        <v>72.24988888888889</v>
      </c>
      <c r="AQ81" s="2" t="n">
        <v>914.5555555555555</v>
      </c>
      <c r="AR81" s="2" t="n">
        <v>189.65</v>
      </c>
      <c r="AS81" s="2" t="n">
        <v>791.97</v>
      </c>
      <c r="AT81" s="2" t="n">
        <v>6.1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5977.000000000001</v>
      </c>
      <c r="BB81" s="2" t="n">
        <v>4884.7</v>
      </c>
      <c r="BC81" s="2">
        <f>F81+L81+R81+X81+AD81+AJ81+AP81+AV81+IF(BE81="",0,BE81)</f>
        <v/>
      </c>
      <c r="BD81" s="2" t="n">
        <v>75.22438</v>
      </c>
      <c r="BE81" s="2" t="n"/>
      <c r="BF81" s="2" t="n">
        <v>5534.259259259259</v>
      </c>
      <c r="BG81" s="2" t="n">
        <v>458.58</v>
      </c>
      <c r="BH81" s="2" t="n">
        <v>0</v>
      </c>
      <c r="BI81" s="2" t="n">
        <v>26868.14</v>
      </c>
      <c r="BJ81" s="2" t="n">
        <v>80.97958677685951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65.94345</v>
      </c>
      <c r="BQ81" s="2" t="n">
        <v>0</v>
      </c>
      <c r="BR81" s="2" t="n">
        <v>27498.64303677686</v>
      </c>
      <c r="BS81" s="2" t="n">
        <v>778.1611570247934</v>
      </c>
      <c r="BT81" s="2" t="n">
        <v>0</v>
      </c>
      <c r="BU81" s="2" t="n">
        <v>5642.172148760332</v>
      </c>
      <c r="BV81" s="2" t="n">
        <v>6420.333305785125</v>
      </c>
      <c r="BW81" s="2" t="n">
        <v>33918.97634256198</v>
      </c>
      <c r="BX81" s="2" t="n">
        <v>4613.71</v>
      </c>
      <c r="BY81" s="2" t="n">
        <v>270.99</v>
      </c>
      <c r="BZ81" s="2" t="n">
        <v>1092.3</v>
      </c>
      <c r="CA81" s="2" t="n">
        <v>4884.7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1257</v>
      </c>
      <c r="B82" t="inlineStr">
        <is>
          <t>Dworcowa 2, 61-801 Poznań</t>
        </is>
      </c>
      <c r="C82" t="inlineStr">
        <is>
          <t>Poznań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3333.11</v>
      </c>
      <c r="L82" s="2" t="n">
        <v>277.4505453703704</v>
      </c>
      <c r="M82" s="2" t="n">
        <v>3086.212962962963</v>
      </c>
      <c r="N82" s="2" t="n">
        <v>553.04</v>
      </c>
      <c r="O82" s="2" t="n">
        <v>2644.13</v>
      </c>
      <c r="P82" s="2" t="n">
        <v>135.94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5195.469999999999</v>
      </c>
      <c r="AD82" s="2" t="n">
        <v>331.9328055555555</v>
      </c>
      <c r="AE82" s="2" t="n">
        <v>4810.62037037037</v>
      </c>
      <c r="AF82" s="2" t="n">
        <v>1155.7</v>
      </c>
      <c r="AG82" s="2" t="n">
        <v>3878.54</v>
      </c>
      <c r="AH82" s="2" t="n">
        <v>161.23</v>
      </c>
      <c r="AI82" s="2" t="n">
        <v>45.1</v>
      </c>
      <c r="AJ82" s="2" t="n">
        <v>0</v>
      </c>
      <c r="AK82" s="2" t="n">
        <v>41.75925925925926</v>
      </c>
      <c r="AL82" s="2" t="n">
        <v>45.1</v>
      </c>
      <c r="AM82" s="2" t="n">
        <v>0</v>
      </c>
      <c r="AN82" s="2" t="n">
        <v>0</v>
      </c>
      <c r="AO82" s="2" t="n">
        <v>1184.06</v>
      </c>
      <c r="AP82" s="2" t="n">
        <v>86.61179629629629</v>
      </c>
      <c r="AQ82" s="2" t="n">
        <v>1096.351851851852</v>
      </c>
      <c r="AR82" s="2" t="n">
        <v>168.69</v>
      </c>
      <c r="AS82" s="2" t="n">
        <v>966.67</v>
      </c>
      <c r="AT82" s="2" t="n">
        <v>48.7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9757.74</v>
      </c>
      <c r="BB82" s="2" t="n">
        <v>7835.21</v>
      </c>
      <c r="BC82" s="2">
        <f>F82+L82+R82+X82+AD82+AJ82+AP82+AV82+IF(BE82="",0,BE82)</f>
        <v/>
      </c>
      <c r="BD82" s="2" t="n">
        <v>120.662234</v>
      </c>
      <c r="BE82" s="2" t="n"/>
      <c r="BF82" s="2" t="n">
        <v>9034.944444444443</v>
      </c>
      <c r="BG82" s="2" t="n">
        <v>458.58</v>
      </c>
      <c r="BH82" s="2" t="n">
        <v>0</v>
      </c>
      <c r="BI82" s="2" t="n">
        <v>26868.14</v>
      </c>
      <c r="BJ82" s="2" t="n">
        <v>80.97958677685951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105.775335</v>
      </c>
      <c r="BQ82" s="2" t="n">
        <v>0</v>
      </c>
      <c r="BR82" s="2" t="n">
        <v>27538.47492177686</v>
      </c>
      <c r="BS82" s="2" t="n">
        <v>778.1611570247934</v>
      </c>
      <c r="BT82" s="2" t="n">
        <v>0</v>
      </c>
      <c r="BU82" s="2" t="n">
        <v>5642.172148760332</v>
      </c>
      <c r="BV82" s="2" t="n">
        <v>6420.333305785125</v>
      </c>
      <c r="BW82" s="2" t="n">
        <v>33958.80822756198</v>
      </c>
      <c r="BX82" s="2" t="n">
        <v>7489.34</v>
      </c>
      <c r="BY82" s="2" t="n">
        <v>345.8699999999999</v>
      </c>
      <c r="BZ82" s="2" t="n">
        <v>1922.53</v>
      </c>
      <c r="CA82" s="2" t="n">
        <v>7835.21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1259</v>
      </c>
      <c r="B83" t="inlineStr">
        <is>
          <t>Kolejowa 4, 64-020 Czempin</t>
        </is>
      </c>
      <c r="C83" t="inlineStr">
        <is>
          <t>Czempiń</t>
        </is>
      </c>
      <c r="D83" t="inlineStr">
        <is>
          <t>ST|40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3624.38</v>
      </c>
      <c r="AD83" s="2" t="n">
        <v>231.5576111111111</v>
      </c>
      <c r="AE83" s="2" t="n">
        <v>3355.907407407407</v>
      </c>
      <c r="AF83" s="2" t="n">
        <v>905.3099999999999</v>
      </c>
      <c r="AG83" s="2" t="n">
        <v>2719.07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2965.7</v>
      </c>
      <c r="AP83" s="2" t="n">
        <v>216.935462962963</v>
      </c>
      <c r="AQ83" s="2" t="n">
        <v>2746.018518518519</v>
      </c>
      <c r="AR83" s="2" t="n">
        <v>530.4</v>
      </c>
      <c r="AS83" s="2" t="n">
        <v>2435.3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6590.08</v>
      </c>
      <c r="BB83" s="2" t="n">
        <v>5154.370000000001</v>
      </c>
      <c r="BC83" s="2">
        <f>F83+L83+R83+X83+AD83+AJ83+AP83+AV83+IF(BE83="",0,BE83)</f>
        <v/>
      </c>
      <c r="BD83" s="2" t="n">
        <v>79.37729800000001</v>
      </c>
      <c r="BE83" s="2" t="n"/>
      <c r="BF83" s="2" t="n">
        <v>6101.925925925926</v>
      </c>
      <c r="BG83" s="2" t="n">
        <v>458.58</v>
      </c>
      <c r="BH83" s="2" t="n">
        <v>0</v>
      </c>
      <c r="BI83" s="2" t="n">
        <v>26868.14</v>
      </c>
      <c r="BJ83" s="2" t="n">
        <v>80.97958677685951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69.583995</v>
      </c>
      <c r="BQ83" s="2" t="n">
        <v>0</v>
      </c>
      <c r="BR83" s="2" t="n">
        <v>27502.28358177686</v>
      </c>
      <c r="BS83" s="2" t="n">
        <v>778.1611570247934</v>
      </c>
      <c r="BT83" s="2" t="n">
        <v>0</v>
      </c>
      <c r="BU83" s="2" t="n">
        <v>5642.172148760332</v>
      </c>
      <c r="BV83" s="2" t="n">
        <v>6420.333305785125</v>
      </c>
      <c r="BW83" s="2" t="n">
        <v>33922.61688756198</v>
      </c>
      <c r="BX83" s="2" t="n">
        <v>5154.370000000001</v>
      </c>
      <c r="BY83" s="2" t="n">
        <v>0</v>
      </c>
      <c r="BZ83" s="2" t="n">
        <v>1435.71</v>
      </c>
      <c r="CA83" s="2" t="n">
        <v>5154.370000000001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1261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16539.9</v>
      </c>
      <c r="L84" s="2" t="n">
        <v>1376.793527777778</v>
      </c>
      <c r="M84" s="2" t="n">
        <v>15314.72222222222</v>
      </c>
      <c r="N84" s="2" t="n">
        <v>2503.54</v>
      </c>
      <c r="O84" s="2" t="n">
        <v>13857.36</v>
      </c>
      <c r="P84" s="2" t="n">
        <v>179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13798.6</v>
      </c>
      <c r="X84" s="2" t="n">
        <v>750</v>
      </c>
      <c r="Y84" s="2" t="n">
        <v>12776.48148148148</v>
      </c>
      <c r="Z84" s="2" t="n">
        <v>1486.4</v>
      </c>
      <c r="AA84" s="2" t="n">
        <v>12084.72</v>
      </c>
      <c r="AB84" s="2" t="n">
        <v>227.48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6077.560000000001</v>
      </c>
      <c r="AP84" s="2" t="n">
        <v>444.5622592592593</v>
      </c>
      <c r="AQ84" s="2" t="n">
        <v>5627.370370370371</v>
      </c>
      <c r="AR84" s="2" t="n">
        <v>1504.98</v>
      </c>
      <c r="AS84" s="2" t="n">
        <v>4361.81</v>
      </c>
      <c r="AT84" s="2" t="n">
        <v>210.77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36416.06</v>
      </c>
      <c r="BB84" s="2" t="n">
        <v>30921.14</v>
      </c>
      <c r="BC84" s="2">
        <f>F84+L84+R84+X84+AD84+AJ84+AP84+AV84+IF(BE84="",0,BE84)</f>
        <v/>
      </c>
      <c r="BD84" s="2" t="n">
        <v>452.792376</v>
      </c>
      <c r="BE84" s="2" t="n"/>
      <c r="BF84" s="2" t="n">
        <v>33718.57407407407</v>
      </c>
      <c r="BG84" s="2" t="n">
        <v>1380</v>
      </c>
      <c r="BH84" s="2" t="n">
        <v>0</v>
      </c>
      <c r="BI84" s="2" t="n">
        <v>26868.14</v>
      </c>
      <c r="BJ84" s="2" t="n">
        <v>80.97958677685951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417.43539</v>
      </c>
      <c r="BQ84" s="2" t="n">
        <v>0</v>
      </c>
      <c r="BR84" s="2" t="n">
        <v>28771.55497677686</v>
      </c>
      <c r="BS84" s="2" t="n">
        <v>778.1611570247934</v>
      </c>
      <c r="BT84" s="2" t="n">
        <v>0</v>
      </c>
      <c r="BU84" s="2" t="n">
        <v>5826.456148760331</v>
      </c>
      <c r="BV84" s="2" t="n">
        <v>6604.617305785125</v>
      </c>
      <c r="BW84" s="2" t="n">
        <v>35376.17228256198</v>
      </c>
      <c r="BX84" s="2" t="n">
        <v>30303.89</v>
      </c>
      <c r="BY84" s="2" t="n">
        <v>617.25</v>
      </c>
      <c r="BZ84" s="2" t="n">
        <v>5494.92</v>
      </c>
      <c r="CA84" s="2" t="n">
        <v>30921.14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1262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14382.23</v>
      </c>
      <c r="L85" s="2" t="n">
        <v>1197.187478703704</v>
      </c>
      <c r="M85" s="2" t="n">
        <v>13316.87962962963</v>
      </c>
      <c r="N85" s="2" t="n">
        <v>2731.48</v>
      </c>
      <c r="O85" s="2" t="n">
        <v>11284.87</v>
      </c>
      <c r="P85" s="2" t="n">
        <v>365.88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10954.8</v>
      </c>
      <c r="X85" s="2" t="n">
        <v>750</v>
      </c>
      <c r="Y85" s="2" t="n">
        <v>10143.33333333333</v>
      </c>
      <c r="Z85" s="2" t="n">
        <v>1764.11</v>
      </c>
      <c r="AA85" s="2" t="n">
        <v>9041.940000000001</v>
      </c>
      <c r="AB85" s="2" t="n">
        <v>148.75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5907.48</v>
      </c>
      <c r="AP85" s="2" t="n">
        <v>432.1212222222222</v>
      </c>
      <c r="AQ85" s="2" t="n">
        <v>5469.888888888889</v>
      </c>
      <c r="AR85" s="2" t="n">
        <v>1203.62</v>
      </c>
      <c r="AS85" s="2" t="n">
        <v>4523.51</v>
      </c>
      <c r="AT85" s="2" t="n">
        <v>180.35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31244.51</v>
      </c>
      <c r="BB85" s="2" t="n">
        <v>25545.3</v>
      </c>
      <c r="BC85" s="2">
        <f>F85+L85+R85+X85+AD85+AJ85+AP85+AV85+IF(BE85="",0,BE85)</f>
        <v/>
      </c>
      <c r="BD85" s="2" t="n">
        <v>375.935309</v>
      </c>
      <c r="BE85" s="2" t="n"/>
      <c r="BF85" s="2" t="n">
        <v>28930.10185185185</v>
      </c>
      <c r="BG85" s="2" t="n">
        <v>1380</v>
      </c>
      <c r="BH85" s="2" t="n">
        <v>0</v>
      </c>
      <c r="BI85" s="2" t="n">
        <v>26868.14</v>
      </c>
      <c r="BJ85" s="2" t="n">
        <v>80.97958677685951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344.86155</v>
      </c>
      <c r="BQ85" s="2" t="n">
        <v>0</v>
      </c>
      <c r="BR85" s="2" t="n">
        <v>28698.98113677686</v>
      </c>
      <c r="BS85" s="2" t="n">
        <v>778.1611570247934</v>
      </c>
      <c r="BT85" s="2" t="n">
        <v>0</v>
      </c>
      <c r="BU85" s="2" t="n">
        <v>5826.456148760331</v>
      </c>
      <c r="BV85" s="2" t="n">
        <v>6604.617305785125</v>
      </c>
      <c r="BW85" s="2" t="n">
        <v>35303.59844256198</v>
      </c>
      <c r="BX85" s="2" t="n">
        <v>24850.32</v>
      </c>
      <c r="BY85" s="2" t="n">
        <v>694.98</v>
      </c>
      <c r="BZ85" s="2" t="n">
        <v>5699.21</v>
      </c>
      <c r="CA85" s="2" t="n">
        <v>25545.3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1263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66997.61</v>
      </c>
      <c r="L86" s="2" t="n">
        <v>5576.93068425926</v>
      </c>
      <c r="M86" s="2" t="n">
        <v>62034.82407407407</v>
      </c>
      <c r="N86" s="2" t="n">
        <v>8053.06</v>
      </c>
      <c r="O86" s="2" t="n">
        <v>57609.97</v>
      </c>
      <c r="P86" s="2" t="n">
        <v>1334.58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56796.37</v>
      </c>
      <c r="X86" s="2" t="n">
        <v>750</v>
      </c>
      <c r="Y86" s="2" t="n">
        <v>52589.23148148147</v>
      </c>
      <c r="Z86" s="2" t="n">
        <v>7118.42</v>
      </c>
      <c r="AA86" s="2" t="n">
        <v>48906.43</v>
      </c>
      <c r="AB86" s="2" t="n">
        <v>771.52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16147.91</v>
      </c>
      <c r="AP86" s="2" t="n">
        <v>1181.189712962963</v>
      </c>
      <c r="AQ86" s="2" t="n">
        <v>14951.76851851852</v>
      </c>
      <c r="AR86" s="2" t="n">
        <v>2976.22</v>
      </c>
      <c r="AS86" s="2" t="n">
        <v>12294.5</v>
      </c>
      <c r="AT86" s="2" t="n">
        <v>877.1900000000001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139941.89</v>
      </c>
      <c r="BB86" s="2" t="n">
        <v>121794.19</v>
      </c>
      <c r="BC86" s="2">
        <f>F86+L86+R86+X86+AD86+AJ86+AP86+AV86+IF(BE86="",0,BE86)</f>
        <v/>
      </c>
      <c r="BD86" s="2" t="n">
        <v>1781.242421</v>
      </c>
      <c r="BE86" s="2" t="n"/>
      <c r="BF86" s="2" t="n">
        <v>129575.8240740741</v>
      </c>
      <c r="BG86" s="2" t="n">
        <v>1380</v>
      </c>
      <c r="BH86" s="2" t="n">
        <v>0</v>
      </c>
      <c r="BI86" s="2" t="n">
        <v>26868.14</v>
      </c>
      <c r="BJ86" s="2" t="n">
        <v>80.97958677685951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1644.221565</v>
      </c>
      <c r="BQ86" s="2" t="n">
        <v>0</v>
      </c>
      <c r="BR86" s="2" t="n">
        <v>29998.34115177686</v>
      </c>
      <c r="BS86" s="2" t="n">
        <v>778.1611570247934</v>
      </c>
      <c r="BT86" s="2" t="n">
        <v>0</v>
      </c>
      <c r="BU86" s="2" t="n">
        <v>5826.456148760331</v>
      </c>
      <c r="BV86" s="2" t="n">
        <v>6604.617305785125</v>
      </c>
      <c r="BW86" s="2" t="n">
        <v>36602.95845756198</v>
      </c>
      <c r="BX86" s="2" t="n">
        <v>118810.9</v>
      </c>
      <c r="BY86" s="2" t="n">
        <v>2983.29</v>
      </c>
      <c r="BZ86" s="2" t="n">
        <v>18147.7</v>
      </c>
      <c r="CA86" s="2" t="n">
        <v>121794.19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1264</v>
      </c>
      <c r="B87" t="inlineStr">
        <is>
          <t>Dworcowa 1, 66-400 Gorzów Wlkp</t>
        </is>
      </c>
      <c r="C87" t="inlineStr">
        <is>
          <t>Gorzów Wielkopolski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1500.9</v>
      </c>
      <c r="L87" s="2" t="n">
        <v>124.9360277777778</v>
      </c>
      <c r="M87" s="2" t="n">
        <v>1389.722222222222</v>
      </c>
      <c r="N87" s="2" t="n">
        <v>263.48</v>
      </c>
      <c r="O87" s="2" t="n">
        <v>1175.07</v>
      </c>
      <c r="P87" s="2" t="n">
        <v>62.35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11982.21</v>
      </c>
      <c r="AP87" s="2" t="n">
        <v>876.476472222222</v>
      </c>
      <c r="AQ87" s="2" t="n">
        <v>11094.63888888889</v>
      </c>
      <c r="AR87" s="2" t="n">
        <v>3737.89</v>
      </c>
      <c r="AS87" s="2" t="n">
        <v>7481.58</v>
      </c>
      <c r="AT87" s="2" t="n">
        <v>762.74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13483.11</v>
      </c>
      <c r="BB87" s="2" t="n">
        <v>9481.74</v>
      </c>
      <c r="BC87" s="2">
        <f>F87+L87+R87+X87+AD87+AJ87+AP87+AV87+IF(BE87="",0,BE87)</f>
        <v/>
      </c>
      <c r="BD87" s="2" t="n">
        <v>146.018796</v>
      </c>
      <c r="BE87" s="2" t="n"/>
      <c r="BF87" s="2" t="n">
        <v>12484.36111111111</v>
      </c>
      <c r="BG87" s="2" t="n">
        <v>354.21</v>
      </c>
      <c r="BH87" s="2" t="n">
        <v>255</v>
      </c>
      <c r="BI87" s="2" t="n">
        <v>26868.14</v>
      </c>
      <c r="BJ87" s="2" t="n">
        <v>80.97958677685951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128.00349</v>
      </c>
      <c r="BQ87" s="2" t="n">
        <v>0</v>
      </c>
      <c r="BR87" s="2" t="n">
        <v>27711.33307677686</v>
      </c>
      <c r="BS87" s="2" t="n">
        <v>778.1611570247934</v>
      </c>
      <c r="BT87" s="2" t="n">
        <v>0</v>
      </c>
      <c r="BU87" s="2" t="n">
        <v>5672.298148760331</v>
      </c>
      <c r="BV87" s="2" t="n">
        <v>6450.459305785124</v>
      </c>
      <c r="BW87" s="2" t="n">
        <v>34161.79238256198</v>
      </c>
      <c r="BX87" s="2" t="n">
        <v>8656.65</v>
      </c>
      <c r="BY87" s="2" t="n">
        <v>825.09</v>
      </c>
      <c r="BZ87" s="2" t="n">
        <v>4001.37</v>
      </c>
      <c r="CA87" s="2" t="n">
        <v>9481.74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1265</v>
      </c>
      <c r="B88" t="inlineStr">
        <is>
          <t>pl. Kolejarza 1, 65-024 Zielona Góra</t>
        </is>
      </c>
      <c r="C88" t="inlineStr">
        <is>
          <t>Zielona Góra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3451.19</v>
      </c>
      <c r="L88" s="2" t="n">
        <v>287.2796120370371</v>
      </c>
      <c r="M88" s="2" t="n">
        <v>3195.546296296296</v>
      </c>
      <c r="N88" s="2" t="n">
        <v>1650.67</v>
      </c>
      <c r="O88" s="2" t="n">
        <v>1598.21</v>
      </c>
      <c r="P88" s="2" t="n">
        <v>202.31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6685.64</v>
      </c>
      <c r="AP88" s="2" t="n">
        <v>489.0421851851851</v>
      </c>
      <c r="AQ88" s="2" t="n">
        <v>6190.407407407407</v>
      </c>
      <c r="AR88" s="2" t="n">
        <v>3717.06</v>
      </c>
      <c r="AS88" s="2" t="n">
        <v>2467.36</v>
      </c>
      <c r="AT88" s="2" t="n">
        <v>501.22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10136.83</v>
      </c>
      <c r="BB88" s="2" t="n">
        <v>4769.1</v>
      </c>
      <c r="BC88" s="2">
        <f>F88+L88+R88+X88+AD88+AJ88+AP88+AV88+IF(BE88="",0,BE88)</f>
        <v/>
      </c>
      <c r="BD88" s="2" t="n">
        <v>73.44414</v>
      </c>
      <c r="BE88" s="2" t="n"/>
      <c r="BF88" s="2" t="n">
        <v>9385.953703703703</v>
      </c>
      <c r="BG88" s="2" t="n">
        <v>354.21</v>
      </c>
      <c r="BH88" s="2" t="n">
        <v>155</v>
      </c>
      <c r="BI88" s="2" t="n">
        <v>26868.14</v>
      </c>
      <c r="BJ88" s="2" t="n">
        <v>80.97958677685951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64.38284999999999</v>
      </c>
      <c r="BQ88" s="2" t="n">
        <v>0</v>
      </c>
      <c r="BR88" s="2" t="n">
        <v>27547.71243677686</v>
      </c>
      <c r="BS88" s="2" t="n">
        <v>778.1611570247934</v>
      </c>
      <c r="BT88" s="2" t="n">
        <v>0</v>
      </c>
      <c r="BU88" s="2" t="n">
        <v>5652.298148760331</v>
      </c>
      <c r="BV88" s="2" t="n">
        <v>6430.459305785124</v>
      </c>
      <c r="BW88" s="2" t="n">
        <v>33978.17174256199</v>
      </c>
      <c r="BX88" s="2" t="n">
        <v>4065.57</v>
      </c>
      <c r="BY88" s="2" t="n">
        <v>703.53</v>
      </c>
      <c r="BZ88" s="2" t="n">
        <v>5367.73</v>
      </c>
      <c r="CA88" s="2" t="n">
        <v>4769.1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1266</v>
      </c>
      <c r="B89" t="inlineStr">
        <is>
          <t>Dworcowa 1, 64-100 Leszno</t>
        </is>
      </c>
      <c r="C89" t="inlineStr">
        <is>
          <t>Leszno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13191.54</v>
      </c>
      <c r="L89" s="2" t="n">
        <v>1098.073561111111</v>
      </c>
      <c r="M89" s="2" t="n">
        <v>12214.38888888889</v>
      </c>
      <c r="N89" s="2" t="n">
        <v>2707.35</v>
      </c>
      <c r="O89" s="2" t="n">
        <v>10106.24</v>
      </c>
      <c r="P89" s="2" t="n">
        <v>377.95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8454.6</v>
      </c>
      <c r="AD89" s="2" t="n">
        <v>540.155</v>
      </c>
      <c r="AE89" s="2" t="n">
        <v>7828.333333333333</v>
      </c>
      <c r="AF89" s="2" t="n">
        <v>2878.5</v>
      </c>
      <c r="AG89" s="2" t="n">
        <v>5131.82</v>
      </c>
      <c r="AH89" s="2" t="n">
        <v>444.28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6323.9</v>
      </c>
      <c r="AP89" s="2" t="n">
        <v>462.5815740740741</v>
      </c>
      <c r="AQ89" s="2" t="n">
        <v>5855.462962962963</v>
      </c>
      <c r="AR89" s="2" t="n">
        <v>1805.38</v>
      </c>
      <c r="AS89" s="2" t="n">
        <v>4287.61</v>
      </c>
      <c r="AT89" s="2" t="n">
        <v>230.91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27970.04</v>
      </c>
      <c r="BB89" s="2" t="n">
        <v>20578.81</v>
      </c>
      <c r="BC89" s="2">
        <f>F89+L89+R89+X89+AD89+AJ89+AP89+AV89+IF(BE89="",0,BE89)</f>
        <v/>
      </c>
      <c r="BD89" s="2" t="n">
        <v>316.913674</v>
      </c>
      <c r="BE89" s="2" t="n"/>
      <c r="BF89" s="2" t="n">
        <v>25898.18518518519</v>
      </c>
      <c r="BG89" s="2" t="n">
        <v>0</v>
      </c>
      <c r="BH89" s="2" t="n">
        <v>121.8</v>
      </c>
      <c r="BI89" s="2" t="n">
        <v>26868.14</v>
      </c>
      <c r="BJ89" s="2" t="n">
        <v>80.97958677685951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277.813935</v>
      </c>
      <c r="BQ89" s="2" t="n">
        <v>0</v>
      </c>
      <c r="BR89" s="2" t="n">
        <v>27373.73352177686</v>
      </c>
      <c r="BS89" s="2" t="n">
        <v>778.1611570247934</v>
      </c>
      <c r="BT89" s="2" t="n">
        <v>0</v>
      </c>
      <c r="BU89" s="2" t="n">
        <v>5574.816148760331</v>
      </c>
      <c r="BV89" s="2" t="n">
        <v>6352.977305785124</v>
      </c>
      <c r="BW89" s="2" t="n">
        <v>33726.71082756198</v>
      </c>
      <c r="BX89" s="2" t="n">
        <v>19525.67</v>
      </c>
      <c r="BY89" s="2" t="n">
        <v>1053.14</v>
      </c>
      <c r="BZ89" s="2" t="n">
        <v>7391.23</v>
      </c>
      <c r="CA89" s="2" t="n">
        <v>20578.81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1267</v>
      </c>
      <c r="B90" t="inlineStr">
        <is>
          <t>Pawia 5a, 31-154 Kraków</t>
        </is>
      </c>
      <c r="C90" t="inlineStr">
        <is>
          <t>Kraków Główny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18920.17</v>
      </c>
      <c r="L90" s="2" t="n">
        <v>1574.928965740741</v>
      </c>
      <c r="M90" s="2" t="n">
        <v>17518.67592592593</v>
      </c>
      <c r="N90" s="2" t="n">
        <v>1345.18</v>
      </c>
      <c r="O90" s="2" t="n">
        <v>17033.49</v>
      </c>
      <c r="P90" s="2" t="n">
        <v>541.5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16448.6</v>
      </c>
      <c r="X90" s="2" t="n">
        <v>750</v>
      </c>
      <c r="Y90" s="2" t="n">
        <v>15230.18518518519</v>
      </c>
      <c r="Z90" s="2" t="n">
        <v>1527.79</v>
      </c>
      <c r="AA90" s="2" t="n">
        <v>14577</v>
      </c>
      <c r="AB90" s="2" t="n">
        <v>343.81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3947.62</v>
      </c>
      <c r="AP90" s="2" t="n">
        <v>288.7610925925926</v>
      </c>
      <c r="AQ90" s="2" t="n">
        <v>3655.203703703703</v>
      </c>
      <c r="AR90" s="2" t="n">
        <v>717.96</v>
      </c>
      <c r="AS90" s="2" t="n">
        <v>3106.7</v>
      </c>
      <c r="AT90" s="2" t="n">
        <v>122.96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39316.39000000001</v>
      </c>
      <c r="BB90" s="2" t="n">
        <v>35725.46000000001</v>
      </c>
      <c r="BC90" s="2">
        <f>F90+L90+R90+X90+AD90+AJ90+AP90+AV90+IF(BE90="",0,BE90)</f>
        <v/>
      </c>
      <c r="BD90" s="2" t="n">
        <v>521.822545</v>
      </c>
      <c r="BE90" s="2" t="n"/>
      <c r="BF90" s="2" t="n">
        <v>36404.06481481482</v>
      </c>
      <c r="BG90" s="2" t="n">
        <v>1020</v>
      </c>
      <c r="BH90" s="2" t="n">
        <v>317.4</v>
      </c>
      <c r="BI90" s="2" t="n">
        <v>26868.14</v>
      </c>
      <c r="BJ90" s="2" t="n">
        <v>80.97958677685951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482.29371</v>
      </c>
      <c r="BQ90" s="2" t="n">
        <v>0</v>
      </c>
      <c r="BR90" s="2" t="n">
        <v>28793.81329677686</v>
      </c>
      <c r="BS90" s="2" t="n">
        <v>778.1611570247934</v>
      </c>
      <c r="BT90" s="2" t="n">
        <v>0</v>
      </c>
      <c r="BU90" s="2" t="n">
        <v>5817.936148760331</v>
      </c>
      <c r="BV90" s="2" t="n">
        <v>6596.097305785124</v>
      </c>
      <c r="BW90" s="2" t="n">
        <v>35389.91060256198</v>
      </c>
      <c r="BX90" s="2" t="n">
        <v>34717.19</v>
      </c>
      <c r="BY90" s="2" t="n">
        <v>1008.27</v>
      </c>
      <c r="BZ90" s="2" t="n">
        <v>3590.93</v>
      </c>
      <c r="CA90" s="2" t="n">
        <v>35725.46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1268</v>
      </c>
      <c r="B91" t="inlineStr">
        <is>
          <t>Kolejowa 5, 83-200 Starogard Gdański</t>
        </is>
      </c>
      <c r="C91" t="inlineStr">
        <is>
          <t>Starogard Gdański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20522.8</v>
      </c>
      <c r="AP91" s="2" t="n">
        <v>4177</v>
      </c>
      <c r="AQ91" s="2" t="n">
        <v>19002.59259259259</v>
      </c>
      <c r="AR91" s="2" t="n">
        <v>8447.58</v>
      </c>
      <c r="AS91" s="2" t="n">
        <v>11122.05</v>
      </c>
      <c r="AT91" s="2" t="n">
        <v>953.17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20522.8</v>
      </c>
      <c r="BB91" s="2" t="n">
        <v>12075.22</v>
      </c>
      <c r="BC91" s="2">
        <f>F91+L91+R91+X91+AD91+AJ91+AP91+AV91+IF(BE91="",0,BE91)</f>
        <v/>
      </c>
      <c r="BD91" s="2" t="n">
        <v>185.958388</v>
      </c>
      <c r="BE91" s="2" t="n"/>
      <c r="BF91" s="2" t="n">
        <v>19002.59259259259</v>
      </c>
      <c r="BG91" s="2" t="n">
        <v>0</v>
      </c>
      <c r="BH91" s="2" t="n">
        <v>0</v>
      </c>
      <c r="BI91" s="2" t="n">
        <v>26868.14</v>
      </c>
      <c r="BJ91" s="2" t="n">
        <v>80.97958677685951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163.01547</v>
      </c>
      <c r="BQ91" s="2" t="n">
        <v>0</v>
      </c>
      <c r="BR91" s="2" t="n">
        <v>27137.13505677686</v>
      </c>
      <c r="BS91" s="2" t="n">
        <v>778.1611570247934</v>
      </c>
      <c r="BT91" s="2" t="n">
        <v>0</v>
      </c>
      <c r="BU91" s="2" t="n">
        <v>5550.456148760331</v>
      </c>
      <c r="BV91" s="2" t="n">
        <v>6328.617305785125</v>
      </c>
      <c r="BW91" s="2" t="n">
        <v>33465.75236256198</v>
      </c>
      <c r="BX91" s="2" t="n">
        <v>11122.05</v>
      </c>
      <c r="BY91" s="2" t="n">
        <v>953.17</v>
      </c>
      <c r="BZ91" s="2" t="n">
        <v>8447.58</v>
      </c>
      <c r="CA91" s="2" t="n">
        <v>12075.22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1269</v>
      </c>
      <c r="B92" t="inlineStr">
        <is>
          <t>Podwale Grodzkie 1, 80-895 Gdańsk</t>
        </is>
      </c>
      <c r="C92" t="inlineStr">
        <is>
          <t>Gdańsk Główny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17216.38</v>
      </c>
      <c r="L92" s="2" t="n">
        <v>1433.104224074074</v>
      </c>
      <c r="M92" s="2" t="n">
        <v>15941.09259259259</v>
      </c>
      <c r="N92" s="2" t="n">
        <v>6474.1</v>
      </c>
      <c r="O92" s="2" t="n">
        <v>9968.280000000001</v>
      </c>
      <c r="P92" s="2" t="n">
        <v>774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8265.91</v>
      </c>
      <c r="AP92" s="2" t="n">
        <v>604.6360092592593</v>
      </c>
      <c r="AQ92" s="2" t="n">
        <v>7653.62037037037</v>
      </c>
      <c r="AR92" s="2" t="n">
        <v>2678.61</v>
      </c>
      <c r="AS92" s="2" t="n">
        <v>5387.16</v>
      </c>
      <c r="AT92" s="2" t="n">
        <v>200.14</v>
      </c>
      <c r="AU92" s="2" t="n">
        <v>2559.15</v>
      </c>
      <c r="AV92" s="2" t="n">
        <v>71.08749999999999</v>
      </c>
      <c r="AW92" s="2" t="n">
        <v>2369.583333333333</v>
      </c>
      <c r="AX92" s="2" t="n">
        <v>530.35</v>
      </c>
      <c r="AY92" s="2" t="n">
        <v>1964.35</v>
      </c>
      <c r="AZ92" s="2" t="n">
        <v>64.45</v>
      </c>
      <c r="BA92" s="2" t="n">
        <v>28041.44</v>
      </c>
      <c r="BB92" s="2" t="n">
        <v>18358.38</v>
      </c>
      <c r="BC92" s="2">
        <f>F92+L92+R92+X92+AD92+AJ92+AP92+AV92+IF(BE92="",0,BE92)</f>
        <v/>
      </c>
      <c r="BD92" s="2" t="n">
        <v>282.719052</v>
      </c>
      <c r="BE92" s="2" t="n"/>
      <c r="BF92" s="2" t="n">
        <v>25964.2962962963</v>
      </c>
      <c r="BG92" s="2" t="n">
        <v>0</v>
      </c>
      <c r="BH92" s="2" t="n">
        <v>0</v>
      </c>
      <c r="BI92" s="2" t="n">
        <v>26868.14</v>
      </c>
      <c r="BJ92" s="2" t="n">
        <v>80.97958677685951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247.83813</v>
      </c>
      <c r="BQ92" s="2" t="n">
        <v>0</v>
      </c>
      <c r="BR92" s="2" t="n">
        <v>27221.95771677686</v>
      </c>
      <c r="BS92" s="2" t="n">
        <v>778.1611570247934</v>
      </c>
      <c r="BT92" s="2" t="n">
        <v>0</v>
      </c>
      <c r="BU92" s="2" t="n">
        <v>5550.456148760331</v>
      </c>
      <c r="BV92" s="2" t="n">
        <v>6328.617305785125</v>
      </c>
      <c r="BW92" s="2" t="n">
        <v>33550.57502256198</v>
      </c>
      <c r="BX92" s="2" t="n">
        <v>17319.79</v>
      </c>
      <c r="BY92" s="2" t="n">
        <v>1038.59</v>
      </c>
      <c r="BZ92" s="2" t="n">
        <v>9683.060000000001</v>
      </c>
      <c r="CA92" s="2" t="n">
        <v>18358.38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1270</v>
      </c>
      <c r="B93" t="inlineStr">
        <is>
          <t>Marii Konopnickiej 10, 10-168 Olsztyn</t>
        </is>
      </c>
      <c r="C93" t="inlineStr">
        <is>
          <t>Olsztyn Zachodni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12298.25</v>
      </c>
      <c r="L93" s="2" t="n">
        <v>1023.715439814815</v>
      </c>
      <c r="M93" s="2" t="n">
        <v>11387.26851851852</v>
      </c>
      <c r="N93" s="2" t="n">
        <v>2881.89</v>
      </c>
      <c r="O93" s="2" t="n">
        <v>8982.959999999999</v>
      </c>
      <c r="P93" s="2" t="n">
        <v>433.4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7796.299999999999</v>
      </c>
      <c r="AP93" s="2" t="n">
        <v>570.2849074074073</v>
      </c>
      <c r="AQ93" s="2" t="n">
        <v>7218.796296296295</v>
      </c>
      <c r="AR93" s="2" t="n">
        <v>1786.21</v>
      </c>
      <c r="AS93" s="2" t="n">
        <v>5494.32</v>
      </c>
      <c r="AT93" s="2" t="n">
        <v>515.77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20094.55</v>
      </c>
      <c r="BB93" s="2" t="n">
        <v>15426.45</v>
      </c>
      <c r="BC93" s="2">
        <f>F93+L93+R93+X93+AD93+AJ93+AP93+AV93+IF(BE93="",0,BE93)</f>
        <v/>
      </c>
      <c r="BD93" s="2" t="n">
        <v>237.56733</v>
      </c>
      <c r="BE93" s="2" t="n"/>
      <c r="BF93" s="2" t="n">
        <v>18606.06481481481</v>
      </c>
      <c r="BG93" s="2" t="n">
        <v>331.08</v>
      </c>
      <c r="BH93" s="2" t="n">
        <v>0</v>
      </c>
      <c r="BI93" s="2" t="n">
        <v>26868.14</v>
      </c>
      <c r="BJ93" s="2" t="n">
        <v>80.97958677685951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208.257075</v>
      </c>
      <c r="BQ93" s="2" t="n">
        <v>0</v>
      </c>
      <c r="BR93" s="2" t="n">
        <v>27513.45666177686</v>
      </c>
      <c r="BS93" s="2" t="n">
        <v>778.1611570247934</v>
      </c>
      <c r="BT93" s="2" t="n">
        <v>0</v>
      </c>
      <c r="BU93" s="2" t="n">
        <v>5616.672148760332</v>
      </c>
      <c r="BV93" s="2" t="n">
        <v>6394.833305785125</v>
      </c>
      <c r="BW93" s="2" t="n">
        <v>33908.28996756198</v>
      </c>
      <c r="BX93" s="2" t="n">
        <v>14477.28</v>
      </c>
      <c r="BY93" s="2" t="n">
        <v>949.17</v>
      </c>
      <c r="BZ93" s="2" t="n">
        <v>4668.1</v>
      </c>
      <c r="CA93" s="2" t="n">
        <v>15426.45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1271</v>
      </c>
      <c r="B94" t="inlineStr">
        <is>
          <t>Zygmunta Augusta 7, 85-082 Bydgoszcz</t>
        </is>
      </c>
      <c r="C94" t="inlineStr">
        <is>
          <t>Bydgoszcz</t>
        </is>
      </c>
      <c r="D94" t="inlineStr">
        <is>
          <t>FAA2000</t>
        </is>
      </c>
      <c r="E94" s="2" t="n">
        <v>9597.609999999999</v>
      </c>
      <c r="F94" s="2" t="n">
        <v>1000</v>
      </c>
      <c r="G94" s="2" t="n">
        <v>8886.675925925923</v>
      </c>
      <c r="H94" s="2" t="n">
        <v>2470.64</v>
      </c>
      <c r="I94" s="2" t="n">
        <v>6388.57</v>
      </c>
      <c r="J94" s="2" t="n">
        <v>738.4</v>
      </c>
      <c r="K94" s="2" t="n">
        <v>13439.57</v>
      </c>
      <c r="L94" s="2" t="n">
        <v>1118.719762037037</v>
      </c>
      <c r="M94" s="2" t="n">
        <v>12444.0462962963</v>
      </c>
      <c r="N94" s="2" t="n">
        <v>3290.02</v>
      </c>
      <c r="O94" s="2" t="n">
        <v>9469.98</v>
      </c>
      <c r="P94" s="2" t="n">
        <v>679.5700000000001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18374.91</v>
      </c>
      <c r="AP94" s="2" t="n">
        <v>1344.090638888889</v>
      </c>
      <c r="AQ94" s="2" t="n">
        <v>17013.80555555555</v>
      </c>
      <c r="AR94" s="2" t="n">
        <v>4445.05</v>
      </c>
      <c r="AS94" s="2" t="n">
        <v>13137.06</v>
      </c>
      <c r="AT94" s="2" t="n">
        <v>792.8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41412.09</v>
      </c>
      <c r="BB94" s="2" t="n">
        <v>31206.38</v>
      </c>
      <c r="BC94" s="2">
        <f>F94+L94+R94+X94+AD94+AJ94+AP94+AV94+IF(BE94="",0,BE94)</f>
        <v/>
      </c>
      <c r="BD94" s="2" t="n">
        <v>480.578252</v>
      </c>
      <c r="BE94" s="2" t="n"/>
      <c r="BF94" s="2" t="n">
        <v>38344.52777777777</v>
      </c>
      <c r="BG94" s="2" t="n">
        <v>368.17</v>
      </c>
      <c r="BH94" s="2" t="n">
        <v>148.23</v>
      </c>
      <c r="BI94" s="2" t="n">
        <v>26868.14</v>
      </c>
      <c r="BJ94" s="2" t="n">
        <v>80.97958677685951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421.28613</v>
      </c>
      <c r="BQ94" s="2" t="n">
        <v>0</v>
      </c>
      <c r="BR94" s="2" t="n">
        <v>27911.80571677686</v>
      </c>
      <c r="BS94" s="2" t="n">
        <v>778.1611570247934</v>
      </c>
      <c r="BT94" s="2" t="n">
        <v>0</v>
      </c>
      <c r="BU94" s="2" t="n">
        <v>5653.736148760331</v>
      </c>
      <c r="BV94" s="2" t="n">
        <v>6431.897305785124</v>
      </c>
      <c r="BW94" s="2" t="n">
        <v>34343.70302256198</v>
      </c>
      <c r="BX94" s="2" t="n">
        <v>28995.61</v>
      </c>
      <c r="BY94" s="2" t="n">
        <v>2210.77</v>
      </c>
      <c r="BZ94" s="2" t="n">
        <v>10205.71</v>
      </c>
      <c r="CA94" s="2" t="n">
        <v>31206.38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1272</v>
      </c>
      <c r="B95" t="inlineStr">
        <is>
          <t>Dworcowa 115, 88-110 Inowrocław</t>
        </is>
      </c>
      <c r="C95" t="inlineStr">
        <is>
          <t>Inowrocław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8589.230000000001</v>
      </c>
      <c r="L95" s="2" t="n">
        <v>714.9738675925928</v>
      </c>
      <c r="M95" s="2" t="n">
        <v>7952.990740740742</v>
      </c>
      <c r="N95" s="2" t="n">
        <v>2680.64</v>
      </c>
      <c r="O95" s="2" t="n">
        <v>5407.3</v>
      </c>
      <c r="P95" s="2" t="n">
        <v>501.29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8172.62</v>
      </c>
      <c r="AP95" s="2" t="n">
        <v>597.8120185185185</v>
      </c>
      <c r="AQ95" s="2" t="n">
        <v>7567.24074074074</v>
      </c>
      <c r="AR95" s="2" t="n">
        <v>2750.19</v>
      </c>
      <c r="AS95" s="2" t="n">
        <v>5261.3</v>
      </c>
      <c r="AT95" s="2" t="n">
        <v>161.13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16761.85</v>
      </c>
      <c r="BB95" s="2" t="n">
        <v>11331.02</v>
      </c>
      <c r="BC95" s="2">
        <f>F95+L95+R95+X95+AD95+AJ95+AP95+AV95+IF(BE95="",0,BE95)</f>
        <v/>
      </c>
      <c r="BD95" s="2" t="n">
        <v>174.497708</v>
      </c>
      <c r="BE95" s="2" t="n"/>
      <c r="BF95" s="2" t="n">
        <v>15520.23148148148</v>
      </c>
      <c r="BG95" s="2" t="n">
        <v>669.73</v>
      </c>
      <c r="BH95" s="2" t="n">
        <v>146.3</v>
      </c>
      <c r="BI95" s="2" t="n">
        <v>26868.14</v>
      </c>
      <c r="BJ95" s="2" t="n">
        <v>80.97958677685951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152.96877</v>
      </c>
      <c r="BQ95" s="2" t="n">
        <v>0</v>
      </c>
      <c r="BR95" s="2" t="n">
        <v>27943.11835677686</v>
      </c>
      <c r="BS95" s="2" t="n">
        <v>778.1611570247934</v>
      </c>
      <c r="BT95" s="2" t="n">
        <v>0</v>
      </c>
      <c r="BU95" s="2" t="n">
        <v>5713.662148760331</v>
      </c>
      <c r="BV95" s="2" t="n">
        <v>6491.823305785124</v>
      </c>
      <c r="BW95" s="2" t="n">
        <v>34434.94166256198</v>
      </c>
      <c r="BX95" s="2" t="n">
        <v>10668.6</v>
      </c>
      <c r="BY95" s="2" t="n">
        <v>662.4200000000001</v>
      </c>
      <c r="BZ95" s="2" t="n">
        <v>5430.83</v>
      </c>
      <c r="CA95" s="2" t="n">
        <v>11331.02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1273</v>
      </c>
      <c r="B96" t="inlineStr">
        <is>
          <t>Towarowa 5, 84-120 Władysławowo</t>
        </is>
      </c>
      <c r="C96" t="inlineStr">
        <is>
          <t>Władysławowo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289.6</v>
      </c>
      <c r="L96" s="2" t="n">
        <v>24.10651851851852</v>
      </c>
      <c r="M96" s="2" t="n">
        <v>268.1481481481482</v>
      </c>
      <c r="N96" s="2" t="n">
        <v>0</v>
      </c>
      <c r="O96" s="2" t="n">
        <v>289.6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6769.88</v>
      </c>
      <c r="AP96" s="2" t="n">
        <v>5475</v>
      </c>
      <c r="AQ96" s="2" t="n">
        <v>6268.407407407407</v>
      </c>
      <c r="AR96" s="2" t="n">
        <v>0</v>
      </c>
      <c r="AS96" s="2" t="n">
        <v>6232.93</v>
      </c>
      <c r="AT96" s="2" t="n">
        <v>536.95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7059.48</v>
      </c>
      <c r="BB96" s="2" t="n">
        <v>7059.48</v>
      </c>
      <c r="BC96" s="2">
        <f>F96+L96+R96+X96+AD96+AJ96+AP96+AV96+IF(BE96="",0,BE96)</f>
        <v/>
      </c>
      <c r="BD96" s="2" t="n">
        <v>108.715992</v>
      </c>
      <c r="BE96" s="2" t="n"/>
      <c r="BF96" s="2" t="n">
        <v>6536.555555555555</v>
      </c>
      <c r="BG96" s="2" t="n">
        <v>0</v>
      </c>
      <c r="BH96" s="2" t="n">
        <v>0</v>
      </c>
      <c r="BI96" s="2" t="n">
        <v>26868.14</v>
      </c>
      <c r="BJ96" s="2" t="n">
        <v>80.97958677685951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95.30297999999999</v>
      </c>
      <c r="BQ96" s="2" t="n">
        <v>0</v>
      </c>
      <c r="BR96" s="2" t="n">
        <v>27069.42256677686</v>
      </c>
      <c r="BS96" s="2" t="n">
        <v>778.1611570247934</v>
      </c>
      <c r="BT96" s="2" t="n">
        <v>0</v>
      </c>
      <c r="BU96" s="2" t="n">
        <v>5550.456148760331</v>
      </c>
      <c r="BV96" s="2" t="n">
        <v>6328.617305785125</v>
      </c>
      <c r="BW96" s="2" t="n">
        <v>33398.03987256198</v>
      </c>
      <c r="BX96" s="2" t="n">
        <v>6522.530000000001</v>
      </c>
      <c r="BY96" s="2" t="n">
        <v>536.95</v>
      </c>
      <c r="BZ96" s="2" t="n">
        <v>0</v>
      </c>
      <c r="CA96" s="2" t="n">
        <v>7059.48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1274</v>
      </c>
      <c r="B97" t="inlineStr">
        <is>
          <t>Czersk</t>
        </is>
      </c>
      <c r="C97" t="inlineStr">
        <is>
          <t>Czersk</t>
        </is>
      </c>
      <c r="D97" t="inlineStr">
        <is>
          <t>FAA2000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2624.77</v>
      </c>
      <c r="AP97" s="2" t="n">
        <v>3900</v>
      </c>
      <c r="AQ97" s="2" t="n">
        <v>2430.342592592593</v>
      </c>
      <c r="AR97" s="2" t="n">
        <v>0</v>
      </c>
      <c r="AS97" s="2" t="n">
        <v>2235.83</v>
      </c>
      <c r="AT97" s="2" t="n">
        <v>388.94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2624.77</v>
      </c>
      <c r="BB97" s="2" t="n">
        <v>2624.77</v>
      </c>
      <c r="BC97" s="2">
        <f>F97+L97+R97+X97+AD97+AJ97+AP97+AV97+IF(BE97="",0,BE97)</f>
        <v/>
      </c>
      <c r="BD97" s="2" t="n">
        <v>40.421458</v>
      </c>
      <c r="BE97" s="2" t="n"/>
      <c r="BF97" s="2" t="n">
        <v>2430.342592592593</v>
      </c>
      <c r="BG97" s="2" t="n">
        <v>0</v>
      </c>
      <c r="BH97" s="2" t="n">
        <v>0</v>
      </c>
      <c r="BI97" s="2" t="n">
        <v>26868.14</v>
      </c>
      <c r="BJ97" s="2" t="n">
        <v>80.97958677685951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35.434395</v>
      </c>
      <c r="BQ97" s="2" t="n">
        <v>0</v>
      </c>
      <c r="BR97" s="2" t="n">
        <v>27009.55398177686</v>
      </c>
      <c r="BS97" s="2" t="n">
        <v>778.1611570247934</v>
      </c>
      <c r="BT97" s="2" t="n">
        <v>0</v>
      </c>
      <c r="BU97" s="2" t="n">
        <v>5550.456148760331</v>
      </c>
      <c r="BV97" s="2" t="n">
        <v>6328.617305785125</v>
      </c>
      <c r="BW97" s="2" t="n">
        <v>33338.17128756199</v>
      </c>
      <c r="BX97" s="2" t="n">
        <v>2235.83</v>
      </c>
      <c r="BY97" s="2" t="n">
        <v>388.94</v>
      </c>
      <c r="BZ97" s="2" t="n">
        <v>0</v>
      </c>
      <c r="CA97" s="2" t="n">
        <v>2624.77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1275</v>
      </c>
      <c r="B98" t="inlineStr">
        <is>
          <t>Rzeszow Glowny</t>
        </is>
      </c>
      <c r="C98" t="inlineStr">
        <is>
          <t>Poznań Dębiec</t>
        </is>
      </c>
      <c r="D98" t="inlineStr">
        <is>
          <t>FAA2000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14137.78</v>
      </c>
      <c r="L98" s="2" t="n">
        <v>1176.83927962963</v>
      </c>
      <c r="M98" s="2" t="n">
        <v>13090.53703703704</v>
      </c>
      <c r="N98" s="2" t="n">
        <v>2294.01</v>
      </c>
      <c r="O98" s="2" t="n">
        <v>11344.67</v>
      </c>
      <c r="P98" s="2" t="n">
        <v>499.1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22938.22</v>
      </c>
      <c r="AP98" s="2" t="n">
        <v>1677.888314814815</v>
      </c>
      <c r="AQ98" s="2" t="n">
        <v>21239.09259259259</v>
      </c>
      <c r="AR98" s="2" t="n">
        <v>4931.64</v>
      </c>
      <c r="AS98" s="2" t="n">
        <v>17523.2</v>
      </c>
      <c r="AT98" s="2" t="n">
        <v>483.38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37076</v>
      </c>
      <c r="BB98" s="2" t="n">
        <v>29850.35</v>
      </c>
      <c r="BC98" s="2">
        <f>F98+L98+R98+X98+AD98+AJ98+AP98+AV98+IF(BE98="",0,BE98)</f>
        <v/>
      </c>
      <c r="BD98" s="2" t="n">
        <v>459.6953900000001</v>
      </c>
      <c r="BE98" s="2" t="n"/>
      <c r="BF98" s="2" t="n">
        <v>34329.62962962963</v>
      </c>
      <c r="BG98" s="2" t="n">
        <v>415.49</v>
      </c>
      <c r="BH98" s="2" t="n">
        <v>0</v>
      </c>
      <c r="BI98" s="2" t="n">
        <v>26868.14</v>
      </c>
      <c r="BJ98" s="2" t="n">
        <v>80.97958677685951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402.979725</v>
      </c>
      <c r="BQ98" s="2" t="n">
        <v>0</v>
      </c>
      <c r="BR98" s="2" t="n">
        <v>27792.58931177686</v>
      </c>
      <c r="BS98" s="2" t="n">
        <v>778.1611570247934</v>
      </c>
      <c r="BT98" s="2" t="n">
        <v>0</v>
      </c>
      <c r="BU98" s="2" t="n">
        <v>5633.554148760331</v>
      </c>
      <c r="BV98" s="2" t="n">
        <v>6411.715305785125</v>
      </c>
      <c r="BW98" s="2" t="n">
        <v>34204.30461756198</v>
      </c>
      <c r="BX98" s="2" t="n">
        <v>28867.87</v>
      </c>
      <c r="BY98" s="2" t="n">
        <v>982.48</v>
      </c>
      <c r="BZ98" s="2" t="n">
        <v>7225.650000000001</v>
      </c>
      <c r="CA98" s="2" t="n">
        <v>29850.35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1276</v>
      </c>
      <c r="B99" t="inlineStr">
        <is>
          <t>GDA-STR</t>
        </is>
      </c>
      <c r="C99" t="inlineStr">
        <is>
          <t>Gdańsk Strzyża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8860.73</v>
      </c>
      <c r="AP99" s="2" t="n">
        <v>0</v>
      </c>
      <c r="AQ99" s="2" t="n">
        <v>8204.37962962963</v>
      </c>
      <c r="AR99" s="2" t="n">
        <v>1500.31</v>
      </c>
      <c r="AS99" s="2" t="n">
        <v>7172.86</v>
      </c>
      <c r="AT99" s="2" t="n">
        <v>187.56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8860.73</v>
      </c>
      <c r="BB99" s="2" t="n">
        <v>7360.42</v>
      </c>
      <c r="BC99" s="2">
        <f>F99+L99+R99+X99+AD99+AJ99+AP99+AV99+IF(BE99="",0,BE99)</f>
        <v/>
      </c>
      <c r="BD99" s="2" t="n">
        <v>113.350468</v>
      </c>
      <c r="BE99" s="2" t="n"/>
      <c r="BF99" s="2" t="n">
        <v>8204.37962962963</v>
      </c>
      <c r="BG99" s="2" t="n">
        <v>0</v>
      </c>
      <c r="BH99" s="2" t="n">
        <v>0</v>
      </c>
      <c r="BI99" s="2" t="n">
        <v>26868.14</v>
      </c>
      <c r="BJ99" s="2" t="n">
        <v>80.97958677685951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99.36566999999999</v>
      </c>
      <c r="BQ99" s="2" t="n">
        <v>0</v>
      </c>
      <c r="BR99" s="2" t="n">
        <v>27073.48525677686</v>
      </c>
      <c r="BS99" s="2" t="n">
        <v>778.1611570247934</v>
      </c>
      <c r="BT99" s="2" t="n">
        <v>0</v>
      </c>
      <c r="BU99" s="2" t="n">
        <v>5550.456148760331</v>
      </c>
      <c r="BV99" s="2" t="n">
        <v>6328.617305785125</v>
      </c>
      <c r="BW99" s="2" t="n">
        <v>33402.10256256198</v>
      </c>
      <c r="BX99" s="2" t="n">
        <v>7172.86</v>
      </c>
      <c r="BY99" s="2" t="n">
        <v>187.56</v>
      </c>
      <c r="BZ99" s="2" t="n">
        <v>1500.31</v>
      </c>
      <c r="CA99" s="2" t="n">
        <v>7360.42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1277</v>
      </c>
      <c r="B100" t="inlineStr">
        <is>
          <t>Plac Konstytucji 1, 81-354 Gdynia</t>
        </is>
      </c>
      <c r="C100" t="inlineStr">
        <is>
          <t>Gdynia Główna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7729.33</v>
      </c>
      <c r="L100" s="2" t="n">
        <v>643.3951546296296</v>
      </c>
      <c r="M100" s="2" t="n">
        <v>7156.787037037036</v>
      </c>
      <c r="N100" s="2" t="n">
        <v>2416.78</v>
      </c>
      <c r="O100" s="2" t="n">
        <v>4734.8</v>
      </c>
      <c r="P100" s="2" t="n">
        <v>577.75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13965.04</v>
      </c>
      <c r="AP100" s="2" t="n">
        <v>1021.516814814815</v>
      </c>
      <c r="AQ100" s="2" t="n">
        <v>12930.59259259259</v>
      </c>
      <c r="AR100" s="2" t="n">
        <v>4453.79</v>
      </c>
      <c r="AS100" s="2" t="n">
        <v>9087.299999999999</v>
      </c>
      <c r="AT100" s="2" t="n">
        <v>423.95</v>
      </c>
      <c r="AU100" s="2" t="n">
        <v>14713.7</v>
      </c>
      <c r="AV100" s="2" t="n">
        <v>408.7138888888888</v>
      </c>
      <c r="AW100" s="2" t="n">
        <v>13623.7962962963</v>
      </c>
      <c r="AX100" s="2" t="n">
        <v>2914.05</v>
      </c>
      <c r="AY100" s="2" t="n">
        <v>11305.35</v>
      </c>
      <c r="AZ100" s="2" t="n">
        <v>494.3</v>
      </c>
      <c r="BA100" s="2" t="n">
        <v>36408.07000000001</v>
      </c>
      <c r="BB100" s="2" t="n">
        <v>26623.45</v>
      </c>
      <c r="BC100" s="2">
        <f>F100+L100+R100+X100+AD100+AJ100+AP100+AV100+IF(BE100="",0,BE100)</f>
        <v/>
      </c>
      <c r="BD100" s="2" t="n">
        <v>410.00113</v>
      </c>
      <c r="BE100" s="2" t="n"/>
      <c r="BF100" s="2" t="n">
        <v>33711.17592592593</v>
      </c>
      <c r="BG100" s="2" t="n">
        <v>937.59</v>
      </c>
      <c r="BH100" s="2" t="n">
        <v>104</v>
      </c>
      <c r="BI100" s="2" t="n">
        <v>26868.14</v>
      </c>
      <c r="BJ100" s="2" t="n">
        <v>80.97958677685951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359.416575</v>
      </c>
      <c r="BQ100" s="2" t="n">
        <v>0</v>
      </c>
      <c r="BR100" s="2" t="n">
        <v>28375.12616177686</v>
      </c>
      <c r="BS100" s="2" t="n">
        <v>778.1611570247934</v>
      </c>
      <c r="BT100" s="2" t="n">
        <v>0</v>
      </c>
      <c r="BU100" s="2" t="n">
        <v>5758.774148760331</v>
      </c>
      <c r="BV100" s="2" t="n">
        <v>6536.935305785124</v>
      </c>
      <c r="BW100" s="2" t="n">
        <v>34912.06146756198</v>
      </c>
      <c r="BX100" s="2" t="n">
        <v>25127.45</v>
      </c>
      <c r="BY100" s="2" t="n">
        <v>1496</v>
      </c>
      <c r="BZ100" s="2" t="n">
        <v>9784.619999999999</v>
      </c>
      <c r="CA100" s="2" t="n">
        <v>26623.45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1278</v>
      </c>
      <c r="B101" t="inlineStr">
        <is>
          <t>Plac Konstytucji 1, 81-354 Gdynia</t>
        </is>
      </c>
      <c r="C101" t="inlineStr">
        <is>
          <t>Gdynia Główna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10621.03</v>
      </c>
      <c r="L101" s="2" t="n">
        <v>884.1024046296296</v>
      </c>
      <c r="M101" s="2" t="n">
        <v>9834.287037037036</v>
      </c>
      <c r="N101" s="2" t="n">
        <v>3534.9</v>
      </c>
      <c r="O101" s="2" t="n">
        <v>6446.35</v>
      </c>
      <c r="P101" s="2" t="n">
        <v>639.78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16732.61</v>
      </c>
      <c r="AP101" s="2" t="n">
        <v>1223.959435185185</v>
      </c>
      <c r="AQ101" s="2" t="n">
        <v>15493.15740740741</v>
      </c>
      <c r="AR101" s="2" t="n">
        <v>5079.3</v>
      </c>
      <c r="AS101" s="2" t="n">
        <v>11043.23</v>
      </c>
      <c r="AT101" s="2" t="n">
        <v>610.08</v>
      </c>
      <c r="AU101" s="2" t="n">
        <v>16395.6</v>
      </c>
      <c r="AV101" s="2" t="n">
        <v>455.4333333333333</v>
      </c>
      <c r="AW101" s="2" t="n">
        <v>15181.11111111111</v>
      </c>
      <c r="AX101" s="2" t="n">
        <v>3661.3</v>
      </c>
      <c r="AY101" s="2" t="n">
        <v>11809.85</v>
      </c>
      <c r="AZ101" s="2" t="n">
        <v>924.45</v>
      </c>
      <c r="BA101" s="2" t="n">
        <v>43749.24000000001</v>
      </c>
      <c r="BB101" s="2" t="n">
        <v>31473.74</v>
      </c>
      <c r="BC101" s="2">
        <f>F101+L101+R101+X101+AD101+AJ101+AP101+AV101+IF(BE101="",0,BE101)</f>
        <v/>
      </c>
      <c r="BD101" s="2" t="n">
        <v>484.695596</v>
      </c>
      <c r="BE101" s="2" t="n"/>
      <c r="BF101" s="2" t="n">
        <v>40508.55555555555</v>
      </c>
      <c r="BG101" s="2" t="n">
        <v>1174.62</v>
      </c>
      <c r="BH101" s="2" t="n">
        <v>130</v>
      </c>
      <c r="BI101" s="2" t="n">
        <v>26868.14</v>
      </c>
      <c r="BJ101" s="2" t="n">
        <v>80.97958677685951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424.89549</v>
      </c>
      <c r="BQ101" s="2" t="n">
        <v>0</v>
      </c>
      <c r="BR101" s="2" t="n">
        <v>28703.63507677686</v>
      </c>
      <c r="BS101" s="2" t="n">
        <v>778.1611570247934</v>
      </c>
      <c r="BT101" s="2" t="n">
        <v>0</v>
      </c>
      <c r="BU101" s="2" t="n">
        <v>5811.38014876033</v>
      </c>
      <c r="BV101" s="2" t="n">
        <v>6589.541305785124</v>
      </c>
      <c r="BW101" s="2" t="n">
        <v>35293.17638256198</v>
      </c>
      <c r="BX101" s="2" t="n">
        <v>29299.43</v>
      </c>
      <c r="BY101" s="2" t="n">
        <v>2174.31</v>
      </c>
      <c r="BZ101" s="2" t="n">
        <v>12275.5</v>
      </c>
      <c r="CA101" s="2" t="n">
        <v>31473.74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1279</v>
      </c>
      <c r="B102" t="inlineStr">
        <is>
          <t>GDA-GL</t>
        </is>
      </c>
      <c r="C102" t="inlineStr">
        <is>
          <t>Gdańsk Brętowo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4290.25</v>
      </c>
      <c r="AP102" s="2" t="n">
        <v>0</v>
      </c>
      <c r="AQ102" s="2" t="n">
        <v>3972.453703703703</v>
      </c>
      <c r="AR102" s="2" t="n">
        <v>625.2</v>
      </c>
      <c r="AS102" s="2" t="n">
        <v>3492.1</v>
      </c>
      <c r="AT102" s="2" t="n">
        <v>172.95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4290.25</v>
      </c>
      <c r="BB102" s="2" t="n">
        <v>3665.05</v>
      </c>
      <c r="BC102" s="2">
        <f>F102+L102+R102+X102+AD102+AJ102+AP102+AV102+IF(BE102="",0,BE102)</f>
        <v/>
      </c>
      <c r="BD102" s="2" t="n">
        <v>56.44177</v>
      </c>
      <c r="BE102" s="2" t="n"/>
      <c r="BF102" s="2" t="n">
        <v>3972.453703703703</v>
      </c>
      <c r="BG102" s="2" t="n">
        <v>0</v>
      </c>
      <c r="BH102" s="2" t="n">
        <v>0</v>
      </c>
      <c r="BI102" s="2" t="n">
        <v>26868.14</v>
      </c>
      <c r="BJ102" s="2" t="n">
        <v>80.97958677685951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49.47817499999999</v>
      </c>
      <c r="BQ102" s="2" t="n">
        <v>0</v>
      </c>
      <c r="BR102" s="2" t="n">
        <v>27023.59776177686</v>
      </c>
      <c r="BS102" s="2" t="n">
        <v>778.1611570247934</v>
      </c>
      <c r="BT102" s="2" t="n">
        <v>0</v>
      </c>
      <c r="BU102" s="2" t="n">
        <v>5550.456148760331</v>
      </c>
      <c r="BV102" s="2" t="n">
        <v>6328.617305785125</v>
      </c>
      <c r="BW102" s="2" t="n">
        <v>33352.21506756199</v>
      </c>
      <c r="BX102" s="2" t="n">
        <v>3492.1</v>
      </c>
      <c r="BY102" s="2" t="n">
        <v>172.95</v>
      </c>
      <c r="BZ102" s="2" t="n">
        <v>625.2</v>
      </c>
      <c r="CA102" s="2" t="n">
        <v>3665.05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1280</v>
      </c>
      <c r="B103" t="inlineStr">
        <is>
          <t>GRODZW</t>
        </is>
      </c>
      <c r="C103" t="inlineStr">
        <is>
          <t>Gdańsk Jasień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8882.470000000001</v>
      </c>
      <c r="AP103" s="2" t="n">
        <v>0</v>
      </c>
      <c r="AQ103" s="2" t="n">
        <v>8224.509259259259</v>
      </c>
      <c r="AR103" s="2" t="n">
        <v>1652.51</v>
      </c>
      <c r="AS103" s="2" t="n">
        <v>7023.6</v>
      </c>
      <c r="AT103" s="2" t="n">
        <v>206.36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8882.470000000001</v>
      </c>
      <c r="BB103" s="2" t="n">
        <v>7229.96</v>
      </c>
      <c r="BC103" s="2">
        <f>F103+L103+R103+X103+AD103+AJ103+AP103+AV103+IF(BE103="",0,BE103)</f>
        <v/>
      </c>
      <c r="BD103" s="2" t="n">
        <v>111.341384</v>
      </c>
      <c r="BE103" s="2" t="n"/>
      <c r="BF103" s="2" t="n">
        <v>8224.509259259259</v>
      </c>
      <c r="BG103" s="2" t="n">
        <v>0</v>
      </c>
      <c r="BH103" s="2" t="n">
        <v>0</v>
      </c>
      <c r="BI103" s="2" t="n">
        <v>26868.14</v>
      </c>
      <c r="BJ103" s="2" t="n">
        <v>80.97958677685951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97.60446</v>
      </c>
      <c r="BQ103" s="2" t="n">
        <v>0</v>
      </c>
      <c r="BR103" s="2" t="n">
        <v>27071.72404677686</v>
      </c>
      <c r="BS103" s="2" t="n">
        <v>778.1611570247934</v>
      </c>
      <c r="BT103" s="2" t="n">
        <v>0</v>
      </c>
      <c r="BU103" s="2" t="n">
        <v>5550.456148760331</v>
      </c>
      <c r="BV103" s="2" t="n">
        <v>6328.617305785125</v>
      </c>
      <c r="BW103" s="2" t="n">
        <v>33400.34135256198</v>
      </c>
      <c r="BX103" s="2" t="n">
        <v>7023.6</v>
      </c>
      <c r="BY103" s="2" t="n">
        <v>206.36</v>
      </c>
      <c r="BZ103" s="2" t="n">
        <v>1652.51</v>
      </c>
      <c r="CA103" s="2" t="n">
        <v>7229.96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1281</v>
      </c>
      <c r="B104" t="inlineStr">
        <is>
          <t>GRANOW</t>
        </is>
      </c>
      <c r="C104" t="inlineStr">
        <is>
          <t>Gdańsk Kiełpinek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11550.13</v>
      </c>
      <c r="AP104" s="2" t="n">
        <v>0</v>
      </c>
      <c r="AQ104" s="2" t="n">
        <v>10694.56481481481</v>
      </c>
      <c r="AR104" s="2" t="n">
        <v>1896.13</v>
      </c>
      <c r="AS104" s="2" t="n">
        <v>9415.51</v>
      </c>
      <c r="AT104" s="2" t="n">
        <v>238.49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11550.13</v>
      </c>
      <c r="BB104" s="2" t="n">
        <v>9654</v>
      </c>
      <c r="BC104" s="2">
        <f>F104+L104+R104+X104+AD104+AJ104+AP104+AV104+IF(BE104="",0,BE104)</f>
        <v/>
      </c>
      <c r="BD104" s="2" t="n">
        <v>148.6716</v>
      </c>
      <c r="BE104" s="2" t="n"/>
      <c r="BF104" s="2" t="n">
        <v>10694.56481481481</v>
      </c>
      <c r="BG104" s="2" t="n">
        <v>0</v>
      </c>
      <c r="BH104" s="2" t="n">
        <v>0</v>
      </c>
      <c r="BI104" s="2" t="n">
        <v>26868.14</v>
      </c>
      <c r="BJ104" s="2" t="n">
        <v>80.97958677685951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130.329</v>
      </c>
      <c r="BQ104" s="2" t="n">
        <v>0</v>
      </c>
      <c r="BR104" s="2" t="n">
        <v>27104.44858677686</v>
      </c>
      <c r="BS104" s="2" t="n">
        <v>778.1611570247934</v>
      </c>
      <c r="BT104" s="2" t="n">
        <v>0</v>
      </c>
      <c r="BU104" s="2" t="n">
        <v>5550.456148760331</v>
      </c>
      <c r="BV104" s="2" t="n">
        <v>6328.617305785125</v>
      </c>
      <c r="BW104" s="2" t="n">
        <v>33433.06589256199</v>
      </c>
      <c r="BX104" s="2" t="n">
        <v>9415.51</v>
      </c>
      <c r="BY104" s="2" t="n">
        <v>238.49</v>
      </c>
      <c r="BZ104" s="2" t="n">
        <v>1896.13</v>
      </c>
      <c r="CA104" s="2" t="n">
        <v>9654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1282</v>
      </c>
      <c r="B105" t="inlineStr">
        <is>
          <t>STESZEW</t>
        </is>
      </c>
      <c r="C105" t="inlineStr">
        <is>
          <t>Gdańsk Port Lotniczy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24099.1</v>
      </c>
      <c r="AP105" s="2" t="n">
        <v>0</v>
      </c>
      <c r="AQ105" s="2" t="n">
        <v>22313.98148148148</v>
      </c>
      <c r="AR105" s="2" t="n">
        <v>3703.26</v>
      </c>
      <c r="AS105" s="2" t="n">
        <v>19896.38</v>
      </c>
      <c r="AT105" s="2" t="n">
        <v>499.46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24099.1</v>
      </c>
      <c r="BB105" s="2" t="n">
        <v>20395.84</v>
      </c>
      <c r="BC105" s="2">
        <f>F105+L105+R105+X105+AD105+AJ105+AP105+AV105+IF(BE105="",0,BE105)</f>
        <v/>
      </c>
      <c r="BD105" s="2" t="n">
        <v>314.095936</v>
      </c>
      <c r="BE105" s="2" t="n"/>
      <c r="BF105" s="2" t="n">
        <v>22313.98148148148</v>
      </c>
      <c r="BG105" s="2" t="n">
        <v>0</v>
      </c>
      <c r="BH105" s="2" t="n">
        <v>0</v>
      </c>
      <c r="BI105" s="2" t="n">
        <v>26868.14</v>
      </c>
      <c r="BJ105" s="2" t="n">
        <v>80.97958677685951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275.34384</v>
      </c>
      <c r="BQ105" s="2" t="n">
        <v>0</v>
      </c>
      <c r="BR105" s="2" t="n">
        <v>27249.46342677686</v>
      </c>
      <c r="BS105" s="2" t="n">
        <v>778.1611570247934</v>
      </c>
      <c r="BT105" s="2" t="n">
        <v>0</v>
      </c>
      <c r="BU105" s="2" t="n">
        <v>5550.456148760331</v>
      </c>
      <c r="BV105" s="2" t="n">
        <v>6328.617305785125</v>
      </c>
      <c r="BW105" s="2" t="n">
        <v>33578.08073256198</v>
      </c>
      <c r="BX105" s="2" t="n">
        <v>19896.38</v>
      </c>
      <c r="BY105" s="2" t="n">
        <v>499.46</v>
      </c>
      <c r="BZ105" s="2" t="n">
        <v>3703.26</v>
      </c>
      <c r="CA105" s="2" t="n">
        <v>20395.84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1283</v>
      </c>
      <c r="B106" t="inlineStr">
        <is>
          <t>CZERWO</t>
        </is>
      </c>
      <c r="C106" t="inlineStr">
        <is>
          <t>Gdańsk Port Lotniczy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16355.98</v>
      </c>
      <c r="AP106" s="2" t="n">
        <v>0</v>
      </c>
      <c r="AQ106" s="2" t="n">
        <v>15144.42592592593</v>
      </c>
      <c r="AR106" s="2" t="n">
        <v>3500.76</v>
      </c>
      <c r="AS106" s="2" t="n">
        <v>12382.84</v>
      </c>
      <c r="AT106" s="2" t="n">
        <v>472.38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16355.98</v>
      </c>
      <c r="BB106" s="2" t="n">
        <v>12855.22</v>
      </c>
      <c r="BC106" s="2">
        <f>F106+L106+R106+X106+AD106+AJ106+AP106+AV106+IF(BE106="",0,BE106)</f>
        <v/>
      </c>
      <c r="BD106" s="2" t="n">
        <v>197.970388</v>
      </c>
      <c r="BE106" s="2" t="n"/>
      <c r="BF106" s="2" t="n">
        <v>15144.42592592593</v>
      </c>
      <c r="BG106" s="2" t="n">
        <v>0</v>
      </c>
      <c r="BH106" s="2" t="n">
        <v>0</v>
      </c>
      <c r="BI106" s="2" t="n">
        <v>26868.14</v>
      </c>
      <c r="BJ106" s="2" t="n">
        <v>80.97958677685951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173.54547</v>
      </c>
      <c r="BQ106" s="2" t="n">
        <v>0</v>
      </c>
      <c r="BR106" s="2" t="n">
        <v>27147.66505677686</v>
      </c>
      <c r="BS106" s="2" t="n">
        <v>778.1611570247934</v>
      </c>
      <c r="BT106" s="2" t="n">
        <v>0</v>
      </c>
      <c r="BU106" s="2" t="n">
        <v>5550.456148760331</v>
      </c>
      <c r="BV106" s="2" t="n">
        <v>6328.617305785125</v>
      </c>
      <c r="BW106" s="2" t="n">
        <v>33476.28236256199</v>
      </c>
      <c r="BX106" s="2" t="n">
        <v>12382.84</v>
      </c>
      <c r="BY106" s="2" t="n">
        <v>472.38</v>
      </c>
      <c r="BZ106" s="2" t="n">
        <v>3500.76</v>
      </c>
      <c r="CA106" s="2" t="n">
        <v>12855.22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1284</v>
      </c>
      <c r="B107" t="inlineStr">
        <is>
          <t>OWINSK</t>
        </is>
      </c>
      <c r="C107" t="inlineStr">
        <is>
          <t>Gdańsk Rębiechowo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4728.06</v>
      </c>
      <c r="AP107" s="2" t="n">
        <v>0</v>
      </c>
      <c r="AQ107" s="2" t="n">
        <v>4377.833333333333</v>
      </c>
      <c r="AR107" s="2" t="n">
        <v>604.6</v>
      </c>
      <c r="AS107" s="2" t="n">
        <v>4106.16</v>
      </c>
      <c r="AT107" s="2" t="n">
        <v>17.3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4728.06</v>
      </c>
      <c r="BB107" s="2" t="n">
        <v>4123.46</v>
      </c>
      <c r="BC107" s="2">
        <f>F107+L107+R107+X107+AD107+AJ107+AP107+AV107+IF(BE107="",0,BE107)</f>
        <v/>
      </c>
      <c r="BD107" s="2" t="n">
        <v>63.50128400000001</v>
      </c>
      <c r="BE107" s="2" t="n"/>
      <c r="BF107" s="2" t="n">
        <v>4377.833333333333</v>
      </c>
      <c r="BG107" s="2" t="n">
        <v>0</v>
      </c>
      <c r="BH107" s="2" t="n">
        <v>0</v>
      </c>
      <c r="BI107" s="2" t="n">
        <v>26868.14</v>
      </c>
      <c r="BJ107" s="2" t="n">
        <v>80.97958677685951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55.66671</v>
      </c>
      <c r="BQ107" s="2" t="n">
        <v>0</v>
      </c>
      <c r="BR107" s="2" t="n">
        <v>27029.78629677686</v>
      </c>
      <c r="BS107" s="2" t="n">
        <v>778.1611570247934</v>
      </c>
      <c r="BT107" s="2" t="n">
        <v>0</v>
      </c>
      <c r="BU107" s="2" t="n">
        <v>5550.456148760331</v>
      </c>
      <c r="BV107" s="2" t="n">
        <v>6328.617305785125</v>
      </c>
      <c r="BW107" s="2" t="n">
        <v>33358.40360256199</v>
      </c>
      <c r="BX107" s="2" t="n">
        <v>4106.16</v>
      </c>
      <c r="BY107" s="2" t="n">
        <v>17.3</v>
      </c>
      <c r="BZ107" s="2" t="n">
        <v>604.6</v>
      </c>
      <c r="CA107" s="2" t="n">
        <v>4123.46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1285</v>
      </c>
      <c r="B108" t="inlineStr">
        <is>
          <t>ZIELWZG</t>
        </is>
      </c>
      <c r="C108" t="inlineStr">
        <is>
          <t>Gdańsk Osowa</t>
        </is>
      </c>
      <c r="D108" t="inlineStr">
        <is>
          <t>ST|40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6550.509999999999</v>
      </c>
      <c r="AP108" s="2" t="n">
        <v>0</v>
      </c>
      <c r="AQ108" s="2" t="n">
        <v>6065.287037037036</v>
      </c>
      <c r="AR108" s="2" t="n">
        <v>1528.3</v>
      </c>
      <c r="AS108" s="2" t="n">
        <v>4967.48</v>
      </c>
      <c r="AT108" s="2" t="n">
        <v>54.73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6550.509999999999</v>
      </c>
      <c r="BB108" s="2" t="n">
        <v>5022.209999999999</v>
      </c>
      <c r="BC108" s="2">
        <f>F108+L108+R108+X108+AD108+AJ108+AP108+AV108+IF(BE108="",0,BE108)</f>
        <v/>
      </c>
      <c r="BD108" s="2" t="n">
        <v>77.34203399999998</v>
      </c>
      <c r="BE108" s="2" t="n"/>
      <c r="BF108" s="2" t="n">
        <v>6065.287037037036</v>
      </c>
      <c r="BG108" s="2" t="n">
        <v>0</v>
      </c>
      <c r="BH108" s="2" t="n">
        <v>0</v>
      </c>
      <c r="BI108" s="2" t="n">
        <v>26868.14</v>
      </c>
      <c r="BJ108" s="2" t="n">
        <v>80.97958677685951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67.79983499999999</v>
      </c>
      <c r="BQ108" s="2" t="n">
        <v>0</v>
      </c>
      <c r="BR108" s="2" t="n">
        <v>27041.91942177686</v>
      </c>
      <c r="BS108" s="2" t="n">
        <v>778.1611570247934</v>
      </c>
      <c r="BT108" s="2" t="n">
        <v>0</v>
      </c>
      <c r="BU108" s="2" t="n">
        <v>5550.456148760331</v>
      </c>
      <c r="BV108" s="2" t="n">
        <v>6328.617305785125</v>
      </c>
      <c r="BW108" s="2" t="n">
        <v>33370.53672756199</v>
      </c>
      <c r="BX108" s="2" t="n">
        <v>4967.48</v>
      </c>
      <c r="BY108" s="2" t="n">
        <v>54.73</v>
      </c>
      <c r="BZ108" s="2" t="n">
        <v>1528.3</v>
      </c>
      <c r="CA108" s="2" t="n">
        <v>5022.209999999999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1286</v>
      </c>
      <c r="B109" t="inlineStr">
        <is>
          <t>Dworcowa 2, 61-801 Poznań</t>
        </is>
      </c>
      <c r="C109" t="inlineStr">
        <is>
          <t>Poznań Główny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6570.34</v>
      </c>
      <c r="L109" s="2" t="n">
        <v>546.9199685185185</v>
      </c>
      <c r="M109" s="2" t="n">
        <v>6083.648148148148</v>
      </c>
      <c r="N109" s="2" t="n">
        <v>648</v>
      </c>
      <c r="O109" s="2" t="n">
        <v>5611.53</v>
      </c>
      <c r="P109" s="2" t="n">
        <v>310.81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12523.08</v>
      </c>
      <c r="AD109" s="2" t="n">
        <v>800.0856666666668</v>
      </c>
      <c r="AE109" s="2" t="n">
        <v>11595.44444444445</v>
      </c>
      <c r="AF109" s="2" t="n">
        <v>1969.95</v>
      </c>
      <c r="AG109" s="2" t="n">
        <v>9921.860000000001</v>
      </c>
      <c r="AH109" s="2" t="n">
        <v>631.27</v>
      </c>
      <c r="AI109" s="2" t="n">
        <v>42.27</v>
      </c>
      <c r="AJ109" s="2" t="n">
        <v>0</v>
      </c>
      <c r="AK109" s="2" t="n">
        <v>39.13888888888889</v>
      </c>
      <c r="AL109" s="2" t="n">
        <v>0</v>
      </c>
      <c r="AM109" s="2" t="n">
        <v>42.27</v>
      </c>
      <c r="AN109" s="2" t="n">
        <v>0</v>
      </c>
      <c r="AO109" s="2" t="n">
        <v>3984.92</v>
      </c>
      <c r="AP109" s="2" t="n">
        <v>291.4895185185185</v>
      </c>
      <c r="AQ109" s="2" t="n">
        <v>3689.74074074074</v>
      </c>
      <c r="AR109" s="2" t="n">
        <v>882.42</v>
      </c>
      <c r="AS109" s="2" t="n">
        <v>3001.13</v>
      </c>
      <c r="AT109" s="2" t="n">
        <v>101.37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23120.61</v>
      </c>
      <c r="BB109" s="2" t="n">
        <v>19620.24</v>
      </c>
      <c r="BC109" s="2">
        <f>F109+L109+R109+X109+AD109+AJ109+AP109+AV109+IF(BE109="",0,BE109)</f>
        <v/>
      </c>
      <c r="BD109" s="2" t="n">
        <v>302.151696</v>
      </c>
      <c r="BE109" s="2" t="n"/>
      <c r="BF109" s="2" t="n">
        <v>21407.97222222222</v>
      </c>
      <c r="BG109" s="2" t="n">
        <v>458.58</v>
      </c>
      <c r="BH109" s="2" t="n">
        <v>0</v>
      </c>
      <c r="BI109" s="2" t="n">
        <v>26868.14</v>
      </c>
      <c r="BJ109" s="2" t="n">
        <v>80.97958677685951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264.8732400000001</v>
      </c>
      <c r="BQ109" s="2" t="n">
        <v>0</v>
      </c>
      <c r="BR109" s="2" t="n">
        <v>27697.57282677686</v>
      </c>
      <c r="BS109" s="2" t="n">
        <v>778.1611570247934</v>
      </c>
      <c r="BT109" s="2" t="n">
        <v>0</v>
      </c>
      <c r="BU109" s="2" t="n">
        <v>5642.172148760332</v>
      </c>
      <c r="BV109" s="2" t="n">
        <v>6420.333305785125</v>
      </c>
      <c r="BW109" s="2" t="n">
        <v>34117.90613256198</v>
      </c>
      <c r="BX109" s="2" t="n">
        <v>18576.79</v>
      </c>
      <c r="BY109" s="2" t="n">
        <v>1043.45</v>
      </c>
      <c r="BZ109" s="2" t="n">
        <v>3500.37</v>
      </c>
      <c r="CA109" s="2" t="n">
        <v>19620.24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1287</v>
      </c>
      <c r="B110" t="inlineStr">
        <is>
          <t>Kościuszki 54, 82-500 Kwidzyn</t>
        </is>
      </c>
      <c r="C110" t="inlineStr">
        <is>
          <t>Kwidzyn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3273.5</v>
      </c>
      <c r="AP110" s="2" t="n">
        <v>4060</v>
      </c>
      <c r="AQ110" s="2" t="n">
        <v>3031.018518518518</v>
      </c>
      <c r="AR110" s="2" t="n">
        <v>0</v>
      </c>
      <c r="AS110" s="2" t="n">
        <v>3072.59</v>
      </c>
      <c r="AT110" s="2" t="n">
        <v>200.91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3273.5</v>
      </c>
      <c r="BB110" s="2" t="n">
        <v>3273.5</v>
      </c>
      <c r="BC110" s="2">
        <f>F110+L110+R110+X110+AD110+AJ110+AP110+AV110+IF(BE110="",0,BE110)</f>
        <v/>
      </c>
      <c r="BD110" s="2" t="n">
        <v>50.4119</v>
      </c>
      <c r="BE110" s="2" t="n"/>
      <c r="BF110" s="2" t="n">
        <v>3031.018518518518</v>
      </c>
      <c r="BG110" s="2" t="n">
        <v>0</v>
      </c>
      <c r="BH110" s="2" t="n">
        <v>0</v>
      </c>
      <c r="BI110" s="2" t="n">
        <v>26868.14</v>
      </c>
      <c r="BJ110" s="2" t="n">
        <v>80.97958677685951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44.19225</v>
      </c>
      <c r="BQ110" s="2" t="n">
        <v>0</v>
      </c>
      <c r="BR110" s="2" t="n">
        <v>27018.31183677686</v>
      </c>
      <c r="BS110" s="2" t="n">
        <v>778.1611570247934</v>
      </c>
      <c r="BT110" s="2" t="n">
        <v>0</v>
      </c>
      <c r="BU110" s="2" t="n">
        <v>5550.456148760331</v>
      </c>
      <c r="BV110" s="2" t="n">
        <v>6328.617305785125</v>
      </c>
      <c r="BW110" s="2" t="n">
        <v>33346.92914256198</v>
      </c>
      <c r="BX110" s="2" t="n">
        <v>3072.59</v>
      </c>
      <c r="BY110" s="2" t="n">
        <v>200.91</v>
      </c>
      <c r="BZ110" s="2" t="n">
        <v>0</v>
      </c>
      <c r="CA110" s="2" t="n">
        <v>3273.5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1288</v>
      </c>
      <c r="B111" t="inlineStr">
        <is>
          <t>Ks. Stefańskiego 6, 84-140 Jastarnia</t>
        </is>
      </c>
      <c r="C111" t="inlineStr">
        <is>
          <t>Jastania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6132.969999999999</v>
      </c>
      <c r="AP111" s="2" t="n">
        <v>4494</v>
      </c>
      <c r="AQ111" s="2" t="n">
        <v>5678.675925925925</v>
      </c>
      <c r="AR111" s="2" t="n">
        <v>0</v>
      </c>
      <c r="AS111" s="2" t="n">
        <v>5113.73</v>
      </c>
      <c r="AT111" s="2" t="n">
        <v>1019.24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6132.969999999999</v>
      </c>
      <c r="BB111" s="2" t="n">
        <v>6132.969999999999</v>
      </c>
      <c r="BC111" s="2">
        <f>F111+L111+R111+X111+AD111+AJ111+AP111+AV111+IF(BE111="",0,BE111)</f>
        <v/>
      </c>
      <c r="BD111" s="2" t="n">
        <v>94.44773799999999</v>
      </c>
      <c r="BE111" s="2" t="n"/>
      <c r="BF111" s="2" t="n">
        <v>5678.675925925925</v>
      </c>
      <c r="BG111" s="2" t="n">
        <v>0</v>
      </c>
      <c r="BH111" s="2" t="n">
        <v>0</v>
      </c>
      <c r="BI111" s="2" t="n">
        <v>26868.14</v>
      </c>
      <c r="BJ111" s="2" t="n">
        <v>80.97958677685951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82.79509499999999</v>
      </c>
      <c r="BQ111" s="2" t="n">
        <v>0</v>
      </c>
      <c r="BR111" s="2" t="n">
        <v>27056.91468177686</v>
      </c>
      <c r="BS111" s="2" t="n">
        <v>778.1611570247934</v>
      </c>
      <c r="BT111" s="2" t="n">
        <v>0</v>
      </c>
      <c r="BU111" s="2" t="n">
        <v>5550.456148760331</v>
      </c>
      <c r="BV111" s="2" t="n">
        <v>6328.617305785125</v>
      </c>
      <c r="BW111" s="2" t="n">
        <v>33385.53198756198</v>
      </c>
      <c r="BX111" s="2" t="n">
        <v>5113.73</v>
      </c>
      <c r="BY111" s="2" t="n">
        <v>1019.24</v>
      </c>
      <c r="BZ111" s="2" t="n">
        <v>0</v>
      </c>
      <c r="CA111" s="2" t="n">
        <v>6132.969999999999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1289</v>
      </c>
      <c r="B112" t="inlineStr">
        <is>
          <t>Dworcowa 1, 84-150 Hel</t>
        </is>
      </c>
      <c r="C112" t="inlineStr">
        <is>
          <t>Hel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10926</v>
      </c>
      <c r="AP112" s="2" t="n">
        <v>4494</v>
      </c>
      <c r="AQ112" s="2" t="n">
        <v>10116.66666666667</v>
      </c>
      <c r="AR112" s="2" t="n">
        <v>0</v>
      </c>
      <c r="AS112" s="2" t="n">
        <v>9621.48</v>
      </c>
      <c r="AT112" s="2" t="n">
        <v>1304.52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10926</v>
      </c>
      <c r="BB112" s="2" t="n">
        <v>10926</v>
      </c>
      <c r="BC112" s="2">
        <f>F112+L112+R112+X112+AD112+AJ112+AP112+AV112+IF(BE112="",0,BE112)</f>
        <v/>
      </c>
      <c r="BD112" s="2" t="n">
        <v>168.2604</v>
      </c>
      <c r="BE112" s="2" t="n"/>
      <c r="BF112" s="2" t="n">
        <v>10116.66666666667</v>
      </c>
      <c r="BG112" s="2" t="n">
        <v>0</v>
      </c>
      <c r="BH112" s="2" t="n">
        <v>0</v>
      </c>
      <c r="BI112" s="2" t="n">
        <v>26868.14</v>
      </c>
      <c r="BJ112" s="2" t="n">
        <v>80.97958677685951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147.501</v>
      </c>
      <c r="BQ112" s="2" t="n">
        <v>0</v>
      </c>
      <c r="BR112" s="2" t="n">
        <v>27121.62058677686</v>
      </c>
      <c r="BS112" s="2" t="n">
        <v>778.1611570247934</v>
      </c>
      <c r="BT112" s="2" t="n">
        <v>0</v>
      </c>
      <c r="BU112" s="2" t="n">
        <v>5550.456148760331</v>
      </c>
      <c r="BV112" s="2" t="n">
        <v>6328.617305785125</v>
      </c>
      <c r="BW112" s="2" t="n">
        <v>33450.23789256199</v>
      </c>
      <c r="BX112" s="2" t="n">
        <v>9621.48</v>
      </c>
      <c r="BY112" s="2" t="n">
        <v>1304.52</v>
      </c>
      <c r="BZ112" s="2" t="n">
        <v>0</v>
      </c>
      <c r="CA112" s="2" t="n">
        <v>10926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1290</v>
      </c>
      <c r="B113" t="inlineStr">
        <is>
          <t>Kolumba 2, 70-035 Szczecin</t>
        </is>
      </c>
      <c r="C113" t="inlineStr">
        <is>
          <t>Szczecin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23111.4</v>
      </c>
      <c r="L113" s="2" t="n">
        <v>1923.810055555555</v>
      </c>
      <c r="M113" s="2" t="n">
        <v>21399.44444444444</v>
      </c>
      <c r="N113" s="2" t="n">
        <v>8021.81</v>
      </c>
      <c r="O113" s="2" t="n">
        <v>13319.83</v>
      </c>
      <c r="P113" s="2" t="n">
        <v>1769.76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29636.67</v>
      </c>
      <c r="AP113" s="2" t="n">
        <v>2167.867527777777</v>
      </c>
      <c r="AQ113" s="2" t="n">
        <v>27441.36111111111</v>
      </c>
      <c r="AR113" s="2" t="n">
        <v>9857.370000000001</v>
      </c>
      <c r="AS113" s="2" t="n">
        <v>17857.59</v>
      </c>
      <c r="AT113" s="2" t="n">
        <v>1921.71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52748.06999999999</v>
      </c>
      <c r="BB113" s="2" t="n">
        <v>34868.89</v>
      </c>
      <c r="BC113" s="2">
        <f>F113+L113+R113+X113+AD113+AJ113+AP113+AV113+IF(BE113="",0,BE113)</f>
        <v/>
      </c>
      <c r="BD113" s="2" t="n">
        <v>536.980906</v>
      </c>
      <c r="BE113" s="2" t="n"/>
      <c r="BF113" s="2" t="n">
        <v>48840.80555555555</v>
      </c>
      <c r="BG113" s="2" t="n">
        <v>458.58</v>
      </c>
      <c r="BH113" s="2" t="n">
        <v>177.6</v>
      </c>
      <c r="BI113" s="2" t="n">
        <v>26868.14</v>
      </c>
      <c r="BJ113" s="2" t="n">
        <v>80.97958677685951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470.730015</v>
      </c>
      <c r="BQ113" s="2" t="n">
        <v>0</v>
      </c>
      <c r="BR113" s="2" t="n">
        <v>28081.02960177686</v>
      </c>
      <c r="BS113" s="2" t="n">
        <v>778.1611570247934</v>
      </c>
      <c r="BT113" s="2" t="n">
        <v>0</v>
      </c>
      <c r="BU113" s="2" t="n">
        <v>5677.692148760331</v>
      </c>
      <c r="BV113" s="2" t="n">
        <v>6455.853305785125</v>
      </c>
      <c r="BW113" s="2" t="n">
        <v>34536.88290756199</v>
      </c>
      <c r="BX113" s="2" t="n">
        <v>31177.42</v>
      </c>
      <c r="BY113" s="2" t="n">
        <v>3691.47</v>
      </c>
      <c r="BZ113" s="2" t="n">
        <v>17879.18</v>
      </c>
      <c r="CA113" s="2" t="n">
        <v>34868.89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1291</v>
      </c>
      <c r="B114" t="inlineStr">
        <is>
          <t>pl. Dworcowy 1, 82-300 Elbląg</t>
        </is>
      </c>
      <c r="C114" t="inlineStr">
        <is>
          <t>Elbląg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5474.18</v>
      </c>
      <c r="L114" s="2" t="n">
        <v>455.6747981481482</v>
      </c>
      <c r="M114" s="2" t="n">
        <v>5068.685185185185</v>
      </c>
      <c r="N114" s="2" t="n">
        <v>1523.9</v>
      </c>
      <c r="O114" s="2" t="n">
        <v>3842.31</v>
      </c>
      <c r="P114" s="2" t="n">
        <v>107.97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17277.03</v>
      </c>
      <c r="AP114" s="2" t="n">
        <v>1263.78275</v>
      </c>
      <c r="AQ114" s="2" t="n">
        <v>15997.25</v>
      </c>
      <c r="AR114" s="2" t="n">
        <v>4085.77</v>
      </c>
      <c r="AS114" s="2" t="n">
        <v>12571.02</v>
      </c>
      <c r="AT114" s="2" t="n">
        <v>620.24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22751.21</v>
      </c>
      <c r="BB114" s="2" t="n">
        <v>17141.54</v>
      </c>
      <c r="BC114" s="2">
        <f>F114+L114+R114+X114+AD114+AJ114+AP114+AV114+IF(BE114="",0,BE114)</f>
        <v/>
      </c>
      <c r="BD114" s="2" t="n">
        <v>263.979716</v>
      </c>
      <c r="BE114" s="2" t="n"/>
      <c r="BF114" s="2" t="n">
        <v>21065.93518518519</v>
      </c>
      <c r="BG114" s="2" t="n">
        <v>458.58</v>
      </c>
      <c r="BH114" s="2" t="n">
        <v>363</v>
      </c>
      <c r="BI114" s="2" t="n">
        <v>26868.14</v>
      </c>
      <c r="BJ114" s="2" t="n">
        <v>80.97958677685951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231.41079</v>
      </c>
      <c r="BQ114" s="2" t="n">
        <v>0</v>
      </c>
      <c r="BR114" s="2" t="n">
        <v>28027.11037677686</v>
      </c>
      <c r="BS114" s="2" t="n">
        <v>778.1611570247934</v>
      </c>
      <c r="BT114" s="2" t="n">
        <v>0</v>
      </c>
      <c r="BU114" s="2" t="n">
        <v>5714.772148760331</v>
      </c>
      <c r="BV114" s="2" t="n">
        <v>6492.933305785125</v>
      </c>
      <c r="BW114" s="2" t="n">
        <v>34520.04368256198</v>
      </c>
      <c r="BX114" s="2" t="n">
        <v>16413.33</v>
      </c>
      <c r="BY114" s="2" t="n">
        <v>728.21</v>
      </c>
      <c r="BZ114" s="2" t="n">
        <v>5609.67</v>
      </c>
      <c r="CA114" s="2" t="n">
        <v>17141.54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1292</v>
      </c>
      <c r="B115" t="inlineStr">
        <is>
          <t>Dworcowa 8A, 84-310 Lębork</t>
        </is>
      </c>
      <c r="C115" t="inlineStr">
        <is>
          <t>Lębork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2740.11</v>
      </c>
      <c r="L115" s="2" t="n">
        <v>228.0887861111111</v>
      </c>
      <c r="M115" s="2" t="n">
        <v>2537.138888888889</v>
      </c>
      <c r="N115" s="2" t="n">
        <v>909.95</v>
      </c>
      <c r="O115" s="2" t="n">
        <v>1673.34</v>
      </c>
      <c r="P115" s="2" t="n">
        <v>156.82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6653.360000000001</v>
      </c>
      <c r="AP115" s="2" t="n">
        <v>4127</v>
      </c>
      <c r="AQ115" s="2" t="n">
        <v>6160.518518518518</v>
      </c>
      <c r="AR115" s="2" t="n">
        <v>3108.25</v>
      </c>
      <c r="AS115" s="2" t="n">
        <v>3126.09</v>
      </c>
      <c r="AT115" s="2" t="n">
        <v>419.02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9393.470000000001</v>
      </c>
      <c r="BB115" s="2" t="n">
        <v>5375.27</v>
      </c>
      <c r="BC115" s="2">
        <f>F115+L115+R115+X115+AD115+AJ115+AP115+AV115+IF(BE115="",0,BE115)</f>
        <v/>
      </c>
      <c r="BD115" s="2" t="n">
        <v>82.779158</v>
      </c>
      <c r="BE115" s="2" t="n"/>
      <c r="BF115" s="2" t="n">
        <v>8697.657407407407</v>
      </c>
      <c r="BG115" s="2" t="n">
        <v>0</v>
      </c>
      <c r="BH115" s="2" t="n">
        <v>0</v>
      </c>
      <c r="BI115" s="2" t="n">
        <v>26868.14</v>
      </c>
      <c r="BJ115" s="2" t="n">
        <v>80.97958677685951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72.56614500000001</v>
      </c>
      <c r="BQ115" s="2" t="n">
        <v>0</v>
      </c>
      <c r="BR115" s="2" t="n">
        <v>27046.68573177686</v>
      </c>
      <c r="BS115" s="2" t="n">
        <v>778.1611570247934</v>
      </c>
      <c r="BT115" s="2" t="n">
        <v>0</v>
      </c>
      <c r="BU115" s="2" t="n">
        <v>5550.456148760331</v>
      </c>
      <c r="BV115" s="2" t="n">
        <v>6328.617305785125</v>
      </c>
      <c r="BW115" s="2" t="n">
        <v>33375.30303756199</v>
      </c>
      <c r="BX115" s="2" t="n">
        <v>4799.43</v>
      </c>
      <c r="BY115" s="2" t="n">
        <v>575.8399999999999</v>
      </c>
      <c r="BZ115" s="2" t="n">
        <v>4018.2</v>
      </c>
      <c r="CA115" s="2" t="n">
        <v>5375.27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1293</v>
      </c>
      <c r="B116" t="inlineStr">
        <is>
          <t>Dworcowa 10, 84-100 Puck</t>
        </is>
      </c>
      <c r="C116" t="inlineStr">
        <is>
          <t>Puck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5980.4</v>
      </c>
      <c r="AP116" s="2" t="n">
        <v>4227</v>
      </c>
      <c r="AQ116" s="2" t="n">
        <v>5537.407407407407</v>
      </c>
      <c r="AR116" s="2" t="n">
        <v>1560.57</v>
      </c>
      <c r="AS116" s="2" t="n">
        <v>4079.13</v>
      </c>
      <c r="AT116" s="2" t="n">
        <v>340.7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5980.4</v>
      </c>
      <c r="BB116" s="2" t="n">
        <v>4419.83</v>
      </c>
      <c r="BC116" s="2">
        <f>F116+L116+R116+X116+AD116+AJ116+AP116+AV116+IF(BE116="",0,BE116)</f>
        <v/>
      </c>
      <c r="BD116" s="2" t="n">
        <v>68.065382</v>
      </c>
      <c r="BE116" s="2" t="n"/>
      <c r="BF116" s="2" t="n">
        <v>5537.407407407407</v>
      </c>
      <c r="BG116" s="2" t="n">
        <v>0</v>
      </c>
      <c r="BH116" s="2" t="n">
        <v>0</v>
      </c>
      <c r="BI116" s="2" t="n">
        <v>26868.14</v>
      </c>
      <c r="BJ116" s="2" t="n">
        <v>80.97958677685951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59.667705</v>
      </c>
      <c r="BQ116" s="2" t="n">
        <v>0</v>
      </c>
      <c r="BR116" s="2" t="n">
        <v>27033.78729177686</v>
      </c>
      <c r="BS116" s="2" t="n">
        <v>778.1611570247934</v>
      </c>
      <c r="BT116" s="2" t="n">
        <v>0</v>
      </c>
      <c r="BU116" s="2" t="n">
        <v>5550.456148760331</v>
      </c>
      <c r="BV116" s="2" t="n">
        <v>6328.617305785125</v>
      </c>
      <c r="BW116" s="2" t="n">
        <v>33362.40459756198</v>
      </c>
      <c r="BX116" s="2" t="n">
        <v>4079.13</v>
      </c>
      <c r="BY116" s="2" t="n">
        <v>340.7</v>
      </c>
      <c r="BZ116" s="2" t="n">
        <v>1560.57</v>
      </c>
      <c r="CA116" s="2" t="n">
        <v>4419.83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1294</v>
      </c>
      <c r="B117" t="inlineStr">
        <is>
          <t>Plac Dworcowy 3, 49-300 Brzeg</t>
        </is>
      </c>
      <c r="C117" t="inlineStr">
        <is>
          <t>Brzeg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12199.07</v>
      </c>
      <c r="L117" s="2" t="n">
        <v>1015.459623148148</v>
      </c>
      <c r="M117" s="2" t="n">
        <v>11295.43518518519</v>
      </c>
      <c r="N117" s="2" t="n">
        <v>1699.49</v>
      </c>
      <c r="O117" s="2" t="n">
        <v>10237.29</v>
      </c>
      <c r="P117" s="2" t="n">
        <v>262.29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22167.4</v>
      </c>
      <c r="AP117" s="2" t="n">
        <v>1621.504259259259</v>
      </c>
      <c r="AQ117" s="2" t="n">
        <v>20525.37037037037</v>
      </c>
      <c r="AR117" s="2" t="n">
        <v>2834.22</v>
      </c>
      <c r="AS117" s="2" t="n">
        <v>18939.85</v>
      </c>
      <c r="AT117" s="2" t="n">
        <v>393.33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34366.47</v>
      </c>
      <c r="BB117" s="2" t="n">
        <v>29832.76</v>
      </c>
      <c r="BC117" s="2">
        <f>F117+L117+R117+X117+AD117+AJ117+AP117+AV117+IF(BE117="",0,BE117)</f>
        <v/>
      </c>
      <c r="BD117" s="2" t="n">
        <v>459.4245040000001</v>
      </c>
      <c r="BE117" s="2" t="n"/>
      <c r="BF117" s="2" t="n">
        <v>31820.80555555555</v>
      </c>
      <c r="BG117" s="2" t="n">
        <v>0</v>
      </c>
      <c r="BH117" s="2" t="n">
        <v>219.2</v>
      </c>
      <c r="BI117" s="2" t="n">
        <v>26868.14</v>
      </c>
      <c r="BJ117" s="2" t="n">
        <v>80.97958677685951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402.74226</v>
      </c>
      <c r="BQ117" s="2" t="n">
        <v>0</v>
      </c>
      <c r="BR117" s="2" t="n">
        <v>27596.06184677686</v>
      </c>
      <c r="BS117" s="2" t="n">
        <v>778.1611570247934</v>
      </c>
      <c r="BT117" s="2" t="n">
        <v>0</v>
      </c>
      <c r="BU117" s="2" t="n">
        <v>5594.296148760332</v>
      </c>
      <c r="BV117" s="2" t="n">
        <v>6372.457305785125</v>
      </c>
      <c r="BW117" s="2" t="n">
        <v>33968.51915256198</v>
      </c>
      <c r="BX117" s="2" t="n">
        <v>29177.14</v>
      </c>
      <c r="BY117" s="2" t="n">
        <v>655.62</v>
      </c>
      <c r="BZ117" s="2" t="n">
        <v>4533.71</v>
      </c>
      <c r="CA117" s="2" t="n">
        <v>29832.76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1295</v>
      </c>
      <c r="B118" t="inlineStr">
        <is>
          <t>Zygmunta Starego 1, 64-920 Piła</t>
        </is>
      </c>
      <c r="C118" t="inlineStr">
        <is>
          <t>Piła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5744.280000000001</v>
      </c>
      <c r="L118" s="2" t="n">
        <v>478.1581222222223</v>
      </c>
      <c r="M118" s="2" t="n">
        <v>5318.777777777778</v>
      </c>
      <c r="N118" s="2" t="n">
        <v>1220.89</v>
      </c>
      <c r="O118" s="2" t="n">
        <v>4019.83</v>
      </c>
      <c r="P118" s="2" t="n">
        <v>503.56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5435.89</v>
      </c>
      <c r="AD118" s="2" t="n">
        <v>347.2929722222223</v>
      </c>
      <c r="AE118" s="2" t="n">
        <v>5033.231481481482</v>
      </c>
      <c r="AF118" s="2" t="n">
        <v>1496.96</v>
      </c>
      <c r="AG118" s="2" t="n">
        <v>3719.72</v>
      </c>
      <c r="AH118" s="2" t="n">
        <v>219.21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13833.24</v>
      </c>
      <c r="AP118" s="2" t="n">
        <v>1011.875888888889</v>
      </c>
      <c r="AQ118" s="2" t="n">
        <v>12808.55555555555</v>
      </c>
      <c r="AR118" s="2" t="n">
        <v>4249.5</v>
      </c>
      <c r="AS118" s="2" t="n">
        <v>8488.879999999999</v>
      </c>
      <c r="AT118" s="2" t="n">
        <v>1094.86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25013.41</v>
      </c>
      <c r="BB118" s="2" t="n">
        <v>18046.06</v>
      </c>
      <c r="BC118" s="2">
        <f>F118+L118+R118+X118+AD118+AJ118+AP118+AV118+IF(BE118="",0,BE118)</f>
        <v/>
      </c>
      <c r="BD118" s="2" t="n">
        <v>277.909324</v>
      </c>
      <c r="BE118" s="2" t="n"/>
      <c r="BF118" s="2" t="n">
        <v>23160.56481481481</v>
      </c>
      <c r="BG118" s="2" t="n">
        <v>0</v>
      </c>
      <c r="BH118" s="2" t="n">
        <v>0</v>
      </c>
      <c r="BI118" s="2" t="n">
        <v>26868.14</v>
      </c>
      <c r="BJ118" s="2" t="n">
        <v>80.97958677685951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243.62181</v>
      </c>
      <c r="BQ118" s="2" t="n">
        <v>0</v>
      </c>
      <c r="BR118" s="2" t="n">
        <v>27217.74139677686</v>
      </c>
      <c r="BS118" s="2" t="n">
        <v>778.1611570247934</v>
      </c>
      <c r="BT118" s="2" t="n">
        <v>0</v>
      </c>
      <c r="BU118" s="2" t="n">
        <v>5550.456148760331</v>
      </c>
      <c r="BV118" s="2" t="n">
        <v>6328.617305785125</v>
      </c>
      <c r="BW118" s="2" t="n">
        <v>33546.35870256199</v>
      </c>
      <c r="BX118" s="2" t="n">
        <v>16228.43</v>
      </c>
      <c r="BY118" s="2" t="n">
        <v>1817.63</v>
      </c>
      <c r="BZ118" s="2" t="n">
        <v>6967.35</v>
      </c>
      <c r="CA118" s="2" t="n">
        <v>18046.06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1296</v>
      </c>
      <c r="B119" t="inlineStr">
        <is>
          <t>Dworcowa 2, 61-801 Poznań</t>
        </is>
      </c>
      <c r="C119" t="inlineStr">
        <is>
          <t>Poznań Główny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13458.17</v>
      </c>
      <c r="L119" s="2" t="n">
        <v>1120.268039814815</v>
      </c>
      <c r="M119" s="2" t="n">
        <v>12461.26851851852</v>
      </c>
      <c r="N119" s="2" t="n">
        <v>2363.2</v>
      </c>
      <c r="O119" s="2" t="n">
        <v>10282.32</v>
      </c>
      <c r="P119" s="2" t="n">
        <v>812.65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18270.29</v>
      </c>
      <c r="AD119" s="2" t="n">
        <v>1167.268527777778</v>
      </c>
      <c r="AE119" s="2" t="n">
        <v>16916.93518518519</v>
      </c>
      <c r="AF119" s="2" t="n">
        <v>3339.41</v>
      </c>
      <c r="AG119" s="2" t="n">
        <v>13883.04</v>
      </c>
      <c r="AH119" s="2" t="n">
        <v>1047.84</v>
      </c>
      <c r="AI119" s="2" t="n">
        <v>220.31</v>
      </c>
      <c r="AJ119" s="2" t="n">
        <v>0</v>
      </c>
      <c r="AK119" s="2" t="n">
        <v>203.9907407407407</v>
      </c>
      <c r="AL119" s="2" t="n">
        <v>0</v>
      </c>
      <c r="AM119" s="2" t="n">
        <v>194.01</v>
      </c>
      <c r="AN119" s="2" t="n">
        <v>26.3</v>
      </c>
      <c r="AO119" s="2" t="n">
        <v>5906.389999999999</v>
      </c>
      <c r="AP119" s="2" t="n">
        <v>432.0414907407406</v>
      </c>
      <c r="AQ119" s="2" t="n">
        <v>5468.879629629629</v>
      </c>
      <c r="AR119" s="2" t="n">
        <v>1082.46</v>
      </c>
      <c r="AS119" s="2" t="n">
        <v>4541.65</v>
      </c>
      <c r="AT119" s="2" t="n">
        <v>282.28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37855.16</v>
      </c>
      <c r="BB119" s="2" t="n">
        <v>31070.09</v>
      </c>
      <c r="BC119" s="2">
        <f>F119+L119+R119+X119+AD119+AJ119+AP119+AV119+IF(BE119="",0,BE119)</f>
        <v/>
      </c>
      <c r="BD119" s="2" t="n">
        <v>478.479386</v>
      </c>
      <c r="BE119" s="2" t="n"/>
      <c r="BF119" s="2" t="n">
        <v>35051.07407407407</v>
      </c>
      <c r="BG119" s="2" t="n">
        <v>458.58</v>
      </c>
      <c r="BH119" s="2" t="n">
        <v>0</v>
      </c>
      <c r="BI119" s="2" t="n">
        <v>26868.14</v>
      </c>
      <c r="BJ119" s="2" t="n">
        <v>80.97958677685951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419.4462149999999</v>
      </c>
      <c r="BQ119" s="2" t="n">
        <v>0</v>
      </c>
      <c r="BR119" s="2" t="n">
        <v>27852.14580177686</v>
      </c>
      <c r="BS119" s="2" t="n">
        <v>778.1611570247934</v>
      </c>
      <c r="BT119" s="2" t="n">
        <v>0</v>
      </c>
      <c r="BU119" s="2" t="n">
        <v>5642.172148760332</v>
      </c>
      <c r="BV119" s="2" t="n">
        <v>6420.333305785125</v>
      </c>
      <c r="BW119" s="2" t="n">
        <v>34272.47910756199</v>
      </c>
      <c r="BX119" s="2" t="n">
        <v>28901.02</v>
      </c>
      <c r="BY119" s="2" t="n">
        <v>2169.07</v>
      </c>
      <c r="BZ119" s="2" t="n">
        <v>6785.07</v>
      </c>
      <c r="CA119" s="2" t="n">
        <v>31070.09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1297</v>
      </c>
      <c r="B120" t="inlineStr">
        <is>
          <t>Dworcowa 2, 61-801 Poznań</t>
        </is>
      </c>
      <c r="C120" t="inlineStr">
        <is>
          <t>Poznań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7819.66</v>
      </c>
      <c r="L120" s="2" t="n">
        <v>650.9142907407407</v>
      </c>
      <c r="M120" s="2" t="n">
        <v>7240.425925925925</v>
      </c>
      <c r="N120" s="2" t="n">
        <v>1766.88</v>
      </c>
      <c r="O120" s="2" t="n">
        <v>5731.48</v>
      </c>
      <c r="P120" s="2" t="n">
        <v>321.3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9538.650000000001</v>
      </c>
      <c r="AD120" s="2" t="n">
        <v>609.4137500000001</v>
      </c>
      <c r="AE120" s="2" t="n">
        <v>8832.083333333334</v>
      </c>
      <c r="AF120" s="2" t="n">
        <v>2170.32</v>
      </c>
      <c r="AG120" s="2" t="n">
        <v>6431.79</v>
      </c>
      <c r="AH120" s="2" t="n">
        <v>936.54</v>
      </c>
      <c r="AI120" s="2" t="n">
        <v>286.09</v>
      </c>
      <c r="AJ120" s="2" t="n">
        <v>0</v>
      </c>
      <c r="AK120" s="2" t="n">
        <v>264.8981481481481</v>
      </c>
      <c r="AL120" s="2" t="n">
        <v>55.49</v>
      </c>
      <c r="AM120" s="2" t="n">
        <v>230.6</v>
      </c>
      <c r="AN120" s="2" t="n">
        <v>0</v>
      </c>
      <c r="AO120" s="2" t="n">
        <v>3048.33</v>
      </c>
      <c r="AP120" s="2" t="n">
        <v>222.9796944444444</v>
      </c>
      <c r="AQ120" s="2" t="n">
        <v>2822.527777777778</v>
      </c>
      <c r="AR120" s="2" t="n">
        <v>585.72</v>
      </c>
      <c r="AS120" s="2" t="n">
        <v>2400.83</v>
      </c>
      <c r="AT120" s="2" t="n">
        <v>61.78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20692.73</v>
      </c>
      <c r="BB120" s="2" t="n">
        <v>16114.32</v>
      </c>
      <c r="BC120" s="2">
        <f>F120+L120+R120+X120+AD120+AJ120+AP120+AV120+IF(BE120="",0,BE120)</f>
        <v/>
      </c>
      <c r="BD120" s="2" t="n">
        <v>248.160528</v>
      </c>
      <c r="BE120" s="2" t="n"/>
      <c r="BF120" s="2" t="n">
        <v>19159.93518518519</v>
      </c>
      <c r="BG120" s="2" t="n">
        <v>458.58</v>
      </c>
      <c r="BH120" s="2" t="n">
        <v>0</v>
      </c>
      <c r="BI120" s="2" t="n">
        <v>26868.14</v>
      </c>
      <c r="BJ120" s="2" t="n">
        <v>80.97958677685951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217.54332</v>
      </c>
      <c r="BQ120" s="2" t="n">
        <v>0</v>
      </c>
      <c r="BR120" s="2" t="n">
        <v>27650.24290677686</v>
      </c>
      <c r="BS120" s="2" t="n">
        <v>778.1611570247934</v>
      </c>
      <c r="BT120" s="2" t="n">
        <v>0</v>
      </c>
      <c r="BU120" s="2" t="n">
        <v>5642.172148760332</v>
      </c>
      <c r="BV120" s="2" t="n">
        <v>6420.333305785125</v>
      </c>
      <c r="BW120" s="2" t="n">
        <v>34070.57621256199</v>
      </c>
      <c r="BX120" s="2" t="n">
        <v>14794.7</v>
      </c>
      <c r="BY120" s="2" t="n">
        <v>1319.62</v>
      </c>
      <c r="BZ120" s="2" t="n">
        <v>4578.41</v>
      </c>
      <c r="CA120" s="2" t="n">
        <v>16114.32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1298</v>
      </c>
      <c r="B121" t="inlineStr">
        <is>
          <t>Kolumba 2, 70-035 Szczecin</t>
        </is>
      </c>
      <c r="C121" t="inlineStr">
        <is>
          <t>Szczecin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13266.33</v>
      </c>
      <c r="L121" s="2" t="n">
        <v>1104.299136111111</v>
      </c>
      <c r="M121" s="2" t="n">
        <v>12283.63888888889</v>
      </c>
      <c r="N121" s="2" t="n">
        <v>4831.24</v>
      </c>
      <c r="O121" s="2" t="n">
        <v>7448.57</v>
      </c>
      <c r="P121" s="2" t="n">
        <v>986.52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29308.1</v>
      </c>
      <c r="AP121" s="2" t="n">
        <v>2143.833240740741</v>
      </c>
      <c r="AQ121" s="2" t="n">
        <v>27137.12962962963</v>
      </c>
      <c r="AR121" s="2" t="n">
        <v>10251.33</v>
      </c>
      <c r="AS121" s="2" t="n">
        <v>17365.81</v>
      </c>
      <c r="AT121" s="2" t="n">
        <v>1690.96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42574.43</v>
      </c>
      <c r="BB121" s="2" t="n">
        <v>27491.86</v>
      </c>
      <c r="BC121" s="2">
        <f>F121+L121+R121+X121+AD121+AJ121+AP121+AV121+IF(BE121="",0,BE121)</f>
        <v/>
      </c>
      <c r="BD121" s="2" t="n">
        <v>423.374644</v>
      </c>
      <c r="BE121" s="2" t="n"/>
      <c r="BF121" s="2" t="n">
        <v>39420.76851851852</v>
      </c>
      <c r="BG121" s="2" t="n">
        <v>458.58</v>
      </c>
      <c r="BH121" s="2" t="n">
        <v>177.6</v>
      </c>
      <c r="BI121" s="2" t="n">
        <v>26868.14</v>
      </c>
      <c r="BJ121" s="2" t="n">
        <v>80.97958677685951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371.14011</v>
      </c>
      <c r="BQ121" s="2" t="n">
        <v>0</v>
      </c>
      <c r="BR121" s="2" t="n">
        <v>27981.43969677686</v>
      </c>
      <c r="BS121" s="2" t="n">
        <v>778.1611570247934</v>
      </c>
      <c r="BT121" s="2" t="n">
        <v>0</v>
      </c>
      <c r="BU121" s="2" t="n">
        <v>5677.692148760331</v>
      </c>
      <c r="BV121" s="2" t="n">
        <v>6455.853305785125</v>
      </c>
      <c r="BW121" s="2" t="n">
        <v>34437.29300256199</v>
      </c>
      <c r="BX121" s="2" t="n">
        <v>24814.38</v>
      </c>
      <c r="BY121" s="2" t="n">
        <v>2677.48</v>
      </c>
      <c r="BZ121" s="2" t="n">
        <v>15082.57</v>
      </c>
      <c r="CA121" s="2" t="n">
        <v>27491.86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t="n">
        <v>1299</v>
      </c>
      <c r="B122" t="inlineStr">
        <is>
          <t>Pawia 5a, 31-154 Kraków</t>
        </is>
      </c>
      <c r="C122" t="inlineStr">
        <is>
          <t>Kraków Główny</t>
        </is>
      </c>
      <c r="D122" t="inlineStr">
        <is>
          <t>FAA2000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26042.89</v>
      </c>
      <c r="L122" s="2" t="n">
        <v>2167.82945462963</v>
      </c>
      <c r="M122" s="2" t="n">
        <v>24113.78703703704</v>
      </c>
      <c r="N122" s="2" t="n">
        <v>4226.11</v>
      </c>
      <c r="O122" s="2" t="n">
        <v>21232.31</v>
      </c>
      <c r="P122" s="2" t="n">
        <v>584.47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11845.9</v>
      </c>
      <c r="X122" s="2" t="n">
        <v>750</v>
      </c>
      <c r="Y122" s="2" t="n">
        <v>10968.42592592593</v>
      </c>
      <c r="Z122" s="2" t="n">
        <v>1879.43</v>
      </c>
      <c r="AA122" s="2" t="n">
        <v>9779.719999999999</v>
      </c>
      <c r="AB122" s="2" t="n">
        <v>186.75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7336.47</v>
      </c>
      <c r="AP122" s="2" t="n">
        <v>536.6491944444444</v>
      </c>
      <c r="AQ122" s="2" t="n">
        <v>6793.027777777777</v>
      </c>
      <c r="AR122" s="2" t="n">
        <v>1471.01</v>
      </c>
      <c r="AS122" s="2" t="n">
        <v>5673.71</v>
      </c>
      <c r="AT122" s="2" t="n">
        <v>191.75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45225.26</v>
      </c>
      <c r="BB122" s="2" t="n">
        <v>37648.71</v>
      </c>
      <c r="BC122" s="2">
        <f>F122+L122+R122+X122+AD122+AJ122+AP122+AV122+IF(BE122="",0,BE122)</f>
        <v/>
      </c>
      <c r="BD122" s="2" t="n">
        <v>560.853841</v>
      </c>
      <c r="BE122" s="2" t="n"/>
      <c r="BF122" s="2" t="n">
        <v>41875.24074074074</v>
      </c>
      <c r="BG122" s="2" t="n">
        <v>600</v>
      </c>
      <c r="BH122" s="2" t="n">
        <v>100</v>
      </c>
      <c r="BI122" s="2" t="n">
        <v>26868.14</v>
      </c>
      <c r="BJ122" s="2" t="n">
        <v>80.97958677685951</v>
      </c>
      <c r="BK122" s="2" t="n">
        <v>0</v>
      </c>
      <c r="BL122" s="2" t="n">
        <v>20</v>
      </c>
      <c r="BM122" s="2" t="n">
        <v>0</v>
      </c>
      <c r="BN122" s="2" t="n">
        <v>5</v>
      </c>
      <c r="BO122" s="2" t="n">
        <v>0</v>
      </c>
      <c r="BP122" s="2" t="n">
        <v>508.2575850000001</v>
      </c>
      <c r="BQ122" s="2" t="n">
        <v>0</v>
      </c>
      <c r="BR122" s="2" t="n">
        <v>28182.37717177686</v>
      </c>
      <c r="BS122" s="2" t="n">
        <v>778.1611570247934</v>
      </c>
      <c r="BT122" s="2" t="n">
        <v>0</v>
      </c>
      <c r="BU122" s="2" t="n">
        <v>5690.456148760331</v>
      </c>
      <c r="BV122" s="2" t="n">
        <v>6468.617305785125</v>
      </c>
      <c r="BW122" s="2" t="n">
        <v>34650.99447756198</v>
      </c>
      <c r="BX122" s="2" t="n">
        <v>36685.74</v>
      </c>
      <c r="BY122" s="2" t="n">
        <v>962.97</v>
      </c>
      <c r="BZ122" s="2" t="n">
        <v>7576.55</v>
      </c>
      <c r="CA122" s="2" t="n">
        <v>37648.71</v>
      </c>
      <c r="CB122" s="2">
        <f>(BC122+IF(BD122="",0,BD122))-BW122</f>
        <v/>
      </c>
      <c r="CC122" t="inlineStr">
        <is>
          <t>ALERT: profit/loss &lt;= -5000</t>
        </is>
      </c>
    </row>
    <row r="123">
      <c r="A123" s="3" t="inlineStr">
        <is>
          <t>PODSUMOWANIE</t>
        </is>
      </c>
      <c r="B123" s="3" t="n"/>
      <c r="C123" s="3" t="n"/>
      <c r="D123" s="3" t="n"/>
      <c r="E123" s="4">
        <f>SUM(E2:E122)</f>
        <v/>
      </c>
      <c r="F123" s="4">
        <f>SUM(F2:F122)</f>
        <v/>
      </c>
      <c r="G123" s="4">
        <f>SUM(G2:G122)</f>
        <v/>
      </c>
      <c r="H123" s="4">
        <f>SUM(H2:H122)</f>
        <v/>
      </c>
      <c r="I123" s="4">
        <f>SUM(I2:I122)</f>
        <v/>
      </c>
      <c r="J123" s="4">
        <f>SUM(J2:J122)</f>
        <v/>
      </c>
      <c r="K123" s="4">
        <f>SUM(K2:K122)</f>
        <v/>
      </c>
      <c r="L123" s="4">
        <f>SUM(L2:L122)</f>
        <v/>
      </c>
      <c r="M123" s="4">
        <f>SUM(M2:M122)</f>
        <v/>
      </c>
      <c r="N123" s="4">
        <f>SUM(N2:N122)</f>
        <v/>
      </c>
      <c r="O123" s="4">
        <f>SUM(O2:O122)</f>
        <v/>
      </c>
      <c r="P123" s="4">
        <f>SUM(P2:P122)</f>
        <v/>
      </c>
      <c r="Q123" s="4">
        <f>SUM(Q2:Q122)</f>
        <v/>
      </c>
      <c r="R123" s="4">
        <f>SUM(R2:R122)</f>
        <v/>
      </c>
      <c r="S123" s="4">
        <f>SUM(S2:S122)</f>
        <v/>
      </c>
      <c r="T123" s="4">
        <f>SUM(T2:T122)</f>
        <v/>
      </c>
      <c r="U123" s="4">
        <f>SUM(U2:U122)</f>
        <v/>
      </c>
      <c r="V123" s="4">
        <f>SUM(V2:V122)</f>
        <v/>
      </c>
      <c r="W123" s="4">
        <f>SUM(W2:W122)</f>
        <v/>
      </c>
      <c r="X123" s="4">
        <f>SUM(X2:X122)</f>
        <v/>
      </c>
      <c r="Y123" s="4">
        <f>SUM(Y2:Y122)</f>
        <v/>
      </c>
      <c r="Z123" s="4">
        <f>SUM(Z2:Z122)</f>
        <v/>
      </c>
      <c r="AA123" s="4">
        <f>SUM(AA2:AA122)</f>
        <v/>
      </c>
      <c r="AB123" s="4">
        <f>SUM(AB2:AB122)</f>
        <v/>
      </c>
      <c r="AC123" s="4">
        <f>SUM(AC2:AC122)</f>
        <v/>
      </c>
      <c r="AD123" s="4">
        <f>SUM(AD2:AD122)</f>
        <v/>
      </c>
      <c r="AE123" s="4">
        <f>SUM(AE2:AE122)</f>
        <v/>
      </c>
      <c r="AF123" s="4">
        <f>SUM(AF2:AF122)</f>
        <v/>
      </c>
      <c r="AG123" s="4">
        <f>SUM(AG2:AG122)</f>
        <v/>
      </c>
      <c r="AH123" s="4">
        <f>SUM(AH2:AH122)</f>
        <v/>
      </c>
      <c r="AI123" s="4">
        <f>SUM(AI2:AI122)</f>
        <v/>
      </c>
      <c r="AJ123" s="4">
        <f>SUM(AJ2:AJ122)</f>
        <v/>
      </c>
      <c r="AK123" s="4">
        <f>SUM(AK2:AK122)</f>
        <v/>
      </c>
      <c r="AL123" s="4">
        <f>SUM(AL2:AL122)</f>
        <v/>
      </c>
      <c r="AM123" s="4">
        <f>SUM(AM2:AM122)</f>
        <v/>
      </c>
      <c r="AN123" s="4">
        <f>SUM(AN2:AN122)</f>
        <v/>
      </c>
      <c r="AO123" s="4">
        <f>SUM(AO2:AO122)</f>
        <v/>
      </c>
      <c r="AP123" s="4">
        <f>SUM(AP2:AP122)</f>
        <v/>
      </c>
      <c r="AQ123" s="4">
        <f>SUM(AQ2:AQ122)</f>
        <v/>
      </c>
      <c r="AR123" s="4">
        <f>SUM(AR2:AR122)</f>
        <v/>
      </c>
      <c r="AS123" s="4">
        <f>SUM(AS2:AS122)</f>
        <v/>
      </c>
      <c r="AT123" s="4">
        <f>SUM(AT2:AT122)</f>
        <v/>
      </c>
      <c r="AU123" s="4">
        <f>SUM(AU2:AU122)</f>
        <v/>
      </c>
      <c r="AV123" s="4">
        <f>SUM(AV2:AV122)</f>
        <v/>
      </c>
      <c r="AW123" s="4">
        <f>SUM(AW2:AW122)</f>
        <v/>
      </c>
      <c r="AX123" s="4">
        <f>SUM(AX2:AX122)</f>
        <v/>
      </c>
      <c r="AY123" s="4">
        <f>SUM(AY2:AY122)</f>
        <v/>
      </c>
      <c r="AZ123" s="4">
        <f>SUM(AZ2:AZ122)</f>
        <v/>
      </c>
      <c r="BA123" s="4">
        <f>SUM(BA2:BA122)</f>
        <v/>
      </c>
      <c r="BB123" s="4">
        <f>SUM(BB2:BB122)</f>
        <v/>
      </c>
      <c r="BC123" s="4">
        <f>SUM(BC2:BC122)</f>
        <v/>
      </c>
      <c r="BD123" s="4">
        <f>SUM(BD2:BD122)</f>
        <v/>
      </c>
      <c r="BE123" s="4">
        <f>SUM(BE2:BE122)</f>
        <v/>
      </c>
      <c r="BF123" s="4">
        <f>SUM(BF2:BF122)</f>
        <v/>
      </c>
      <c r="BG123" s="4">
        <f>SUM(BG2:BG122)</f>
        <v/>
      </c>
      <c r="BH123" s="4">
        <f>SUM(BH2:BH122)</f>
        <v/>
      </c>
      <c r="BI123" s="4">
        <f>SUM(BI2:BI122)</f>
        <v/>
      </c>
      <c r="BJ123" s="4">
        <f>SUM(BJ2:BJ122)</f>
        <v/>
      </c>
      <c r="BK123" s="4">
        <f>SUM(BK2:BK122)</f>
        <v/>
      </c>
      <c r="BL123" s="4">
        <f>SUM(BL2:BL122)</f>
        <v/>
      </c>
      <c r="BM123" s="4">
        <f>SUM(BM2:BM122)</f>
        <v/>
      </c>
      <c r="BN123" s="4">
        <f>SUM(BN2:BN122)</f>
        <v/>
      </c>
      <c r="BO123" s="4">
        <f>SUM(BO2:BO122)</f>
        <v/>
      </c>
      <c r="BP123" s="4">
        <f>SUM(BP2:BP122)</f>
        <v/>
      </c>
      <c r="BQ123" s="4">
        <f>SUM(BQ2:BQ122)</f>
        <v/>
      </c>
      <c r="BR123" s="4">
        <f>SUM(BR2:BR122)</f>
        <v/>
      </c>
      <c r="BS123" s="4">
        <f>SUM(BS2:BS122)</f>
        <v/>
      </c>
      <c r="BT123" s="4">
        <f>SUM(BT2:BT122)</f>
        <v/>
      </c>
      <c r="BU123" s="4">
        <f>SUM(BU2:BU122)</f>
        <v/>
      </c>
      <c r="BV123" s="4">
        <f>SUM(BV2:BV122)</f>
        <v/>
      </c>
      <c r="BW123" s="4">
        <f>SUM(BW2:BW122)</f>
        <v/>
      </c>
      <c r="BX123" s="4">
        <f>SUM(BX2:BX122)</f>
        <v/>
      </c>
      <c r="BY123" s="4">
        <f>SUM(BY2:BY122)</f>
        <v/>
      </c>
      <c r="BZ123" s="4">
        <f>SUM(BZ2:BZ122)</f>
        <v/>
      </c>
      <c r="CA123" s="4">
        <f>SUM(CA2:CA122)</f>
        <v/>
      </c>
      <c r="CB123" s="4">
        <f>SUM(CB2:CB122)</f>
        <v/>
      </c>
      <c r="CC123" s="3" t="n"/>
    </row>
  </sheetData>
  <conditionalFormatting sqref="CB2:CB122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2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9" customWidth="1" min="5" max="5"/>
    <col width="21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19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20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8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16444.15</v>
      </c>
      <c r="L2" s="2" t="n">
        <v>1368.823226851852</v>
      </c>
      <c r="M2" s="2" t="n">
        <v>15226.06481481481</v>
      </c>
      <c r="N2" s="2" t="n">
        <v>0</v>
      </c>
      <c r="O2" s="2" t="n">
        <v>15412.64</v>
      </c>
      <c r="P2" s="2" t="n">
        <v>1031.51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16167.56</v>
      </c>
      <c r="X2" s="2" t="n">
        <v>750</v>
      </c>
      <c r="Y2" s="2" t="n">
        <v>14969.96296296296</v>
      </c>
      <c r="Z2" s="2" t="n">
        <v>0</v>
      </c>
      <c r="AA2" s="2" t="n">
        <v>15374.73</v>
      </c>
      <c r="AB2" s="2" t="n">
        <v>792.83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11093.17</v>
      </c>
      <c r="AP2" s="2" t="n">
        <v>513.5726851851852</v>
      </c>
      <c r="AQ2" s="2" t="n">
        <v>10271.4537037037</v>
      </c>
      <c r="AR2" s="2" t="n">
        <v>0</v>
      </c>
      <c r="AS2" s="2" t="n">
        <v>10568.9</v>
      </c>
      <c r="AT2" s="2" t="n">
        <v>524.27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43704.88</v>
      </c>
      <c r="BB2" s="2" t="n">
        <v>43704.88</v>
      </c>
      <c r="BC2" s="2">
        <f>F2+L2+R2+X2+AD2+AJ2+AP2+AV2+IF(BE2="",0,BE2)</f>
        <v/>
      </c>
      <c r="BD2" s="2" t="n">
        <v>642.336788</v>
      </c>
      <c r="BE2" s="2" t="n"/>
      <c r="BF2" s="2" t="n">
        <v>40467.48148148147</v>
      </c>
      <c r="BG2" s="2" t="n">
        <v>1134.23</v>
      </c>
      <c r="BH2" s="2" t="n">
        <v>0</v>
      </c>
      <c r="BI2" s="2" t="n">
        <v>21300.62035714286</v>
      </c>
      <c r="BJ2" s="2" t="n">
        <v>87.34537190082645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590.0158799999999</v>
      </c>
      <c r="BQ2" s="2" t="n">
        <v>0</v>
      </c>
      <c r="BR2" s="2" t="n">
        <v>23137.21160904368</v>
      </c>
      <c r="BS2" s="2" t="n">
        <v>812.479173553719</v>
      </c>
      <c r="BT2" s="2" t="n">
        <v>0</v>
      </c>
      <c r="BU2" s="2" t="n">
        <v>4671.934980519481</v>
      </c>
      <c r="BV2" s="2" t="n">
        <v>5484.4141540732</v>
      </c>
      <c r="BW2" s="2" t="n">
        <v>28621.62576311688</v>
      </c>
      <c r="BX2" s="2" t="n">
        <v>41356.27</v>
      </c>
      <c r="BY2" s="2" t="n">
        <v>2348.61</v>
      </c>
      <c r="BZ2" s="2" t="n">
        <v>0</v>
      </c>
      <c r="CA2" s="2" t="n">
        <v>43704.88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2520.29</v>
      </c>
      <c r="L3" s="2" t="n">
        <v>209.7908064814815</v>
      </c>
      <c r="M3" s="2" t="n">
        <v>2333.601851851852</v>
      </c>
      <c r="N3" s="2" t="n">
        <v>0</v>
      </c>
      <c r="O3" s="2" t="n">
        <v>2315.24</v>
      </c>
      <c r="P3" s="2" t="n">
        <v>205.05</v>
      </c>
      <c r="Q3" s="2" t="n">
        <v>3020.53</v>
      </c>
      <c r="R3" s="2" t="n">
        <v>209.7590277777778</v>
      </c>
      <c r="S3" s="2" t="n">
        <v>2796.787037037037</v>
      </c>
      <c r="T3" s="2" t="n">
        <v>0</v>
      </c>
      <c r="U3" s="2" t="n">
        <v>2777.9</v>
      </c>
      <c r="V3" s="2" t="n">
        <v>242.63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7718.959999999999</v>
      </c>
      <c r="AP3" s="2" t="n">
        <v>357.3592592592593</v>
      </c>
      <c r="AQ3" s="2" t="n">
        <v>7147.185185185184</v>
      </c>
      <c r="AR3" s="2" t="n">
        <v>0</v>
      </c>
      <c r="AS3" s="2" t="n">
        <v>7041.9</v>
      </c>
      <c r="AT3" s="2" t="n">
        <v>677.0599999999999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13259.78</v>
      </c>
      <c r="BB3" s="2" t="n">
        <v>13259.78</v>
      </c>
      <c r="BC3" s="2">
        <f>F3+L3+R3+X3+AD3+AJ3+AP3+AV3+IF(BE3="",0,BE3)</f>
        <v/>
      </c>
      <c r="BD3" s="2" t="n">
        <v>204.200612</v>
      </c>
      <c r="BE3" s="2" t="n"/>
      <c r="BF3" s="2" t="n">
        <v>12277.57407407407</v>
      </c>
      <c r="BG3" s="2" t="n">
        <v>0</v>
      </c>
      <c r="BH3" s="2" t="n">
        <v>0</v>
      </c>
      <c r="BI3" s="2" t="n">
        <v>8335.025357142857</v>
      </c>
      <c r="BJ3" s="2" t="n">
        <v>87.34537190082645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179.00703</v>
      </c>
      <c r="BQ3" s="2" t="n">
        <v>0</v>
      </c>
      <c r="BR3" s="2" t="n">
        <v>8626.377759043684</v>
      </c>
      <c r="BS3" s="2" t="n">
        <v>812.479173553719</v>
      </c>
      <c r="BT3" s="2" t="n">
        <v>0</v>
      </c>
      <c r="BU3" s="2" t="n">
        <v>1851.96998051948</v>
      </c>
      <c r="BV3" s="2" t="n">
        <v>2664.4491540732</v>
      </c>
      <c r="BW3" s="2" t="n">
        <v>11290.82691311688</v>
      </c>
      <c r="BX3" s="2" t="n">
        <v>12135.04</v>
      </c>
      <c r="BY3" s="2" t="n">
        <v>1124.74</v>
      </c>
      <c r="BZ3" s="2" t="n">
        <v>0</v>
      </c>
      <c r="CA3" s="2" t="n">
        <v>13259.78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5554.05</v>
      </c>
      <c r="L4" s="2" t="n">
        <v>462.3232361111112</v>
      </c>
      <c r="M4" s="2" t="n">
        <v>5142.638888888889</v>
      </c>
      <c r="N4" s="2" t="n">
        <v>0</v>
      </c>
      <c r="O4" s="2" t="n">
        <v>4877.05</v>
      </c>
      <c r="P4" s="2" t="n">
        <v>677</v>
      </c>
      <c r="Q4" s="2" t="n">
        <v>14284.09</v>
      </c>
      <c r="R4" s="2" t="n">
        <v>500</v>
      </c>
      <c r="S4" s="2" t="n">
        <v>13226.00925925926</v>
      </c>
      <c r="T4" s="2" t="n">
        <v>0</v>
      </c>
      <c r="U4" s="2" t="n">
        <v>13770.88</v>
      </c>
      <c r="V4" s="2" t="n">
        <v>513.21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4909.96</v>
      </c>
      <c r="AP4" s="2" t="n">
        <v>227.312962962963</v>
      </c>
      <c r="AQ4" s="2" t="n">
        <v>4546.259259259259</v>
      </c>
      <c r="AR4" s="2" t="n">
        <v>0</v>
      </c>
      <c r="AS4" s="2" t="n">
        <v>4755.93</v>
      </c>
      <c r="AT4" s="2" t="n">
        <v>154.03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24748.1</v>
      </c>
      <c r="BB4" s="2" t="n">
        <v>24748.1</v>
      </c>
      <c r="BC4" s="2">
        <f>F4+L4+R4+X4+AD4+AJ4+AP4+AV4+IF(BE4="",0,BE4)</f>
        <v/>
      </c>
      <c r="BD4" s="2" t="n">
        <v>381.12074</v>
      </c>
      <c r="BE4" s="2" t="n"/>
      <c r="BF4" s="2" t="n">
        <v>22914.90740740741</v>
      </c>
      <c r="BG4" s="2" t="n">
        <v>0</v>
      </c>
      <c r="BH4" s="2" t="n">
        <v>0</v>
      </c>
      <c r="BI4" s="2" t="n">
        <v>25931.19</v>
      </c>
      <c r="BJ4" s="2" t="n">
        <v>87.34537190082645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334.09935</v>
      </c>
      <c r="BQ4" s="2" t="n">
        <v>0</v>
      </c>
      <c r="BR4" s="2" t="n">
        <v>26377.63472190082</v>
      </c>
      <c r="BS4" s="2" t="n">
        <v>812.479173553719</v>
      </c>
      <c r="BT4" s="2" t="n">
        <v>0</v>
      </c>
      <c r="BU4" s="2" t="n">
        <v>5371.202909090909</v>
      </c>
      <c r="BV4" s="2" t="n">
        <v>6183.682082644628</v>
      </c>
      <c r="BW4" s="2" t="n">
        <v>32561.31680454545</v>
      </c>
      <c r="BX4" s="2" t="n">
        <v>23403.86</v>
      </c>
      <c r="BY4" s="2" t="n">
        <v>1344.24</v>
      </c>
      <c r="BZ4" s="2" t="n">
        <v>0</v>
      </c>
      <c r="CA4" s="2" t="n">
        <v>24748.1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24895.64</v>
      </c>
      <c r="L5" s="2" t="n">
        <v>2072.331514814815</v>
      </c>
      <c r="M5" s="2" t="n">
        <v>23051.51851851852</v>
      </c>
      <c r="N5" s="2" t="n">
        <v>0</v>
      </c>
      <c r="O5" s="2" t="n">
        <v>23291.38</v>
      </c>
      <c r="P5" s="2" t="n">
        <v>1604.26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29322.79</v>
      </c>
      <c r="AD5" s="2" t="n">
        <v>1873.400472222222</v>
      </c>
      <c r="AE5" s="2" t="n">
        <v>27150.73148148148</v>
      </c>
      <c r="AF5" s="2" t="n">
        <v>0</v>
      </c>
      <c r="AG5" s="2" t="n">
        <v>27134.73</v>
      </c>
      <c r="AH5" s="2" t="n">
        <v>2188.06</v>
      </c>
      <c r="AI5" s="2" t="n">
        <v>211.8</v>
      </c>
      <c r="AJ5" s="2" t="n">
        <v>14.70833333333333</v>
      </c>
      <c r="AK5" s="2" t="n">
        <v>196.1111111111111</v>
      </c>
      <c r="AL5" s="2" t="n">
        <v>0</v>
      </c>
      <c r="AM5" s="2" t="n">
        <v>211.8</v>
      </c>
      <c r="AN5" s="2" t="n">
        <v>0</v>
      </c>
      <c r="AO5" s="2" t="n">
        <v>13171.15</v>
      </c>
      <c r="AP5" s="2" t="n">
        <v>609.7754629629629</v>
      </c>
      <c r="AQ5" s="2" t="n">
        <v>12195.50925925926</v>
      </c>
      <c r="AR5" s="2" t="n">
        <v>0</v>
      </c>
      <c r="AS5" s="2" t="n">
        <v>11910.82</v>
      </c>
      <c r="AT5" s="2" t="n">
        <v>1260.33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67601.38</v>
      </c>
      <c r="BB5" s="2" t="n">
        <v>67601.38</v>
      </c>
      <c r="BC5" s="2">
        <f>F5+L5+R5+X5+AD5+AJ5+AP5+AV5+IF(BE5="",0,BE5)</f>
        <v/>
      </c>
      <c r="BD5" s="2" t="n">
        <v>1041.061252</v>
      </c>
      <c r="BE5" s="2" t="n"/>
      <c r="BF5" s="2" t="n">
        <v>62593.87037037036</v>
      </c>
      <c r="BG5" s="2" t="n">
        <v>0</v>
      </c>
      <c r="BH5" s="2" t="n">
        <v>0</v>
      </c>
      <c r="BI5" s="2" t="n">
        <v>25931.19</v>
      </c>
      <c r="BJ5" s="2" t="n">
        <v>87.34537190082645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912.6186299999999</v>
      </c>
      <c r="BQ5" s="2" t="n">
        <v>0</v>
      </c>
      <c r="BR5" s="2" t="n">
        <v>26956.15400190082</v>
      </c>
      <c r="BS5" s="2" t="n">
        <v>812.479173553719</v>
      </c>
      <c r="BT5" s="2" t="n">
        <v>0</v>
      </c>
      <c r="BU5" s="2" t="n">
        <v>5371.202909090909</v>
      </c>
      <c r="BV5" s="2" t="n">
        <v>6183.682082644628</v>
      </c>
      <c r="BW5" s="2" t="n">
        <v>33139.83608454545</v>
      </c>
      <c r="BX5" s="2" t="n">
        <v>62548.73</v>
      </c>
      <c r="BY5" s="2" t="n">
        <v>5052.65</v>
      </c>
      <c r="BZ5" s="2" t="n">
        <v>0</v>
      </c>
      <c r="CA5" s="2" t="n">
        <v>67601.38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3808.89</v>
      </c>
      <c r="L6" s="2" t="n">
        <v>317.054825</v>
      </c>
      <c r="M6" s="2" t="n">
        <v>3526.75</v>
      </c>
      <c r="N6" s="2" t="n">
        <v>0</v>
      </c>
      <c r="O6" s="2" t="n">
        <v>3524.72</v>
      </c>
      <c r="P6" s="2" t="n">
        <v>284.17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9310.049999999999</v>
      </c>
      <c r="AP6" s="2" t="n">
        <v>431.0208333333333</v>
      </c>
      <c r="AQ6" s="2" t="n">
        <v>8620.416666666666</v>
      </c>
      <c r="AR6" s="2" t="n">
        <v>0</v>
      </c>
      <c r="AS6" s="2" t="n">
        <v>8507.82</v>
      </c>
      <c r="AT6" s="2" t="n">
        <v>802.23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13118.94</v>
      </c>
      <c r="BB6" s="2" t="n">
        <v>13118.94</v>
      </c>
      <c r="BC6" s="2">
        <f>F6+L6+R6+X6+AD6+AJ6+AP6+AV6+IF(BE6="",0,BE6)</f>
        <v/>
      </c>
      <c r="BD6" s="2" t="n">
        <v>202.031676</v>
      </c>
      <c r="BE6" s="2" t="n"/>
      <c r="BF6" s="2" t="n">
        <v>12147.16666666667</v>
      </c>
      <c r="BG6" s="2" t="n">
        <v>0</v>
      </c>
      <c r="BH6" s="2" t="n">
        <v>0</v>
      </c>
      <c r="BI6" s="2" t="n">
        <v>25931.19</v>
      </c>
      <c r="BJ6" s="2" t="n">
        <v>87.34537190082645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177.10569</v>
      </c>
      <c r="BQ6" s="2" t="n">
        <v>0</v>
      </c>
      <c r="BR6" s="2" t="n">
        <v>26220.64106190082</v>
      </c>
      <c r="BS6" s="2" t="n">
        <v>812.479173553719</v>
      </c>
      <c r="BT6" s="2" t="n">
        <v>0</v>
      </c>
      <c r="BU6" s="2" t="n">
        <v>5371.202909090909</v>
      </c>
      <c r="BV6" s="2" t="n">
        <v>6183.682082644628</v>
      </c>
      <c r="BW6" s="2" t="n">
        <v>32404.32314454545</v>
      </c>
      <c r="BX6" s="2" t="n">
        <v>12032.54</v>
      </c>
      <c r="BY6" s="2" t="n">
        <v>1086.4</v>
      </c>
      <c r="BZ6" s="2" t="n">
        <v>0</v>
      </c>
      <c r="CA6" s="2" t="n">
        <v>13118.94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17290.74</v>
      </c>
      <c r="L7" s="2" t="n">
        <v>1439.294005555556</v>
      </c>
      <c r="M7" s="2" t="n">
        <v>16009.94444444445</v>
      </c>
      <c r="N7" s="2" t="n">
        <v>0</v>
      </c>
      <c r="O7" s="2" t="n">
        <v>15481.7</v>
      </c>
      <c r="P7" s="2" t="n">
        <v>1809.04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20.5</v>
      </c>
      <c r="AD7" s="2" t="n">
        <v>1.309722222222222</v>
      </c>
      <c r="AE7" s="2" t="n">
        <v>18.98148148148148</v>
      </c>
      <c r="AF7" s="2" t="n">
        <v>0</v>
      </c>
      <c r="AG7" s="2" t="n">
        <v>20.5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30071.78</v>
      </c>
      <c r="AP7" s="2" t="n">
        <v>1392.212037037037</v>
      </c>
      <c r="AQ7" s="2" t="n">
        <v>27844.24074074074</v>
      </c>
      <c r="AR7" s="2" t="n">
        <v>0</v>
      </c>
      <c r="AS7" s="2" t="n">
        <v>27826.26</v>
      </c>
      <c r="AT7" s="2" t="n">
        <v>2245.52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47383.02</v>
      </c>
      <c r="BB7" s="2" t="n">
        <v>47383.02</v>
      </c>
      <c r="BC7" s="2">
        <f>F7+L7+R7+X7+AD7+AJ7+AP7+AV7+IF(BE7="",0,BE7)</f>
        <v/>
      </c>
      <c r="BD7" s="2" t="n">
        <v>729.6985079999999</v>
      </c>
      <c r="BE7" s="2" t="n"/>
      <c r="BF7" s="2" t="n">
        <v>43873.16666666666</v>
      </c>
      <c r="BG7" s="2" t="n">
        <v>0</v>
      </c>
      <c r="BH7" s="2" t="n">
        <v>0</v>
      </c>
      <c r="BI7" s="2" t="n">
        <v>25931.19</v>
      </c>
      <c r="BJ7" s="2" t="n">
        <v>87.34537190082645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639.6707699999999</v>
      </c>
      <c r="BQ7" s="2" t="n">
        <v>0</v>
      </c>
      <c r="BR7" s="2" t="n">
        <v>26683.20614190082</v>
      </c>
      <c r="BS7" s="2" t="n">
        <v>812.479173553719</v>
      </c>
      <c r="BT7" s="2" t="n">
        <v>0</v>
      </c>
      <c r="BU7" s="2" t="n">
        <v>5371.202909090909</v>
      </c>
      <c r="BV7" s="2" t="n">
        <v>6183.682082644628</v>
      </c>
      <c r="BW7" s="2" t="n">
        <v>32866.88822454545</v>
      </c>
      <c r="BX7" s="2" t="n">
        <v>43328.46</v>
      </c>
      <c r="BY7" s="2" t="n">
        <v>4054.56</v>
      </c>
      <c r="BZ7" s="2" t="n">
        <v>0</v>
      </c>
      <c r="CA7" s="2" t="n">
        <v>47383.02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9904.33</v>
      </c>
      <c r="L8" s="2" t="n">
        <v>824.4437657407408</v>
      </c>
      <c r="M8" s="2" t="n">
        <v>9170.675925925925</v>
      </c>
      <c r="N8" s="2" t="n">
        <v>0</v>
      </c>
      <c r="O8" s="2" t="n">
        <v>8859.26</v>
      </c>
      <c r="P8" s="2" t="n">
        <v>1045.07</v>
      </c>
      <c r="Q8" s="2" t="n">
        <v>39.5</v>
      </c>
      <c r="R8" s="2" t="n">
        <v>2.743055555555555</v>
      </c>
      <c r="S8" s="2" t="n">
        <v>36.57407407407407</v>
      </c>
      <c r="T8" s="2" t="n">
        <v>0</v>
      </c>
      <c r="U8" s="2" t="n">
        <v>39.5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9.800000000000001</v>
      </c>
      <c r="AD8" s="2" t="n">
        <v>0.6261111111111112</v>
      </c>
      <c r="AE8" s="2" t="n">
        <v>9.074074074074074</v>
      </c>
      <c r="AF8" s="2" t="n">
        <v>0</v>
      </c>
      <c r="AG8" s="2" t="n">
        <v>9.800000000000001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17058.5</v>
      </c>
      <c r="AP8" s="2" t="n">
        <v>789.7453703703704</v>
      </c>
      <c r="AQ8" s="2" t="n">
        <v>15794.90740740741</v>
      </c>
      <c r="AR8" s="2" t="n">
        <v>0</v>
      </c>
      <c r="AS8" s="2" t="n">
        <v>16218.22</v>
      </c>
      <c r="AT8" s="2" t="n">
        <v>840.28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27012.13</v>
      </c>
      <c r="BB8" s="2" t="n">
        <v>27012.13</v>
      </c>
      <c r="BC8" s="2">
        <f>F8+L8+R8+X8+AD8+AJ8+AP8+AV8+IF(BE8="",0,BE8)</f>
        <v/>
      </c>
      <c r="BD8" s="2" t="n">
        <v>415.986802</v>
      </c>
      <c r="BE8" s="2" t="n"/>
      <c r="BF8" s="2" t="n">
        <v>25011.23148148148</v>
      </c>
      <c r="BG8" s="2" t="n">
        <v>0</v>
      </c>
      <c r="BH8" s="2" t="n">
        <v>0</v>
      </c>
      <c r="BI8" s="2" t="n">
        <v>25931.19</v>
      </c>
      <c r="BJ8" s="2" t="n">
        <v>87.34537190082645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364.663755</v>
      </c>
      <c r="BQ8" s="2" t="n">
        <v>0</v>
      </c>
      <c r="BR8" s="2" t="n">
        <v>26408.19912690082</v>
      </c>
      <c r="BS8" s="2" t="n">
        <v>812.479173553719</v>
      </c>
      <c r="BT8" s="2" t="n">
        <v>0</v>
      </c>
      <c r="BU8" s="2" t="n">
        <v>5371.202909090909</v>
      </c>
      <c r="BV8" s="2" t="n">
        <v>6183.682082644628</v>
      </c>
      <c r="BW8" s="2" t="n">
        <v>32591.88120954545</v>
      </c>
      <c r="BX8" s="2" t="n">
        <v>25126.78</v>
      </c>
      <c r="BY8" s="2" t="n">
        <v>1885.35</v>
      </c>
      <c r="BZ8" s="2" t="n">
        <v>0</v>
      </c>
      <c r="CA8" s="2" t="n">
        <v>27012.13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7367.72</v>
      </c>
      <c r="L9" s="2" t="n">
        <v>613.2944703703704</v>
      </c>
      <c r="M9" s="2" t="n">
        <v>6821.962962962963</v>
      </c>
      <c r="N9" s="2" t="n">
        <v>0</v>
      </c>
      <c r="O9" s="2" t="n">
        <v>6940.06</v>
      </c>
      <c r="P9" s="2" t="n">
        <v>427.66</v>
      </c>
      <c r="Q9" s="2" t="n">
        <v>28.98</v>
      </c>
      <c r="R9" s="2" t="n">
        <v>2.0125</v>
      </c>
      <c r="S9" s="2" t="n">
        <v>26.83333333333333</v>
      </c>
      <c r="T9" s="2" t="n">
        <v>0</v>
      </c>
      <c r="U9" s="2" t="n">
        <v>28.98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15779.73</v>
      </c>
      <c r="AP9" s="2" t="n">
        <v>730.5430555555555</v>
      </c>
      <c r="AQ9" s="2" t="n">
        <v>14610.86111111111</v>
      </c>
      <c r="AR9" s="2" t="n">
        <v>0</v>
      </c>
      <c r="AS9" s="2" t="n">
        <v>14942.15</v>
      </c>
      <c r="AT9" s="2" t="n">
        <v>837.58</v>
      </c>
      <c r="AU9" s="2" t="n">
        <v>229.6</v>
      </c>
      <c r="AV9" s="2" t="n">
        <v>6.377777777777777</v>
      </c>
      <c r="AW9" s="2" t="n">
        <v>212.5925925925926</v>
      </c>
      <c r="AX9" s="2" t="n">
        <v>0</v>
      </c>
      <c r="AY9" s="2" t="n">
        <v>221.45</v>
      </c>
      <c r="AZ9" s="2" t="n">
        <v>8.15</v>
      </c>
      <c r="BA9" s="2" t="n">
        <v>23406.03</v>
      </c>
      <c r="BB9" s="2" t="n">
        <v>23406.03</v>
      </c>
      <c r="BC9" s="2">
        <f>F9+L9+R9+X9+AD9+AJ9+AP9+AV9+IF(BE9="",0,BE9)</f>
        <v/>
      </c>
      <c r="BD9" s="2" t="n">
        <v>360.452862</v>
      </c>
      <c r="BE9" s="2" t="n"/>
      <c r="BF9" s="2" t="n">
        <v>21672.25</v>
      </c>
      <c r="BG9" s="2" t="n">
        <v>0</v>
      </c>
      <c r="BH9" s="2" t="n">
        <v>0</v>
      </c>
      <c r="BI9" s="2" t="n">
        <v>25931.19</v>
      </c>
      <c r="BJ9" s="2" t="n">
        <v>87.34537190082645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315.981405</v>
      </c>
      <c r="BQ9" s="2" t="n">
        <v>0</v>
      </c>
      <c r="BR9" s="2" t="n">
        <v>26359.51677690082</v>
      </c>
      <c r="BS9" s="2" t="n">
        <v>812.479173553719</v>
      </c>
      <c r="BT9" s="2" t="n">
        <v>0</v>
      </c>
      <c r="BU9" s="2" t="n">
        <v>5371.202909090909</v>
      </c>
      <c r="BV9" s="2" t="n">
        <v>6183.682082644628</v>
      </c>
      <c r="BW9" s="2" t="n">
        <v>32543.19885954545</v>
      </c>
      <c r="BX9" s="2" t="n">
        <v>22132.64</v>
      </c>
      <c r="BY9" s="2" t="n">
        <v>1273.39</v>
      </c>
      <c r="BZ9" s="2" t="n">
        <v>0</v>
      </c>
      <c r="CA9" s="2" t="n">
        <v>23406.03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2753.29</v>
      </c>
      <c r="L10" s="2" t="n">
        <v>229.1858990740741</v>
      </c>
      <c r="M10" s="2" t="n">
        <v>2549.342592592593</v>
      </c>
      <c r="N10" s="2" t="n">
        <v>0</v>
      </c>
      <c r="O10" s="2" t="n">
        <v>2501.84</v>
      </c>
      <c r="P10" s="2" t="n">
        <v>251.45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1200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4981.79</v>
      </c>
      <c r="AP10" s="2" t="n">
        <v>230.6384259259259</v>
      </c>
      <c r="AQ10" s="2" t="n">
        <v>4612.768518518518</v>
      </c>
      <c r="AR10" s="2" t="n">
        <v>0</v>
      </c>
      <c r="AS10" s="2" t="n">
        <v>4882.35</v>
      </c>
      <c r="AT10" s="2" t="n">
        <v>99.44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7735.08</v>
      </c>
      <c r="BB10" s="2" t="n">
        <v>7735.08</v>
      </c>
      <c r="BC10" s="2">
        <f>F10+L10+R10+X10+AD10+AJ10+AP10+AV10+IF(BE10="",0,BE10)</f>
        <v/>
      </c>
      <c r="BD10" s="2" t="n">
        <v>119.120232</v>
      </c>
      <c r="BE10" s="2" t="n"/>
      <c r="BF10" s="2" t="n">
        <v>7162.111111111111</v>
      </c>
      <c r="BG10" s="2" t="n">
        <v>0</v>
      </c>
      <c r="BH10" s="2" t="n">
        <v>0</v>
      </c>
      <c r="BI10" s="2" t="n">
        <v>25931.19</v>
      </c>
      <c r="BJ10" s="2" t="n">
        <v>87.34537190082645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104.42358</v>
      </c>
      <c r="BQ10" s="2" t="n">
        <v>0</v>
      </c>
      <c r="BR10" s="2" t="n">
        <v>26147.95895190082</v>
      </c>
      <c r="BS10" s="2" t="n">
        <v>812.479173553719</v>
      </c>
      <c r="BT10" s="2" t="n">
        <v>0</v>
      </c>
      <c r="BU10" s="2" t="n">
        <v>5371.202909090909</v>
      </c>
      <c r="BV10" s="2" t="n">
        <v>6183.682082644628</v>
      </c>
      <c r="BW10" s="2" t="n">
        <v>32331.64103454545</v>
      </c>
      <c r="BX10" s="2" t="n">
        <v>7384.190000000001</v>
      </c>
      <c r="BY10" s="2" t="n">
        <v>350.89</v>
      </c>
      <c r="BZ10" s="2" t="n">
        <v>0</v>
      </c>
      <c r="CA10" s="2" t="n">
        <v>7735.080000000001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2032.66</v>
      </c>
      <c r="L11" s="2" t="n">
        <v>169.2001240740741</v>
      </c>
      <c r="M11" s="2" t="n">
        <v>1882.092592592593</v>
      </c>
      <c r="N11" s="2" t="n">
        <v>0</v>
      </c>
      <c r="O11" s="2" t="n">
        <v>1773.16</v>
      </c>
      <c r="P11" s="2" t="n">
        <v>259.5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4516.77</v>
      </c>
      <c r="AP11" s="2" t="n">
        <v>209.1097222222222</v>
      </c>
      <c r="AQ11" s="2" t="n">
        <v>4182.194444444443</v>
      </c>
      <c r="AR11" s="2" t="n">
        <v>0</v>
      </c>
      <c r="AS11" s="2" t="n">
        <v>4059.18</v>
      </c>
      <c r="AT11" s="2" t="n">
        <v>457.59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6549.429999999999</v>
      </c>
      <c r="BB11" s="2" t="n">
        <v>6549.429999999999</v>
      </c>
      <c r="BC11" s="2">
        <f>F11+L11+R11+X11+AD11+AJ11+AP11+AV11+IF(BE11="",0,BE11)</f>
        <v/>
      </c>
      <c r="BD11" s="2" t="n">
        <v>100.861222</v>
      </c>
      <c r="BE11" s="2" t="n"/>
      <c r="BF11" s="2" t="n">
        <v>6064.287037037036</v>
      </c>
      <c r="BG11" s="2" t="n">
        <v>0</v>
      </c>
      <c r="BH11" s="2" t="n">
        <v>0</v>
      </c>
      <c r="BI11" s="2" t="n">
        <v>25931.19</v>
      </c>
      <c r="BJ11" s="2" t="n">
        <v>87.34537190082645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88.417305</v>
      </c>
      <c r="BQ11" s="2" t="n">
        <v>0</v>
      </c>
      <c r="BR11" s="2" t="n">
        <v>26131.95267690082</v>
      </c>
      <c r="BS11" s="2" t="n">
        <v>812.479173553719</v>
      </c>
      <c r="BT11" s="2" t="n">
        <v>0</v>
      </c>
      <c r="BU11" s="2" t="n">
        <v>5371.202909090909</v>
      </c>
      <c r="BV11" s="2" t="n">
        <v>6183.682082644628</v>
      </c>
      <c r="BW11" s="2" t="n">
        <v>32315.63475954545</v>
      </c>
      <c r="BX11" s="2" t="n">
        <v>5832.34</v>
      </c>
      <c r="BY11" s="2" t="n">
        <v>717.0899999999999</v>
      </c>
      <c r="BZ11" s="2" t="n">
        <v>0</v>
      </c>
      <c r="CA11" s="2" t="n">
        <v>6549.43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3440.36</v>
      </c>
      <c r="AP12" s="2" t="n">
        <v>3500</v>
      </c>
      <c r="AQ12" s="2" t="n">
        <v>3185.518518518518</v>
      </c>
      <c r="AR12" s="2" t="n">
        <v>0</v>
      </c>
      <c r="AS12" s="2" t="n">
        <v>3203.77</v>
      </c>
      <c r="AT12" s="2" t="n">
        <v>236.59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3440.36</v>
      </c>
      <c r="BB12" s="2" t="n">
        <v>3440.36</v>
      </c>
      <c r="BC12" s="2">
        <f>F12+L12+R12+X12+AD12+AJ12+AP12+AV12+IF(BE12="",0,BE12)</f>
        <v/>
      </c>
      <c r="BD12" s="2" t="n">
        <v>52.98154400000001</v>
      </c>
      <c r="BE12" s="2" t="n"/>
      <c r="BF12" s="2" t="n">
        <v>3185.518518518518</v>
      </c>
      <c r="BG12" s="2" t="n">
        <v>0</v>
      </c>
      <c r="BH12" s="2" t="n">
        <v>0</v>
      </c>
      <c r="BI12" s="2" t="n">
        <v>25931.19</v>
      </c>
      <c r="BJ12" s="2" t="n">
        <v>87.34537190082645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46.44486</v>
      </c>
      <c r="BQ12" s="2" t="n">
        <v>0</v>
      </c>
      <c r="BR12" s="2" t="n">
        <v>26089.98023190082</v>
      </c>
      <c r="BS12" s="2" t="n">
        <v>812.479173553719</v>
      </c>
      <c r="BT12" s="2" t="n">
        <v>0</v>
      </c>
      <c r="BU12" s="2" t="n">
        <v>5371.202909090909</v>
      </c>
      <c r="BV12" s="2" t="n">
        <v>6183.682082644628</v>
      </c>
      <c r="BW12" s="2" t="n">
        <v>32273.66231454545</v>
      </c>
      <c r="BX12" s="2" t="n">
        <v>3203.77</v>
      </c>
      <c r="BY12" s="2" t="n">
        <v>236.59</v>
      </c>
      <c r="BZ12" s="2" t="n">
        <v>0</v>
      </c>
      <c r="CA12" s="2" t="n">
        <v>3440.36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1720.91</v>
      </c>
      <c r="F13" s="2" t="n">
        <v>111.540462962963</v>
      </c>
      <c r="G13" s="2" t="n">
        <v>1593.435185185185</v>
      </c>
      <c r="H13" s="2" t="n">
        <v>0</v>
      </c>
      <c r="I13" s="2" t="n">
        <v>1671.71</v>
      </c>
      <c r="J13" s="2" t="n">
        <v>49.2</v>
      </c>
      <c r="K13" s="2" t="n">
        <v>962.04</v>
      </c>
      <c r="L13" s="2" t="n">
        <v>80.08092222222223</v>
      </c>
      <c r="M13" s="2" t="n">
        <v>890.7777777777777</v>
      </c>
      <c r="N13" s="2" t="n">
        <v>0</v>
      </c>
      <c r="O13" s="2" t="n">
        <v>855.38</v>
      </c>
      <c r="P13" s="2" t="n">
        <v>106.66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5414.35</v>
      </c>
      <c r="AP13" s="2" t="n">
        <v>3740</v>
      </c>
      <c r="AQ13" s="2" t="n">
        <v>5013.287037037037</v>
      </c>
      <c r="AR13" s="2" t="n">
        <v>0</v>
      </c>
      <c r="AS13" s="2" t="n">
        <v>4796.47</v>
      </c>
      <c r="AT13" s="2" t="n">
        <v>617.88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8097.3</v>
      </c>
      <c r="BB13" s="2" t="n">
        <v>8097.3</v>
      </c>
      <c r="BC13" s="2">
        <f>F13+L13+R13+X13+AD13+AJ13+AP13+AV13+IF(BE13="",0,BE13)</f>
        <v/>
      </c>
      <c r="BD13" s="2" t="n">
        <v>124.69842</v>
      </c>
      <c r="BE13" s="2" t="n"/>
      <c r="BF13" s="2" t="n">
        <v>7497.5</v>
      </c>
      <c r="BG13" s="2" t="n">
        <v>0</v>
      </c>
      <c r="BH13" s="2" t="n">
        <v>0</v>
      </c>
      <c r="BI13" s="2" t="n">
        <v>8335.025357142857</v>
      </c>
      <c r="BJ13" s="2" t="n">
        <v>87.34537190082645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109.31355</v>
      </c>
      <c r="BQ13" s="2" t="n">
        <v>0</v>
      </c>
      <c r="BR13" s="2" t="n">
        <v>8556.684279043684</v>
      </c>
      <c r="BS13" s="2" t="n">
        <v>812.479173553719</v>
      </c>
      <c r="BT13" s="2" t="n">
        <v>0</v>
      </c>
      <c r="BU13" s="2" t="n">
        <v>1851.96998051948</v>
      </c>
      <c r="BV13" s="2" t="n">
        <v>2664.4491540732</v>
      </c>
      <c r="BW13" s="2" t="n">
        <v>11221.13343311688</v>
      </c>
      <c r="BX13" s="2" t="n">
        <v>7323.56</v>
      </c>
      <c r="BY13" s="2" t="n">
        <v>773.74</v>
      </c>
      <c r="BZ13" s="2" t="n">
        <v>0</v>
      </c>
      <c r="CA13" s="2" t="n">
        <v>8097.3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13935.1</v>
      </c>
      <c r="L14" s="2" t="n">
        <v>1159.968046296296</v>
      </c>
      <c r="M14" s="2" t="n">
        <v>12902.87037037037</v>
      </c>
      <c r="N14" s="2" t="n">
        <v>0</v>
      </c>
      <c r="O14" s="2" t="n">
        <v>13450.21</v>
      </c>
      <c r="P14" s="2" t="n">
        <v>484.89</v>
      </c>
      <c r="Q14" s="2" t="n">
        <v>259.49</v>
      </c>
      <c r="R14" s="2" t="n">
        <v>18.02013888888889</v>
      </c>
      <c r="S14" s="2" t="n">
        <v>240.2685185185185</v>
      </c>
      <c r="T14" s="2" t="n">
        <v>0</v>
      </c>
      <c r="U14" s="2" t="n">
        <v>246.79</v>
      </c>
      <c r="V14" s="2" t="n">
        <v>12.7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20049.07</v>
      </c>
      <c r="AP14" s="2" t="n">
        <v>4100</v>
      </c>
      <c r="AQ14" s="2" t="n">
        <v>18563.9537037037</v>
      </c>
      <c r="AR14" s="2" t="n">
        <v>0</v>
      </c>
      <c r="AS14" s="2" t="n">
        <v>18651.1</v>
      </c>
      <c r="AT14" s="2" t="n">
        <v>1397.97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34243.66</v>
      </c>
      <c r="BB14" s="2" t="n">
        <v>34243.66</v>
      </c>
      <c r="BC14" s="2">
        <f>F14+L14+R14+X14+AD14+AJ14+AP14+AV14+IF(BE14="",0,BE14)</f>
        <v/>
      </c>
      <c r="BD14" s="2" t="n">
        <v>527.352364</v>
      </c>
      <c r="BE14" s="2" t="n"/>
      <c r="BF14" s="2" t="n">
        <v>31707.09259259259</v>
      </c>
      <c r="BG14" s="2" t="n">
        <v>0</v>
      </c>
      <c r="BH14" s="2" t="n">
        <v>0</v>
      </c>
      <c r="BI14" s="2" t="n">
        <v>25931.19</v>
      </c>
      <c r="BJ14" s="2" t="n">
        <v>87.34537190082645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462.28941</v>
      </c>
      <c r="BQ14" s="2" t="n">
        <v>0</v>
      </c>
      <c r="BR14" s="2" t="n">
        <v>26505.82478190082</v>
      </c>
      <c r="BS14" s="2" t="n">
        <v>812.479173553719</v>
      </c>
      <c r="BT14" s="2" t="n">
        <v>0</v>
      </c>
      <c r="BU14" s="2" t="n">
        <v>5371.202909090909</v>
      </c>
      <c r="BV14" s="2" t="n">
        <v>6183.682082644628</v>
      </c>
      <c r="BW14" s="2" t="n">
        <v>32689.50686454545</v>
      </c>
      <c r="BX14" s="2" t="n">
        <v>32348.1</v>
      </c>
      <c r="BY14" s="2" t="n">
        <v>1895.56</v>
      </c>
      <c r="BZ14" s="2" t="n">
        <v>0</v>
      </c>
      <c r="CA14" s="2" t="n">
        <v>34243.66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56.7</v>
      </c>
      <c r="L15" s="2" t="n">
        <v>4.71975</v>
      </c>
      <c r="M15" s="2" t="n">
        <v>52.5</v>
      </c>
      <c r="N15" s="2" t="n">
        <v>0</v>
      </c>
      <c r="O15" s="2" t="n">
        <v>56.7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1874.52</v>
      </c>
      <c r="AP15" s="2" t="n">
        <v>3500</v>
      </c>
      <c r="AQ15" s="2" t="n">
        <v>1735.666666666667</v>
      </c>
      <c r="AR15" s="2" t="n">
        <v>0</v>
      </c>
      <c r="AS15" s="2" t="n">
        <v>1749.79</v>
      </c>
      <c r="AT15" s="2" t="n">
        <v>124.73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1931.22</v>
      </c>
      <c r="BB15" s="2" t="n">
        <v>1931.22</v>
      </c>
      <c r="BC15" s="2">
        <f>F15+L15+R15+X15+AD15+AJ15+AP15+AV15+IF(BE15="",0,BE15)</f>
        <v/>
      </c>
      <c r="BD15" s="2" t="n">
        <v>29.740788</v>
      </c>
      <c r="BE15" s="2" t="n"/>
      <c r="BF15" s="2" t="n">
        <v>1788.166666666667</v>
      </c>
      <c r="BG15" s="2" t="n">
        <v>0</v>
      </c>
      <c r="BH15" s="2" t="n">
        <v>0</v>
      </c>
      <c r="BI15" s="2" t="n">
        <v>8335.025357142857</v>
      </c>
      <c r="BJ15" s="2" t="n">
        <v>87.34537190082645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26.07147</v>
      </c>
      <c r="BQ15" s="2" t="n">
        <v>0</v>
      </c>
      <c r="BR15" s="2" t="n">
        <v>8473.442199043684</v>
      </c>
      <c r="BS15" s="2" t="n">
        <v>812.479173553719</v>
      </c>
      <c r="BT15" s="2" t="n">
        <v>0</v>
      </c>
      <c r="BU15" s="2" t="n">
        <v>1851.96998051948</v>
      </c>
      <c r="BV15" s="2" t="n">
        <v>2664.4491540732</v>
      </c>
      <c r="BW15" s="2" t="n">
        <v>11137.89135311688</v>
      </c>
      <c r="BX15" s="2" t="n">
        <v>1806.49</v>
      </c>
      <c r="BY15" s="2" t="n">
        <v>124.73</v>
      </c>
      <c r="BZ15" s="2" t="n">
        <v>0</v>
      </c>
      <c r="CA15" s="2" t="n">
        <v>1931.22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9890.33</v>
      </c>
      <c r="L16" s="2" t="n">
        <v>823.2783953703703</v>
      </c>
      <c r="M16" s="2" t="n">
        <v>9157.712962962962</v>
      </c>
      <c r="N16" s="2" t="n">
        <v>0</v>
      </c>
      <c r="O16" s="2" t="n">
        <v>9504.73</v>
      </c>
      <c r="P16" s="2" t="n">
        <v>385.6</v>
      </c>
      <c r="Q16" s="2" t="n">
        <v>29.36</v>
      </c>
      <c r="R16" s="2" t="n">
        <v>2.038888888888889</v>
      </c>
      <c r="S16" s="2" t="n">
        <v>27.18518518518518</v>
      </c>
      <c r="T16" s="2" t="n">
        <v>0</v>
      </c>
      <c r="U16" s="2" t="n">
        <v>29.36</v>
      </c>
      <c r="V16" s="2" t="n">
        <v>0</v>
      </c>
      <c r="W16" s="2" t="n">
        <v>30949.85</v>
      </c>
      <c r="X16" s="2" t="n">
        <v>750</v>
      </c>
      <c r="Y16" s="2" t="n">
        <v>28657.26851851851</v>
      </c>
      <c r="Z16" s="2" t="n">
        <v>0</v>
      </c>
      <c r="AA16" s="2" t="n">
        <v>30271.89</v>
      </c>
      <c r="AB16" s="2" t="n">
        <v>677.96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3887.7</v>
      </c>
      <c r="AP16" s="2" t="n">
        <v>4150</v>
      </c>
      <c r="AQ16" s="2" t="n">
        <v>3599.722222222222</v>
      </c>
      <c r="AR16" s="2" t="n">
        <v>0</v>
      </c>
      <c r="AS16" s="2" t="n">
        <v>3741.2</v>
      </c>
      <c r="AT16" s="2" t="n">
        <v>146.5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44757.24</v>
      </c>
      <c r="BB16" s="2" t="n">
        <v>44757.24</v>
      </c>
      <c r="BC16" s="2">
        <f>F16+L16+R16+X16+AD16+AJ16+AP16+AV16+IF(BE16="",0,BE16)</f>
        <v/>
      </c>
      <c r="BD16" s="2" t="n">
        <v>630.456781</v>
      </c>
      <c r="BE16" s="2" t="n"/>
      <c r="BF16" s="2" t="n">
        <v>41441.88888888888</v>
      </c>
      <c r="BG16" s="2" t="n">
        <v>1020</v>
      </c>
      <c r="BH16" s="2" t="n">
        <v>0</v>
      </c>
      <c r="BI16" s="2" t="n">
        <v>25931.19</v>
      </c>
      <c r="BJ16" s="2" t="n">
        <v>87.34537190082645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604.22274</v>
      </c>
      <c r="BQ16" s="2" t="n">
        <v>0</v>
      </c>
      <c r="BR16" s="2" t="n">
        <v>27667.75811190082</v>
      </c>
      <c r="BS16" s="2" t="n">
        <v>812.479173553719</v>
      </c>
      <c r="BT16" s="2" t="n">
        <v>0</v>
      </c>
      <c r="BU16" s="2" t="n">
        <v>5575.202909090909</v>
      </c>
      <c r="BV16" s="2" t="n">
        <v>6387.682082644628</v>
      </c>
      <c r="BW16" s="2" t="n">
        <v>34055.44019454545</v>
      </c>
      <c r="BX16" s="2" t="n">
        <v>43547.17999999999</v>
      </c>
      <c r="BY16" s="2" t="n">
        <v>1210.06</v>
      </c>
      <c r="BZ16" s="2" t="n">
        <v>0</v>
      </c>
      <c r="CA16" s="2" t="n">
        <v>44757.23999999999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1051.57</v>
      </c>
      <c r="AP17" s="2" t="n">
        <v>3500</v>
      </c>
      <c r="AQ17" s="2" t="n">
        <v>973.6759259259258</v>
      </c>
      <c r="AR17" s="2" t="n">
        <v>0</v>
      </c>
      <c r="AS17" s="2" t="n">
        <v>1035.25</v>
      </c>
      <c r="AT17" s="2" t="n">
        <v>16.32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1051.57</v>
      </c>
      <c r="BB17" s="2" t="n">
        <v>1051.57</v>
      </c>
      <c r="BC17" s="2">
        <f>F17+L17+R17+X17+AD17+AJ17+AP17+AV17+IF(BE17="",0,BE17)</f>
        <v/>
      </c>
      <c r="BD17" s="2" t="n">
        <v>16.194178</v>
      </c>
      <c r="BE17" s="2" t="n"/>
      <c r="BF17" s="2" t="n">
        <v>973.6759259259258</v>
      </c>
      <c r="BG17" s="2" t="n">
        <v>0</v>
      </c>
      <c r="BH17" s="2" t="n">
        <v>0</v>
      </c>
      <c r="BI17" s="2" t="n">
        <v>25931.19</v>
      </c>
      <c r="BJ17" s="2" t="n">
        <v>87.34537190082645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14.196195</v>
      </c>
      <c r="BQ17" s="2" t="n">
        <v>0</v>
      </c>
      <c r="BR17" s="2" t="n">
        <v>26057.73156690082</v>
      </c>
      <c r="BS17" s="2" t="n">
        <v>812.479173553719</v>
      </c>
      <c r="BT17" s="2" t="n">
        <v>0</v>
      </c>
      <c r="BU17" s="2" t="n">
        <v>5371.202909090909</v>
      </c>
      <c r="BV17" s="2" t="n">
        <v>6183.682082644628</v>
      </c>
      <c r="BW17" s="2" t="n">
        <v>32241.41364954545</v>
      </c>
      <c r="BX17" s="2" t="n">
        <v>1035.25</v>
      </c>
      <c r="BY17" s="2" t="n">
        <v>16.32</v>
      </c>
      <c r="BZ17" s="2" t="n">
        <v>0</v>
      </c>
      <c r="CA17" s="2" t="n">
        <v>1051.57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8309.84</v>
      </c>
      <c r="L18" s="2" t="n">
        <v>691.7172370370371</v>
      </c>
      <c r="M18" s="2" t="n">
        <v>7694.296296296296</v>
      </c>
      <c r="N18" s="2" t="n">
        <v>0</v>
      </c>
      <c r="O18" s="2" t="n">
        <v>8092.44</v>
      </c>
      <c r="P18" s="2" t="n">
        <v>217.4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1661.8</v>
      </c>
      <c r="AP18" s="2" t="n">
        <v>4150</v>
      </c>
      <c r="AQ18" s="2" t="n">
        <v>1538.703703703704</v>
      </c>
      <c r="AR18" s="2" t="n">
        <v>0</v>
      </c>
      <c r="AS18" s="2" t="n">
        <v>1508.18</v>
      </c>
      <c r="AT18" s="2" t="n">
        <v>153.62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9971.639999999999</v>
      </c>
      <c r="BB18" s="2" t="n">
        <v>9971.639999999999</v>
      </c>
      <c r="BC18" s="2">
        <f>F18+L18+R18+X18+AD18+AJ18+AP18+AV18+IF(BE18="",0,BE18)</f>
        <v/>
      </c>
      <c r="BD18" s="2" t="n">
        <v>153.563256</v>
      </c>
      <c r="BE18" s="2" t="n"/>
      <c r="BF18" s="2" t="n">
        <v>9233</v>
      </c>
      <c r="BG18" s="2" t="n">
        <v>0</v>
      </c>
      <c r="BH18" s="2" t="n">
        <v>0</v>
      </c>
      <c r="BI18" s="2" t="n">
        <v>25931.19</v>
      </c>
      <c r="BJ18" s="2" t="n">
        <v>87.34537190082645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134.61714</v>
      </c>
      <c r="BQ18" s="2" t="n">
        <v>0</v>
      </c>
      <c r="BR18" s="2" t="n">
        <v>26178.15251190082</v>
      </c>
      <c r="BS18" s="2" t="n">
        <v>812.479173553719</v>
      </c>
      <c r="BT18" s="2" t="n">
        <v>0</v>
      </c>
      <c r="BU18" s="2" t="n">
        <v>5371.202909090909</v>
      </c>
      <c r="BV18" s="2" t="n">
        <v>6183.682082644628</v>
      </c>
      <c r="BW18" s="2" t="n">
        <v>32361.83459454545</v>
      </c>
      <c r="BX18" s="2" t="n">
        <v>9600.619999999999</v>
      </c>
      <c r="BY18" s="2" t="n">
        <v>371.02</v>
      </c>
      <c r="BZ18" s="2" t="n">
        <v>0</v>
      </c>
      <c r="CA18" s="2" t="n">
        <v>9971.639999999999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5949</v>
      </c>
      <c r="L19" s="2" t="n">
        <v>495.1991666666667</v>
      </c>
      <c r="M19" s="2" t="n">
        <v>5508.333333333333</v>
      </c>
      <c r="N19" s="2" t="n">
        <v>0</v>
      </c>
      <c r="O19" s="2" t="n">
        <v>5703.98</v>
      </c>
      <c r="P19" s="2" t="n">
        <v>245.02</v>
      </c>
      <c r="Q19" s="2" t="n">
        <v>17048.26</v>
      </c>
      <c r="R19" s="2" t="n">
        <v>1183.906944444444</v>
      </c>
      <c r="S19" s="2" t="n">
        <v>15785.42592592593</v>
      </c>
      <c r="T19" s="2" t="n">
        <v>0</v>
      </c>
      <c r="U19" s="2" t="n">
        <v>16450.65</v>
      </c>
      <c r="V19" s="2" t="n">
        <v>597.61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7415</v>
      </c>
      <c r="AP19" s="2" t="n">
        <v>4150</v>
      </c>
      <c r="AQ19" s="2" t="n">
        <v>6865.74074074074</v>
      </c>
      <c r="AR19" s="2" t="n">
        <v>0</v>
      </c>
      <c r="AS19" s="2" t="n">
        <v>7064.33</v>
      </c>
      <c r="AT19" s="2" t="n">
        <v>350.67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30412.26</v>
      </c>
      <c r="BB19" s="2" t="n">
        <v>30412.26</v>
      </c>
      <c r="BC19" s="2">
        <f>F19+L19+R19+X19+AD19+AJ19+AP19+AV19+IF(BE19="",0,BE19)</f>
        <v/>
      </c>
      <c r="BD19" s="2" t="n">
        <v>468.3488040000001</v>
      </c>
      <c r="BE19" s="2" t="n"/>
      <c r="BF19" s="2" t="n">
        <v>28159.5</v>
      </c>
      <c r="BG19" s="2" t="n">
        <v>0</v>
      </c>
      <c r="BH19" s="2" t="n">
        <v>0</v>
      </c>
      <c r="BI19" s="2" t="n">
        <v>25931.19</v>
      </c>
      <c r="BJ19" s="2" t="n">
        <v>87.34537190082645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410.56551</v>
      </c>
      <c r="BQ19" s="2" t="n">
        <v>0</v>
      </c>
      <c r="BR19" s="2" t="n">
        <v>26454.10088190082</v>
      </c>
      <c r="BS19" s="2" t="n">
        <v>812.479173553719</v>
      </c>
      <c r="BT19" s="2" t="n">
        <v>0</v>
      </c>
      <c r="BU19" s="2" t="n">
        <v>5371.202909090909</v>
      </c>
      <c r="BV19" s="2" t="n">
        <v>6183.682082644628</v>
      </c>
      <c r="BW19" s="2" t="n">
        <v>32637.78296454545</v>
      </c>
      <c r="BX19" s="2" t="n">
        <v>29218.96</v>
      </c>
      <c r="BY19" s="2" t="n">
        <v>1193.3</v>
      </c>
      <c r="BZ19" s="2" t="n">
        <v>0</v>
      </c>
      <c r="CA19" s="2" t="n">
        <v>30412.26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1119</v>
      </c>
      <c r="B20" t="inlineStr">
        <is>
          <t>Glogow</t>
        </is>
      </c>
      <c r="C20" t="inlineStr"/>
      <c r="D20" t="inlineStr"/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2098.41</v>
      </c>
      <c r="L20" s="2" t="n">
        <v>174.6732027777778</v>
      </c>
      <c r="M20" s="2" t="n">
        <v>1942.972222222222</v>
      </c>
      <c r="N20" s="2" t="n">
        <v>0</v>
      </c>
      <c r="O20" s="2" t="n">
        <v>1920.69</v>
      </c>
      <c r="P20" s="2" t="n">
        <v>177.72</v>
      </c>
      <c r="Q20" s="2" t="n">
        <v>8173.809999999999</v>
      </c>
      <c r="R20" s="2" t="n">
        <v>567.6256944444443</v>
      </c>
      <c r="S20" s="2" t="n">
        <v>7568.342592592591</v>
      </c>
      <c r="T20" s="2" t="n">
        <v>0</v>
      </c>
      <c r="U20" s="2" t="n">
        <v>7505.9</v>
      </c>
      <c r="V20" s="2" t="n">
        <v>667.91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71.7</v>
      </c>
      <c r="AD20" s="2" t="n">
        <v>4.580833333333334</v>
      </c>
      <c r="AE20" s="2" t="n">
        <v>66.38888888888889</v>
      </c>
      <c r="AF20" s="2" t="n">
        <v>0</v>
      </c>
      <c r="AG20" s="2" t="n">
        <v>71.7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1120.65</v>
      </c>
      <c r="AP20" s="2" t="n">
        <v>4150</v>
      </c>
      <c r="AQ20" s="2" t="n">
        <v>1037.638888888889</v>
      </c>
      <c r="AR20" s="2" t="n">
        <v>0</v>
      </c>
      <c r="AS20" s="2" t="n">
        <v>1052.26</v>
      </c>
      <c r="AT20" s="2" t="n">
        <v>68.39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11464.57</v>
      </c>
      <c r="BB20" s="2" t="n">
        <v>11464.57</v>
      </c>
      <c r="BC20" s="2">
        <f>F20+L20+R20+X20+AD20+AJ20+AP20+AV20+IF(BE20="",0,BE20)</f>
        <v/>
      </c>
      <c r="BD20" s="2" t="n">
        <v>176.554378</v>
      </c>
      <c r="BE20" s="2" t="n"/>
      <c r="BF20" s="2" t="n">
        <v>10615.34259259259</v>
      </c>
      <c r="BG20" s="2" t="n">
        <v>0</v>
      </c>
      <c r="BH20" s="2" t="n">
        <v>0</v>
      </c>
      <c r="BI20" s="2" t="n">
        <v>25931.19</v>
      </c>
      <c r="BJ20" s="2" t="n">
        <v>87.34537190082645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154.771695</v>
      </c>
      <c r="BQ20" s="2" t="n">
        <v>0</v>
      </c>
      <c r="BR20" s="2" t="n">
        <v>26198.30706690082</v>
      </c>
      <c r="BS20" s="2" t="n">
        <v>812.479173553719</v>
      </c>
      <c r="BT20" s="2" t="n">
        <v>0</v>
      </c>
      <c r="BU20" s="2" t="n">
        <v>5371.202909090909</v>
      </c>
      <c r="BV20" s="2" t="n">
        <v>6183.682082644628</v>
      </c>
      <c r="BW20" s="2" t="n">
        <v>32381.98914954545</v>
      </c>
      <c r="BX20" s="2" t="n">
        <v>10550.55</v>
      </c>
      <c r="BY20" s="2" t="n">
        <v>914.02</v>
      </c>
      <c r="BZ20" s="2" t="n">
        <v>0</v>
      </c>
      <c r="CA20" s="2" t="n">
        <v>11464.57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1120</v>
      </c>
      <c r="B21" t="inlineStr">
        <is>
          <t>Dworcowa 1, 47-220 Kędzierzyn-Koźle</t>
        </is>
      </c>
      <c r="C21" t="inlineStr">
        <is>
          <t>Kędzierzyn-Koźle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2031.39</v>
      </c>
      <c r="L21" s="2" t="n">
        <v>169.0944083333333</v>
      </c>
      <c r="M21" s="2" t="n">
        <v>1880.916666666667</v>
      </c>
      <c r="N21" s="2" t="n">
        <v>0</v>
      </c>
      <c r="O21" s="2" t="n">
        <v>1847.46</v>
      </c>
      <c r="P21" s="2" t="n">
        <v>183.93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3204.69</v>
      </c>
      <c r="AP21" s="2" t="n">
        <v>4150</v>
      </c>
      <c r="AQ21" s="2" t="n">
        <v>2967.305555555555</v>
      </c>
      <c r="AR21" s="2" t="n">
        <v>0</v>
      </c>
      <c r="AS21" s="2" t="n">
        <v>2978.36</v>
      </c>
      <c r="AT21" s="2" t="n">
        <v>226.33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5236.08</v>
      </c>
      <c r="BB21" s="2" t="n">
        <v>5236.08</v>
      </c>
      <c r="BC21" s="2">
        <f>F21+L21+R21+X21+AD21+AJ21+AP21+AV21+IF(BE21="",0,BE21)</f>
        <v/>
      </c>
      <c r="BD21" s="2" t="n">
        <v>80.635632</v>
      </c>
      <c r="BE21" s="2" t="n"/>
      <c r="BF21" s="2" t="n">
        <v>4848.222222222222</v>
      </c>
      <c r="BG21" s="2" t="n">
        <v>0</v>
      </c>
      <c r="BH21" s="2" t="n">
        <v>0</v>
      </c>
      <c r="BI21" s="2" t="n">
        <v>25931.19</v>
      </c>
      <c r="BJ21" s="2" t="n">
        <v>87.34537190082645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70.68707999999999</v>
      </c>
      <c r="BQ21" s="2" t="n">
        <v>0</v>
      </c>
      <c r="BR21" s="2" t="n">
        <v>26114.22245190082</v>
      </c>
      <c r="BS21" s="2" t="n">
        <v>812.479173553719</v>
      </c>
      <c r="BT21" s="2" t="n">
        <v>0</v>
      </c>
      <c r="BU21" s="2" t="n">
        <v>5371.202909090909</v>
      </c>
      <c r="BV21" s="2" t="n">
        <v>6183.682082644628</v>
      </c>
      <c r="BW21" s="2" t="n">
        <v>32297.90453454545</v>
      </c>
      <c r="BX21" s="2" t="n">
        <v>4825.82</v>
      </c>
      <c r="BY21" s="2" t="n">
        <v>410.26</v>
      </c>
      <c r="BZ21" s="2" t="n">
        <v>0</v>
      </c>
      <c r="CA21" s="2" t="n">
        <v>5236.08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1121</v>
      </c>
      <c r="B22" t="inlineStr">
        <is>
          <t>pl. Dworcowy, 47-320 Gogolin</t>
        </is>
      </c>
      <c r="C22" t="inlineStr">
        <is>
          <t>Gogolin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644.14</v>
      </c>
      <c r="L22" s="2" t="n">
        <v>53.61869074074074</v>
      </c>
      <c r="M22" s="2" t="n">
        <v>596.4259259259259</v>
      </c>
      <c r="N22" s="2" t="n">
        <v>0</v>
      </c>
      <c r="O22" s="2" t="n">
        <v>636.79</v>
      </c>
      <c r="P22" s="2" t="n">
        <v>7.35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3751.22</v>
      </c>
      <c r="AP22" s="2" t="n">
        <v>8300</v>
      </c>
      <c r="AQ22" s="2" t="n">
        <v>3473.351851851852</v>
      </c>
      <c r="AR22" s="2" t="n">
        <v>0</v>
      </c>
      <c r="AS22" s="2" t="n">
        <v>3586.86</v>
      </c>
      <c r="AT22" s="2" t="n">
        <v>164.36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4395.360000000001</v>
      </c>
      <c r="BB22" s="2" t="n">
        <v>4395.360000000001</v>
      </c>
      <c r="BC22" s="2">
        <f>F22+L22+R22+X22+AD22+AJ22+AP22+AV22+IF(BE22="",0,BE22)</f>
        <v/>
      </c>
      <c r="BD22" s="2" t="n">
        <v>67.68854400000001</v>
      </c>
      <c r="BE22" s="2" t="n"/>
      <c r="BF22" s="2" t="n">
        <v>4069.777777777777</v>
      </c>
      <c r="BG22" s="2" t="n">
        <v>0</v>
      </c>
      <c r="BH22" s="2" t="n">
        <v>0</v>
      </c>
      <c r="BI22" s="2" t="n">
        <v>25931.19</v>
      </c>
      <c r="BJ22" s="2" t="n">
        <v>87.34537190082645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59.33736</v>
      </c>
      <c r="BQ22" s="2" t="n">
        <v>0</v>
      </c>
      <c r="BR22" s="2" t="n">
        <v>26102.87273190082</v>
      </c>
      <c r="BS22" s="2" t="n">
        <v>812.479173553719</v>
      </c>
      <c r="BT22" s="2" t="n">
        <v>0</v>
      </c>
      <c r="BU22" s="2" t="n">
        <v>5371.202909090909</v>
      </c>
      <c r="BV22" s="2" t="n">
        <v>6183.682082644628</v>
      </c>
      <c r="BW22" s="2" t="n">
        <v>32286.55481454545</v>
      </c>
      <c r="BX22" s="2" t="n">
        <v>4223.65</v>
      </c>
      <c r="BY22" s="2" t="n">
        <v>171.71</v>
      </c>
      <c r="BZ22" s="2" t="n">
        <v>0</v>
      </c>
      <c r="CA22" s="2" t="n">
        <v>4395.36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1122</v>
      </c>
      <c r="B23" t="inlineStr">
        <is>
          <t>Elblag</t>
        </is>
      </c>
      <c r="C23" t="inlineStr">
        <is>
          <t>Gdańsk Główny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398.21</v>
      </c>
      <c r="L23" s="2" t="n">
        <v>33.14729537037037</v>
      </c>
      <c r="M23" s="2" t="n">
        <v>368.7129629629629</v>
      </c>
      <c r="N23" s="2" t="n">
        <v>0</v>
      </c>
      <c r="O23" s="2" t="n">
        <v>388.95</v>
      </c>
      <c r="P23" s="2" t="n">
        <v>9.26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857.33</v>
      </c>
      <c r="AP23" s="2" t="n">
        <v>3500</v>
      </c>
      <c r="AQ23" s="2" t="n">
        <v>793.824074074074</v>
      </c>
      <c r="AR23" s="2" t="n">
        <v>0</v>
      </c>
      <c r="AS23" s="2" t="n">
        <v>771.84</v>
      </c>
      <c r="AT23" s="2" t="n">
        <v>85.48999999999999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1255.54</v>
      </c>
      <c r="BB23" s="2" t="n">
        <v>1255.54</v>
      </c>
      <c r="BC23" s="2">
        <f>F23+L23+R23+X23+AD23+AJ23+AP23+AV23+IF(BE23="",0,BE23)</f>
        <v/>
      </c>
      <c r="BD23" s="2" t="n">
        <v>19.335316</v>
      </c>
      <c r="BE23" s="2" t="n"/>
      <c r="BF23" s="2" t="n">
        <v>1162.537037037037</v>
      </c>
      <c r="BG23" s="2" t="n">
        <v>0</v>
      </c>
      <c r="BH23" s="2" t="n">
        <v>0</v>
      </c>
      <c r="BI23" s="2" t="n">
        <v>25931.19</v>
      </c>
      <c r="BJ23" s="2" t="n">
        <v>87.34537190082645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16.94979</v>
      </c>
      <c r="BQ23" s="2" t="n">
        <v>0</v>
      </c>
      <c r="BR23" s="2" t="n">
        <v>26060.48516190082</v>
      </c>
      <c r="BS23" s="2" t="n">
        <v>812.479173553719</v>
      </c>
      <c r="BT23" s="2" t="n">
        <v>0</v>
      </c>
      <c r="BU23" s="2" t="n">
        <v>5371.202909090909</v>
      </c>
      <c r="BV23" s="2" t="n">
        <v>6183.682082644628</v>
      </c>
      <c r="BW23" s="2" t="n">
        <v>32244.16724454545</v>
      </c>
      <c r="BX23" s="2" t="n">
        <v>1160.79</v>
      </c>
      <c r="BY23" s="2" t="n">
        <v>94.75</v>
      </c>
      <c r="BZ23" s="2" t="n">
        <v>0</v>
      </c>
      <c r="CA23" s="2" t="n">
        <v>1255.54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1123</v>
      </c>
      <c r="B24" t="inlineStr">
        <is>
          <t>Dmowskiego 1, 80-264 Gdańsk</t>
        </is>
      </c>
      <c r="C24" t="inlineStr">
        <is>
          <t>Gdańsk Wrzeszcz</t>
        </is>
      </c>
      <c r="D24" t="inlineStr">
        <is>
          <t>BB8</t>
        </is>
      </c>
      <c r="E24" s="2" t="n">
        <v>3.91</v>
      </c>
      <c r="F24" s="2" t="n">
        <v>0.2534259259259259</v>
      </c>
      <c r="G24" s="2" t="n">
        <v>3.62037037037037</v>
      </c>
      <c r="H24" s="2" t="n">
        <v>0</v>
      </c>
      <c r="I24" s="2" t="n">
        <v>3.91</v>
      </c>
      <c r="J24" s="2" t="n">
        <v>0</v>
      </c>
      <c r="K24" s="2" t="n">
        <v>9524.440000000001</v>
      </c>
      <c r="L24" s="2" t="n">
        <v>792.8214407407407</v>
      </c>
      <c r="M24" s="2" t="n">
        <v>8818.925925925925</v>
      </c>
      <c r="N24" s="2" t="n">
        <v>0</v>
      </c>
      <c r="O24" s="2" t="n">
        <v>9126.82</v>
      </c>
      <c r="P24" s="2" t="n">
        <v>397.62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10313.25</v>
      </c>
      <c r="AP24" s="2" t="n">
        <v>3500</v>
      </c>
      <c r="AQ24" s="2" t="n">
        <v>9549.305555555555</v>
      </c>
      <c r="AR24" s="2" t="n">
        <v>0</v>
      </c>
      <c r="AS24" s="2" t="n">
        <v>9874.389999999999</v>
      </c>
      <c r="AT24" s="2" t="n">
        <v>438.86</v>
      </c>
      <c r="AU24" s="2" t="n">
        <v>4788.55</v>
      </c>
      <c r="AV24" s="2" t="n">
        <v>133.0152777777778</v>
      </c>
      <c r="AW24" s="2" t="n">
        <v>4433.842592592592</v>
      </c>
      <c r="AX24" s="2" t="n">
        <v>0</v>
      </c>
      <c r="AY24" s="2" t="n">
        <v>4659.25</v>
      </c>
      <c r="AZ24" s="2" t="n">
        <v>129.3</v>
      </c>
      <c r="BA24" s="2" t="n">
        <v>24630.15</v>
      </c>
      <c r="BB24" s="2" t="n">
        <v>24630.15</v>
      </c>
      <c r="BC24" s="2">
        <f>F24+L24+R24+X24+AD24+AJ24+AP24+AV24+IF(BE24="",0,BE24)</f>
        <v/>
      </c>
      <c r="BD24" s="2" t="n">
        <v>379.30431</v>
      </c>
      <c r="BE24" s="2" t="n"/>
      <c r="BF24" s="2" t="n">
        <v>22805.69444444444</v>
      </c>
      <c r="BG24" s="2" t="n">
        <v>0</v>
      </c>
      <c r="BH24" s="2" t="n">
        <v>0</v>
      </c>
      <c r="BI24" s="2" t="n">
        <v>25931.19</v>
      </c>
      <c r="BJ24" s="2" t="n">
        <v>87.34537190082645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332.5070249999999</v>
      </c>
      <c r="BQ24" s="2" t="n">
        <v>0</v>
      </c>
      <c r="BR24" s="2" t="n">
        <v>26376.04239690082</v>
      </c>
      <c r="BS24" s="2" t="n">
        <v>812.479173553719</v>
      </c>
      <c r="BT24" s="2" t="n">
        <v>0</v>
      </c>
      <c r="BU24" s="2" t="n">
        <v>5371.202909090909</v>
      </c>
      <c r="BV24" s="2" t="n">
        <v>6183.682082644628</v>
      </c>
      <c r="BW24" s="2" t="n">
        <v>32559.72447954545</v>
      </c>
      <c r="BX24" s="2" t="n">
        <v>23664.37</v>
      </c>
      <c r="BY24" s="2" t="n">
        <v>965.78</v>
      </c>
      <c r="BZ24" s="2" t="n">
        <v>0</v>
      </c>
      <c r="CA24" s="2" t="n">
        <v>24630.15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1124</v>
      </c>
      <c r="B25" t="inlineStr">
        <is>
          <t>Zwierzyn (Strzelce Krajenskie)</t>
        </is>
      </c>
      <c r="C25" t="inlineStr"/>
      <c r="D25" t="inlineStr"/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298</v>
      </c>
      <c r="L25" s="2" t="n">
        <v>24.80574074074074</v>
      </c>
      <c r="M25" s="2" t="n">
        <v>275.9259259259259</v>
      </c>
      <c r="N25" s="2" t="n">
        <v>0</v>
      </c>
      <c r="O25" s="2" t="n">
        <v>283</v>
      </c>
      <c r="P25" s="2" t="n">
        <v>15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1393.11</v>
      </c>
      <c r="AP25" s="2" t="n">
        <v>4200</v>
      </c>
      <c r="AQ25" s="2" t="n">
        <v>1289.916666666667</v>
      </c>
      <c r="AR25" s="2" t="n">
        <v>0</v>
      </c>
      <c r="AS25" s="2" t="n">
        <v>1181.3</v>
      </c>
      <c r="AT25" s="2" t="n">
        <v>211.81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1691.11</v>
      </c>
      <c r="BB25" s="2" t="n">
        <v>1691.11</v>
      </c>
      <c r="BC25" s="2">
        <f>F25+L25+R25+X25+AD25+AJ25+AP25+AV25+IF(BE25="",0,BE25)</f>
        <v/>
      </c>
      <c r="BD25" s="2" t="n">
        <v>26.043094</v>
      </c>
      <c r="BE25" s="2" t="n"/>
      <c r="BF25" s="2" t="n">
        <v>1565.842592592592</v>
      </c>
      <c r="BG25" s="2" t="n">
        <v>0</v>
      </c>
      <c r="BH25" s="2" t="n">
        <v>0</v>
      </c>
      <c r="BI25" s="2" t="n">
        <v>25931.19</v>
      </c>
      <c r="BJ25" s="2" t="n">
        <v>87.34537190082645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22.829985</v>
      </c>
      <c r="BQ25" s="2" t="n">
        <v>0</v>
      </c>
      <c r="BR25" s="2" t="n">
        <v>26066.36535690082</v>
      </c>
      <c r="BS25" s="2" t="n">
        <v>812.479173553719</v>
      </c>
      <c r="BT25" s="2" t="n">
        <v>0</v>
      </c>
      <c r="BU25" s="2" t="n">
        <v>5371.202909090909</v>
      </c>
      <c r="BV25" s="2" t="n">
        <v>6183.682082644628</v>
      </c>
      <c r="BW25" s="2" t="n">
        <v>32250.04743954545</v>
      </c>
      <c r="BX25" s="2" t="n">
        <v>1464.3</v>
      </c>
      <c r="BY25" s="2" t="n">
        <v>226.81</v>
      </c>
      <c r="BZ25" s="2" t="n">
        <v>0</v>
      </c>
      <c r="CA25" s="2" t="n">
        <v>1691.11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1125</v>
      </c>
      <c r="B26" t="inlineStr">
        <is>
          <t>Czestochowa</t>
        </is>
      </c>
      <c r="C26" t="inlineStr">
        <is>
          <t>Koluszki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1270.69</v>
      </c>
      <c r="L26" s="2" t="n">
        <v>105.7731768518519</v>
      </c>
      <c r="M26" s="2" t="n">
        <v>1176.564814814815</v>
      </c>
      <c r="N26" s="2" t="n">
        <v>0</v>
      </c>
      <c r="O26" s="2" t="n">
        <v>1194.53</v>
      </c>
      <c r="P26" s="2" t="n">
        <v>76.16</v>
      </c>
      <c r="Q26" s="2" t="n">
        <v>35.8</v>
      </c>
      <c r="R26" s="2" t="n">
        <v>0</v>
      </c>
      <c r="S26" s="2" t="n">
        <v>33.14814814814815</v>
      </c>
      <c r="T26" s="2" t="n">
        <v>0</v>
      </c>
      <c r="U26" s="2" t="n">
        <v>35.8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189.24</v>
      </c>
      <c r="AJ26" s="2" t="n">
        <v>13.14166666666666</v>
      </c>
      <c r="AK26" s="2" t="n">
        <v>175.2222222222222</v>
      </c>
      <c r="AL26" s="2" t="n">
        <v>0</v>
      </c>
      <c r="AM26" s="2" t="n">
        <v>130.89</v>
      </c>
      <c r="AN26" s="2" t="n">
        <v>58.35</v>
      </c>
      <c r="AO26" s="2" t="n">
        <v>1548.85</v>
      </c>
      <c r="AP26" s="2" t="n">
        <v>4200</v>
      </c>
      <c r="AQ26" s="2" t="n">
        <v>1434.12037037037</v>
      </c>
      <c r="AR26" s="2" t="n">
        <v>0</v>
      </c>
      <c r="AS26" s="2" t="n">
        <v>1469.67</v>
      </c>
      <c r="AT26" s="2" t="n">
        <v>79.18000000000001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3044.58</v>
      </c>
      <c r="BB26" s="2" t="n">
        <v>3044.58</v>
      </c>
      <c r="BC26" s="2">
        <f>F26+L26+R26+X26+AD26+AJ26+AP26+AV26+IF(BE26="",0,BE26)</f>
        <v/>
      </c>
      <c r="BD26" s="2" t="n">
        <v>46.886532</v>
      </c>
      <c r="BE26" s="2" t="n"/>
      <c r="BF26" s="2" t="n">
        <v>2819.055555555556</v>
      </c>
      <c r="BG26" s="2" t="n">
        <v>0</v>
      </c>
      <c r="BH26" s="2" t="n">
        <v>0</v>
      </c>
      <c r="BI26" s="2" t="n">
        <v>25931.19</v>
      </c>
      <c r="BJ26" s="2" t="n">
        <v>87.34537190082645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41.10183</v>
      </c>
      <c r="BQ26" s="2" t="n">
        <v>0</v>
      </c>
      <c r="BR26" s="2" t="n">
        <v>26084.63720190082</v>
      </c>
      <c r="BS26" s="2" t="n">
        <v>812.479173553719</v>
      </c>
      <c r="BT26" s="2" t="n">
        <v>0</v>
      </c>
      <c r="BU26" s="2" t="n">
        <v>5371.202909090909</v>
      </c>
      <c r="BV26" s="2" t="n">
        <v>6183.682082644628</v>
      </c>
      <c r="BW26" s="2" t="n">
        <v>32268.31928454545</v>
      </c>
      <c r="BX26" s="2" t="n">
        <v>2830.89</v>
      </c>
      <c r="BY26" s="2" t="n">
        <v>213.69</v>
      </c>
      <c r="BZ26" s="2" t="n">
        <v>0</v>
      </c>
      <c r="CA26" s="2" t="n">
        <v>3044.58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1126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22572.62</v>
      </c>
      <c r="L27" s="2" t="n">
        <v>1878.961609259259</v>
      </c>
      <c r="M27" s="2" t="n">
        <v>20900.57407407407</v>
      </c>
      <c r="N27" s="2" t="n">
        <v>0</v>
      </c>
      <c r="O27" s="2" t="n">
        <v>21405.02</v>
      </c>
      <c r="P27" s="2" t="n">
        <v>1167.6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775.47</v>
      </c>
      <c r="AJ27" s="2" t="n">
        <v>53.85208333333333</v>
      </c>
      <c r="AK27" s="2" t="n">
        <v>718.0277777777777</v>
      </c>
      <c r="AL27" s="2" t="n">
        <v>0</v>
      </c>
      <c r="AM27" s="2" t="n">
        <v>679.47</v>
      </c>
      <c r="AN27" s="2" t="n">
        <v>96</v>
      </c>
      <c r="AO27" s="2" t="n">
        <v>1151.05</v>
      </c>
      <c r="AP27" s="2" t="n">
        <v>84.19717592592592</v>
      </c>
      <c r="AQ27" s="2" t="n">
        <v>1065.787037037037</v>
      </c>
      <c r="AR27" s="2" t="n">
        <v>0</v>
      </c>
      <c r="AS27" s="2" t="n">
        <v>1116.09</v>
      </c>
      <c r="AT27" s="2" t="n">
        <v>34.96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24499.14</v>
      </c>
      <c r="BB27" s="2" t="n">
        <v>24499.14</v>
      </c>
      <c r="BC27" s="2">
        <f>F27+L27+R27+X27+AD27+AJ27+AP27+AV27+IF(BE27="",0,BE27)</f>
        <v/>
      </c>
      <c r="BD27" s="2" t="n">
        <v>377.286756</v>
      </c>
      <c r="BE27" s="2" t="n"/>
      <c r="BF27" s="2" t="n">
        <v>22684.38888888889</v>
      </c>
      <c r="BG27" s="2" t="n">
        <v>857.64</v>
      </c>
      <c r="BH27" s="2" t="n">
        <v>0</v>
      </c>
      <c r="BI27" s="2" t="n">
        <v>25931.19</v>
      </c>
      <c r="BJ27" s="2" t="n">
        <v>87.34537190082645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330.73839</v>
      </c>
      <c r="BQ27" s="2" t="n">
        <v>0</v>
      </c>
      <c r="BR27" s="2" t="n">
        <v>27231.91376190082</v>
      </c>
      <c r="BS27" s="2" t="n">
        <v>812.479173553719</v>
      </c>
      <c r="BT27" s="2" t="n">
        <v>0</v>
      </c>
      <c r="BU27" s="2" t="n">
        <v>5542.730909090909</v>
      </c>
      <c r="BV27" s="2" t="n">
        <v>6355.210082644629</v>
      </c>
      <c r="BW27" s="2" t="n">
        <v>33587.12384454545</v>
      </c>
      <c r="BX27" s="2" t="n">
        <v>23200.58</v>
      </c>
      <c r="BY27" s="2" t="n">
        <v>1298.56</v>
      </c>
      <c r="BZ27" s="2" t="n">
        <v>0</v>
      </c>
      <c r="CA27" s="2" t="n">
        <v>24499.14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1127</v>
      </c>
      <c r="B28" t="inlineStr">
        <is>
          <t>Warszawa Centralna</t>
        </is>
      </c>
      <c r="C28" t="inlineStr">
        <is>
          <t>Warszawa Centralna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20767.4</v>
      </c>
      <c r="L28" s="2" t="n">
        <v>1728.693759259259</v>
      </c>
      <c r="M28" s="2" t="n">
        <v>19229.07407407407</v>
      </c>
      <c r="N28" s="2" t="n">
        <v>0</v>
      </c>
      <c r="O28" s="2" t="n">
        <v>19650.4</v>
      </c>
      <c r="P28" s="2" t="n">
        <v>1117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911.0599999999999</v>
      </c>
      <c r="AJ28" s="2" t="n">
        <v>63.26805555555555</v>
      </c>
      <c r="AK28" s="2" t="n">
        <v>843.574074074074</v>
      </c>
      <c r="AL28" s="2" t="n">
        <v>0</v>
      </c>
      <c r="AM28" s="2" t="n">
        <v>857.28</v>
      </c>
      <c r="AN28" s="2" t="n">
        <v>53.78</v>
      </c>
      <c r="AO28" s="2" t="n">
        <v>1157.5</v>
      </c>
      <c r="AP28" s="2" t="n">
        <v>84.66898148148147</v>
      </c>
      <c r="AQ28" s="2" t="n">
        <v>1071.759259259259</v>
      </c>
      <c r="AR28" s="2" t="n">
        <v>0</v>
      </c>
      <c r="AS28" s="2" t="n">
        <v>1032.6</v>
      </c>
      <c r="AT28" s="2" t="n">
        <v>124.9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22835.96</v>
      </c>
      <c r="BB28" s="2" t="n">
        <v>22835.96</v>
      </c>
      <c r="BC28" s="2">
        <f>F28+L28+R28+X28+AD28+AJ28+AP28+AV28+IF(BE28="",0,BE28)</f>
        <v/>
      </c>
      <c r="BD28" s="2" t="n">
        <v>351.673784</v>
      </c>
      <c r="BE28" s="2" t="n"/>
      <c r="BF28" s="2" t="n">
        <v>21144.40740740741</v>
      </c>
      <c r="BG28" s="2" t="n">
        <v>857.64</v>
      </c>
      <c r="BH28" s="2" t="n">
        <v>0</v>
      </c>
      <c r="BI28" s="2" t="n">
        <v>25931.19</v>
      </c>
      <c r="BJ28" s="2" t="n">
        <v>87.34537190082645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308.2854600000001</v>
      </c>
      <c r="BQ28" s="2" t="n">
        <v>0</v>
      </c>
      <c r="BR28" s="2" t="n">
        <v>27209.46083190082</v>
      </c>
      <c r="BS28" s="2" t="n">
        <v>812.479173553719</v>
      </c>
      <c r="BT28" s="2" t="n">
        <v>0</v>
      </c>
      <c r="BU28" s="2" t="n">
        <v>5542.730909090909</v>
      </c>
      <c r="BV28" s="2" t="n">
        <v>6355.210082644629</v>
      </c>
      <c r="BW28" s="2" t="n">
        <v>33564.67091454545</v>
      </c>
      <c r="BX28" s="2" t="n">
        <v>21540.28</v>
      </c>
      <c r="BY28" s="2" t="n">
        <v>1295.68</v>
      </c>
      <c r="BZ28" s="2" t="n">
        <v>0</v>
      </c>
      <c r="CA28" s="2" t="n">
        <v>22835.96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1128</v>
      </c>
      <c r="B29" t="inlineStr">
        <is>
          <t>Wojska Polskiego 109, 64-761 Krzyż Wielkopolski</t>
        </is>
      </c>
      <c r="C29" t="inlineStr">
        <is>
          <t>Krzyż Wielkopolski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3594.2</v>
      </c>
      <c r="L29" s="2" t="n">
        <v>299.1838703703704</v>
      </c>
      <c r="M29" s="2" t="n">
        <v>3327.962962962963</v>
      </c>
      <c r="N29" s="2" t="n">
        <v>0</v>
      </c>
      <c r="O29" s="2" t="n">
        <v>3412.15</v>
      </c>
      <c r="P29" s="2" t="n">
        <v>182.05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181.22</v>
      </c>
      <c r="AD29" s="2" t="n">
        <v>11.57794444444444</v>
      </c>
      <c r="AE29" s="2" t="n">
        <v>167.7962962962963</v>
      </c>
      <c r="AF29" s="2" t="n">
        <v>0</v>
      </c>
      <c r="AG29" s="2" t="n">
        <v>181.22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1966.57</v>
      </c>
      <c r="AP29" s="2" t="n">
        <v>143.8509537037037</v>
      </c>
      <c r="AQ29" s="2" t="n">
        <v>1820.898148148148</v>
      </c>
      <c r="AR29" s="2" t="n">
        <v>0</v>
      </c>
      <c r="AS29" s="2" t="n">
        <v>1904.93</v>
      </c>
      <c r="AT29" s="2" t="n">
        <v>61.64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5741.99</v>
      </c>
      <c r="BB29" s="2" t="n">
        <v>5741.99</v>
      </c>
      <c r="BC29" s="2">
        <f>F29+L29+R29+X29+AD29+AJ29+AP29+AV29+IF(BE29="",0,BE29)</f>
        <v/>
      </c>
      <c r="BD29" s="2" t="n">
        <v>88.42664600000001</v>
      </c>
      <c r="BE29" s="2" t="n"/>
      <c r="BF29" s="2" t="n">
        <v>5316.657407407407</v>
      </c>
      <c r="BG29" s="2" t="n">
        <v>500</v>
      </c>
      <c r="BH29" s="2" t="n">
        <v>0</v>
      </c>
      <c r="BI29" s="2" t="n">
        <v>25931.19</v>
      </c>
      <c r="BJ29" s="2" t="n">
        <v>87.34537190082645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77.516865</v>
      </c>
      <c r="BQ29" s="2" t="n">
        <v>0</v>
      </c>
      <c r="BR29" s="2" t="n">
        <v>26621.05223690082</v>
      </c>
      <c r="BS29" s="2" t="n">
        <v>812.479173553719</v>
      </c>
      <c r="BT29" s="2" t="n">
        <v>0</v>
      </c>
      <c r="BU29" s="2" t="n">
        <v>5471.202909090909</v>
      </c>
      <c r="BV29" s="2" t="n">
        <v>6283.682082644628</v>
      </c>
      <c r="BW29" s="2" t="n">
        <v>32904.73431954545</v>
      </c>
      <c r="BX29" s="2" t="n">
        <v>5498.3</v>
      </c>
      <c r="BY29" s="2" t="n">
        <v>243.69</v>
      </c>
      <c r="BZ29" s="2" t="n">
        <v>0</v>
      </c>
      <c r="CA29" s="2" t="n">
        <v>5741.99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1203</v>
      </c>
      <c r="B30" t="inlineStr">
        <is>
          <t>Piłsudskiego 105, 50-085 Wrocław</t>
        </is>
      </c>
      <c r="C30" t="inlineStr">
        <is>
          <t>Wrocław Główny</t>
        </is>
      </c>
      <c r="D30" t="inlineStr">
        <is>
          <t>FAA2000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21970.74</v>
      </c>
      <c r="L30" s="2" t="n">
        <v>1828.860672222222</v>
      </c>
      <c r="M30" s="2" t="n">
        <v>20343.27777777778</v>
      </c>
      <c r="N30" s="2" t="n">
        <v>3157.25</v>
      </c>
      <c r="O30" s="2" t="n">
        <v>17949.95</v>
      </c>
      <c r="P30" s="2" t="n">
        <v>863.54</v>
      </c>
      <c r="Q30" s="2" t="n">
        <v>22344.13</v>
      </c>
      <c r="R30" s="2" t="n">
        <v>1600</v>
      </c>
      <c r="S30" s="2" t="n">
        <v>20689.00925925926</v>
      </c>
      <c r="T30" s="2" t="n">
        <v>4464.31</v>
      </c>
      <c r="U30" s="2" t="n">
        <v>16762.73</v>
      </c>
      <c r="V30" s="2" t="n">
        <v>1117.09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13404.36</v>
      </c>
      <c r="AP30" s="2" t="n">
        <v>980.5041111111109</v>
      </c>
      <c r="AQ30" s="2" t="n">
        <v>12411.44444444444</v>
      </c>
      <c r="AR30" s="2" t="n">
        <v>1707.9</v>
      </c>
      <c r="AS30" s="2" t="n">
        <v>10827.9</v>
      </c>
      <c r="AT30" s="2" t="n">
        <v>868.5599999999999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57719.23</v>
      </c>
      <c r="BB30" s="2" t="n">
        <v>48389.77</v>
      </c>
      <c r="BC30" s="2">
        <f>F30+L30+R30+X30+AD30+AJ30+AP30+AV30+IF(BE30="",0,BE30)</f>
        <v/>
      </c>
      <c r="BD30" s="2" t="n">
        <v>745.2024580000001</v>
      </c>
      <c r="BE30" s="2" t="n"/>
      <c r="BF30" s="2" t="n">
        <v>53443.73148148147</v>
      </c>
      <c r="BG30" s="2" t="n">
        <v>0</v>
      </c>
      <c r="BH30" s="2" t="n">
        <v>0</v>
      </c>
      <c r="BI30" s="2" t="n">
        <v>25931.19</v>
      </c>
      <c r="BJ30" s="2" t="n">
        <v>87.34537190082645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653.261895</v>
      </c>
      <c r="BQ30" s="2" t="n">
        <v>0</v>
      </c>
      <c r="BR30" s="2" t="n">
        <v>26696.79726690082</v>
      </c>
      <c r="BS30" s="2" t="n">
        <v>812.479173553719</v>
      </c>
      <c r="BT30" s="2" t="n">
        <v>0</v>
      </c>
      <c r="BU30" s="2" t="n">
        <v>5371.202909090909</v>
      </c>
      <c r="BV30" s="2" t="n">
        <v>6183.682082644628</v>
      </c>
      <c r="BW30" s="2" t="n">
        <v>32880.47934954545</v>
      </c>
      <c r="BX30" s="2" t="n">
        <v>45540.58</v>
      </c>
      <c r="BY30" s="2" t="n">
        <v>2849.19</v>
      </c>
      <c r="BZ30" s="2" t="n">
        <v>9329.460000000001</v>
      </c>
      <c r="CA30" s="2" t="n">
        <v>48389.77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1204</v>
      </c>
      <c r="B31" t="inlineStr">
        <is>
          <t>Piłsudskiego 105, 50-085 Wrocław</t>
        </is>
      </c>
      <c r="C31" t="inlineStr">
        <is>
          <t>Wrocław Główny</t>
        </is>
      </c>
      <c r="D31" t="inlineStr">
        <is>
          <t>FAA2000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9354.059999999999</v>
      </c>
      <c r="L31" s="2" t="n">
        <v>778.6388833333333</v>
      </c>
      <c r="M31" s="2" t="n">
        <v>8661.166666666666</v>
      </c>
      <c r="N31" s="2" t="n">
        <v>1624.56</v>
      </c>
      <c r="O31" s="2" t="n">
        <v>7617.5</v>
      </c>
      <c r="P31" s="2" t="n">
        <v>112</v>
      </c>
      <c r="Q31" s="2" t="n">
        <v>20028.13</v>
      </c>
      <c r="R31" s="2" t="n">
        <v>1600</v>
      </c>
      <c r="S31" s="2" t="n">
        <v>18544.56481481481</v>
      </c>
      <c r="T31" s="2" t="n">
        <v>3441.11</v>
      </c>
      <c r="U31" s="2" t="n">
        <v>16270.28</v>
      </c>
      <c r="V31" s="2" t="n">
        <v>316.74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9164.74</v>
      </c>
      <c r="AP31" s="2" t="n">
        <v>670.3837592592593</v>
      </c>
      <c r="AQ31" s="2" t="n">
        <v>8485.87037037037</v>
      </c>
      <c r="AR31" s="2" t="n">
        <v>1250.55</v>
      </c>
      <c r="AS31" s="2" t="n">
        <v>7719.5</v>
      </c>
      <c r="AT31" s="2" t="n">
        <v>194.69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38546.93</v>
      </c>
      <c r="BB31" s="2" t="n">
        <v>32230.71</v>
      </c>
      <c r="BC31" s="2">
        <f>F31+L31+R31+X31+AD31+AJ31+AP31+AV31+IF(BE31="",0,BE31)</f>
        <v/>
      </c>
      <c r="BD31" s="2" t="n">
        <v>496.352934</v>
      </c>
      <c r="BE31" s="2" t="n"/>
      <c r="BF31" s="2" t="n">
        <v>35691.60185185185</v>
      </c>
      <c r="BG31" s="2" t="n">
        <v>630.3666666666667</v>
      </c>
      <c r="BH31" s="2" t="n">
        <v>0</v>
      </c>
      <c r="BI31" s="2" t="n">
        <v>25931.19</v>
      </c>
      <c r="BJ31" s="2" t="n">
        <v>87.34537190082645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435.114585</v>
      </c>
      <c r="BQ31" s="2" t="n">
        <v>0</v>
      </c>
      <c r="BR31" s="2" t="n">
        <v>27109.01662356749</v>
      </c>
      <c r="BS31" s="2" t="n">
        <v>812.479173553719</v>
      </c>
      <c r="BT31" s="2" t="n">
        <v>0</v>
      </c>
      <c r="BU31" s="2" t="n">
        <v>5497.276242424243</v>
      </c>
      <c r="BV31" s="2" t="n">
        <v>6309.755415977962</v>
      </c>
      <c r="BW31" s="2" t="n">
        <v>33418.77203954545</v>
      </c>
      <c r="BX31" s="2" t="n">
        <v>31607.28</v>
      </c>
      <c r="BY31" s="2" t="n">
        <v>623.4300000000001</v>
      </c>
      <c r="BZ31" s="2" t="n">
        <v>6316.22</v>
      </c>
      <c r="CA31" s="2" t="n">
        <v>32230.71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1205</v>
      </c>
      <c r="B32" t="inlineStr">
        <is>
          <t>Wroclaw</t>
        </is>
      </c>
      <c r="C32" t="inlineStr">
        <is>
          <t>Ciechocinek</t>
        </is>
      </c>
      <c r="D32" t="inlineStr">
        <is>
          <t>ST|40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22293.36</v>
      </c>
      <c r="L32" s="2" t="n">
        <v>1855.7158</v>
      </c>
      <c r="M32" s="2" t="n">
        <v>20642</v>
      </c>
      <c r="N32" s="2" t="n">
        <v>4949.89</v>
      </c>
      <c r="O32" s="2" t="n">
        <v>16530.41</v>
      </c>
      <c r="P32" s="2" t="n">
        <v>813.0599999999999</v>
      </c>
      <c r="Q32" s="2" t="n">
        <v>41083.73</v>
      </c>
      <c r="R32" s="2" t="n">
        <v>1600</v>
      </c>
      <c r="S32" s="2" t="n">
        <v>38040.49074074074</v>
      </c>
      <c r="T32" s="2" t="n">
        <v>9081.82</v>
      </c>
      <c r="U32" s="2" t="n">
        <v>30562.56</v>
      </c>
      <c r="V32" s="2" t="n">
        <v>1439.35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12165.76</v>
      </c>
      <c r="AP32" s="2" t="n">
        <v>889.9028148148147</v>
      </c>
      <c r="AQ32" s="2" t="n">
        <v>11264.59259259259</v>
      </c>
      <c r="AR32" s="2" t="n">
        <v>2540.63</v>
      </c>
      <c r="AS32" s="2" t="n">
        <v>8965.879999999999</v>
      </c>
      <c r="AT32" s="2" t="n">
        <v>659.25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75542.85000000001</v>
      </c>
      <c r="BB32" s="2" t="n">
        <v>58970.51</v>
      </c>
      <c r="BC32" s="2">
        <f>F32+L32+R32+X32+AD32+AJ32+AP32+AV32+IF(BE32="",0,BE32)</f>
        <v/>
      </c>
      <c r="BD32" s="2" t="n">
        <v>908.145854</v>
      </c>
      <c r="BE32" s="2" t="n"/>
      <c r="BF32" s="2" t="n">
        <v>69947.08333333334</v>
      </c>
      <c r="BG32" s="2" t="n">
        <v>630.3666666666667</v>
      </c>
      <c r="BH32" s="2" t="n">
        <v>0</v>
      </c>
      <c r="BI32" s="2" t="n">
        <v>25931.19</v>
      </c>
      <c r="BJ32" s="2" t="n">
        <v>87.34537190082645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796.101885</v>
      </c>
      <c r="BQ32" s="2" t="n">
        <v>0</v>
      </c>
      <c r="BR32" s="2" t="n">
        <v>27470.00392356749</v>
      </c>
      <c r="BS32" s="2" t="n">
        <v>812.479173553719</v>
      </c>
      <c r="BT32" s="2" t="n">
        <v>0</v>
      </c>
      <c r="BU32" s="2" t="n">
        <v>5497.276242424243</v>
      </c>
      <c r="BV32" s="2" t="n">
        <v>6309.755415977962</v>
      </c>
      <c r="BW32" s="2" t="n">
        <v>33779.75933954545</v>
      </c>
      <c r="BX32" s="2" t="n">
        <v>56058.85</v>
      </c>
      <c r="BY32" s="2" t="n">
        <v>2911.66</v>
      </c>
      <c r="BZ32" s="2" t="n">
        <v>16572.34</v>
      </c>
      <c r="CA32" s="2" t="n">
        <v>58970.50999999999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1206</v>
      </c>
      <c r="B33" t="inlineStr">
        <is>
          <t>Piłsudskiego 105, 50-085 Wrocław</t>
        </is>
      </c>
      <c r="C33" t="inlineStr">
        <is>
          <t>Wrocław Główny</t>
        </is>
      </c>
      <c r="D33" t="inlineStr">
        <is>
          <t>FAA2000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4719.54</v>
      </c>
      <c r="L33" s="2" t="n">
        <v>392.8580055555556</v>
      </c>
      <c r="M33" s="2" t="n">
        <v>4369.944444444444</v>
      </c>
      <c r="N33" s="2" t="n">
        <v>954.3</v>
      </c>
      <c r="O33" s="2" t="n">
        <v>3522.53</v>
      </c>
      <c r="P33" s="2" t="n">
        <v>242.71</v>
      </c>
      <c r="Q33" s="2" t="n">
        <v>11239.39</v>
      </c>
      <c r="R33" s="2" t="n">
        <v>1600</v>
      </c>
      <c r="S33" s="2" t="n">
        <v>10406.84259259259</v>
      </c>
      <c r="T33" s="2" t="n">
        <v>1389.93</v>
      </c>
      <c r="U33" s="2" t="n">
        <v>9431.74</v>
      </c>
      <c r="V33" s="2" t="n">
        <v>417.72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4442.759999999999</v>
      </c>
      <c r="AP33" s="2" t="n">
        <v>324.9796666666666</v>
      </c>
      <c r="AQ33" s="2" t="n">
        <v>4113.666666666666</v>
      </c>
      <c r="AR33" s="2" t="n">
        <v>893.33</v>
      </c>
      <c r="AS33" s="2" t="n">
        <v>3451.74</v>
      </c>
      <c r="AT33" s="2" t="n">
        <v>97.69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20401.69</v>
      </c>
      <c r="BB33" s="2" t="n">
        <v>17164.13</v>
      </c>
      <c r="BC33" s="2">
        <f>F33+L33+R33+X33+AD33+AJ33+AP33+AV33+IF(BE33="",0,BE33)</f>
        <v/>
      </c>
      <c r="BD33" s="2" t="n">
        <v>264.327602</v>
      </c>
      <c r="BE33" s="2" t="n"/>
      <c r="BF33" s="2" t="n">
        <v>18890.4537037037</v>
      </c>
      <c r="BG33" s="2" t="n">
        <v>630.3666666666667</v>
      </c>
      <c r="BH33" s="2" t="n">
        <v>0</v>
      </c>
      <c r="BI33" s="2" t="n">
        <v>25931.19</v>
      </c>
      <c r="BJ33" s="2" t="n">
        <v>87.34537190082645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231.715755</v>
      </c>
      <c r="BQ33" s="2" t="n">
        <v>0</v>
      </c>
      <c r="BR33" s="2" t="n">
        <v>26905.61779356749</v>
      </c>
      <c r="BS33" s="2" t="n">
        <v>812.479173553719</v>
      </c>
      <c r="BT33" s="2" t="n">
        <v>0</v>
      </c>
      <c r="BU33" s="2" t="n">
        <v>5497.276242424243</v>
      </c>
      <c r="BV33" s="2" t="n">
        <v>6309.755415977962</v>
      </c>
      <c r="BW33" s="2" t="n">
        <v>33215.37320954545</v>
      </c>
      <c r="BX33" s="2" t="n">
        <v>16406.01</v>
      </c>
      <c r="BY33" s="2" t="n">
        <v>758.1200000000001</v>
      </c>
      <c r="BZ33" s="2" t="n">
        <v>3237.56</v>
      </c>
      <c r="CA33" s="2" t="n">
        <v>17164.13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1207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3049.45</v>
      </c>
      <c r="L34" s="2" t="n">
        <v>253.8384768518518</v>
      </c>
      <c r="M34" s="2" t="n">
        <v>2823.564814814814</v>
      </c>
      <c r="N34" s="2" t="n">
        <v>551.04</v>
      </c>
      <c r="O34" s="2" t="n">
        <v>2439.24</v>
      </c>
      <c r="P34" s="2" t="n">
        <v>59.17</v>
      </c>
      <c r="Q34" s="2" t="n">
        <v>7093.670000000001</v>
      </c>
      <c r="R34" s="2" t="n">
        <v>1600</v>
      </c>
      <c r="S34" s="2" t="n">
        <v>6568.212962962964</v>
      </c>
      <c r="T34" s="2" t="n">
        <v>1348.73</v>
      </c>
      <c r="U34" s="2" t="n">
        <v>5408.55</v>
      </c>
      <c r="V34" s="2" t="n">
        <v>336.39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3251.9</v>
      </c>
      <c r="AP34" s="2" t="n">
        <v>237.8704629629629</v>
      </c>
      <c r="AQ34" s="2" t="n">
        <v>3011.018518518518</v>
      </c>
      <c r="AR34" s="2" t="n">
        <v>671.73</v>
      </c>
      <c r="AS34" s="2" t="n">
        <v>2530.1</v>
      </c>
      <c r="AT34" s="2" t="n">
        <v>50.07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13395.02</v>
      </c>
      <c r="BB34" s="2" t="n">
        <v>10823.52</v>
      </c>
      <c r="BC34" s="2">
        <f>F34+L34+R34+X34+AD34+AJ34+AP34+AV34+IF(BE34="",0,BE34)</f>
        <v/>
      </c>
      <c r="BD34" s="2" t="n">
        <v>166.682208</v>
      </c>
      <c r="BE34" s="2" t="n"/>
      <c r="BF34" s="2" t="n">
        <v>12402.7962962963</v>
      </c>
      <c r="BG34" s="2" t="n">
        <v>630.3666666666667</v>
      </c>
      <c r="BH34" s="2" t="n">
        <v>0</v>
      </c>
      <c r="BI34" s="2" t="n">
        <v>25931.19</v>
      </c>
      <c r="BJ34" s="2" t="n">
        <v>87.34537190082645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146.11752</v>
      </c>
      <c r="BQ34" s="2" t="n">
        <v>0</v>
      </c>
      <c r="BR34" s="2" t="n">
        <v>26820.01955856749</v>
      </c>
      <c r="BS34" s="2" t="n">
        <v>812.479173553719</v>
      </c>
      <c r="BT34" s="2" t="n">
        <v>0</v>
      </c>
      <c r="BU34" s="2" t="n">
        <v>5497.276242424243</v>
      </c>
      <c r="BV34" s="2" t="n">
        <v>6309.755415977962</v>
      </c>
      <c r="BW34" s="2" t="n">
        <v>33129.77497454545</v>
      </c>
      <c r="BX34" s="2" t="n">
        <v>10377.89</v>
      </c>
      <c r="BY34" s="2" t="n">
        <v>445.63</v>
      </c>
      <c r="BZ34" s="2" t="n">
        <v>2571.5</v>
      </c>
      <c r="CA34" s="2" t="n">
        <v>10823.52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1208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3932.12</v>
      </c>
      <c r="L35" s="2" t="n">
        <v>327.3125814814815</v>
      </c>
      <c r="M35" s="2" t="n">
        <v>3640.851851851852</v>
      </c>
      <c r="N35" s="2" t="n">
        <v>846.77</v>
      </c>
      <c r="O35" s="2" t="n">
        <v>2317.23</v>
      </c>
      <c r="P35" s="2" t="n">
        <v>768.12</v>
      </c>
      <c r="Q35" s="2" t="n">
        <v>7425.83</v>
      </c>
      <c r="R35" s="2" t="n">
        <v>1600</v>
      </c>
      <c r="S35" s="2" t="n">
        <v>6875.768518518518</v>
      </c>
      <c r="T35" s="2" t="n">
        <v>1155.41</v>
      </c>
      <c r="U35" s="2" t="n">
        <v>5707.2</v>
      </c>
      <c r="V35" s="2" t="n">
        <v>563.22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3003.69</v>
      </c>
      <c r="AP35" s="2" t="n">
        <v>219.7143611111111</v>
      </c>
      <c r="AQ35" s="2" t="n">
        <v>2781.194444444444</v>
      </c>
      <c r="AR35" s="2" t="n">
        <v>404.35</v>
      </c>
      <c r="AS35" s="2" t="n">
        <v>2378.09</v>
      </c>
      <c r="AT35" s="2" t="n">
        <v>221.25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14361.64</v>
      </c>
      <c r="BB35" s="2" t="n">
        <v>11955.11</v>
      </c>
      <c r="BC35" s="2">
        <f>F35+L35+R35+X35+AD35+AJ35+AP35+AV35+IF(BE35="",0,BE35)</f>
        <v/>
      </c>
      <c r="BD35" s="2" t="n">
        <v>184.108694</v>
      </c>
      <c r="BE35" s="2" t="n"/>
      <c r="BF35" s="2" t="n">
        <v>13297.81481481481</v>
      </c>
      <c r="BG35" s="2" t="n">
        <v>630.3666666666667</v>
      </c>
      <c r="BH35" s="2" t="n">
        <v>0</v>
      </c>
      <c r="BI35" s="2" t="n">
        <v>25931.19</v>
      </c>
      <c r="BJ35" s="2" t="n">
        <v>87.34537190082645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161.393985</v>
      </c>
      <c r="BQ35" s="2" t="n">
        <v>0</v>
      </c>
      <c r="BR35" s="2" t="n">
        <v>26835.29602356749</v>
      </c>
      <c r="BS35" s="2" t="n">
        <v>812.479173553719</v>
      </c>
      <c r="BT35" s="2" t="n">
        <v>0</v>
      </c>
      <c r="BU35" s="2" t="n">
        <v>5497.276242424243</v>
      </c>
      <c r="BV35" s="2" t="n">
        <v>6309.755415977962</v>
      </c>
      <c r="BW35" s="2" t="n">
        <v>33145.05143954545</v>
      </c>
      <c r="BX35" s="2" t="n">
        <v>10402.52</v>
      </c>
      <c r="BY35" s="2" t="n">
        <v>1552.59</v>
      </c>
      <c r="BZ35" s="2" t="n">
        <v>2406.53</v>
      </c>
      <c r="CA35" s="2" t="n">
        <v>11955.11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1209</v>
      </c>
      <c r="B36" t="inlineStr">
        <is>
          <t>tunel dworca od ul. Suchej, 50-085 Wrocław</t>
        </is>
      </c>
      <c r="C36" t="inlineStr"/>
      <c r="D36" t="inlineStr"/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15619.25</v>
      </c>
      <c r="L36" s="2" t="n">
        <v>1300.157939814815</v>
      </c>
      <c r="M36" s="2" t="n">
        <v>14462.26851851852</v>
      </c>
      <c r="N36" s="2" t="n">
        <v>3218.12</v>
      </c>
      <c r="O36" s="2" t="n">
        <v>11308.08</v>
      </c>
      <c r="P36" s="2" t="n">
        <v>1093.05</v>
      </c>
      <c r="Q36" s="2" t="n">
        <v>30168.41</v>
      </c>
      <c r="R36" s="2" t="n">
        <v>1600</v>
      </c>
      <c r="S36" s="2" t="n">
        <v>27933.71296296296</v>
      </c>
      <c r="T36" s="2" t="n">
        <v>5957.22</v>
      </c>
      <c r="U36" s="2" t="n">
        <v>23259.53</v>
      </c>
      <c r="V36" s="2" t="n">
        <v>951.66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7890.37</v>
      </c>
      <c r="AP36" s="2" t="n">
        <v>577.1659537037037</v>
      </c>
      <c r="AQ36" s="2" t="n">
        <v>7305.898148148148</v>
      </c>
      <c r="AR36" s="2" t="n">
        <v>1562.96</v>
      </c>
      <c r="AS36" s="2" t="n">
        <v>6028.36</v>
      </c>
      <c r="AT36" s="2" t="n">
        <v>299.05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53678.03000000001</v>
      </c>
      <c r="BB36" s="2" t="n">
        <v>42939.73</v>
      </c>
      <c r="BC36" s="2">
        <f>F36+L36+R36+X36+AD36+AJ36+AP36+AV36+IF(BE36="",0,BE36)</f>
        <v/>
      </c>
      <c r="BD36" s="2" t="n">
        <v>661.2718419999999</v>
      </c>
      <c r="BE36" s="2" t="n"/>
      <c r="BF36" s="2" t="n">
        <v>49701.87962962962</v>
      </c>
      <c r="BG36" s="2" t="n">
        <v>630.3666666666667</v>
      </c>
      <c r="BH36" s="2" t="n">
        <v>0</v>
      </c>
      <c r="BI36" s="2" t="n">
        <v>25931.19</v>
      </c>
      <c r="BJ36" s="2" t="n">
        <v>87.34537190082645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579.6863549999999</v>
      </c>
      <c r="BQ36" s="2" t="n">
        <v>0</v>
      </c>
      <c r="BR36" s="2" t="n">
        <v>27253.58839356749</v>
      </c>
      <c r="BS36" s="2" t="n">
        <v>812.479173553719</v>
      </c>
      <c r="BT36" s="2" t="n">
        <v>0</v>
      </c>
      <c r="BU36" s="2" t="n">
        <v>5497.276242424243</v>
      </c>
      <c r="BV36" s="2" t="n">
        <v>6309.755415977962</v>
      </c>
      <c r="BW36" s="2" t="n">
        <v>33563.34380954545</v>
      </c>
      <c r="BX36" s="2" t="n">
        <v>40595.97</v>
      </c>
      <c r="BY36" s="2" t="n">
        <v>2343.76</v>
      </c>
      <c r="BZ36" s="2" t="n">
        <v>10738.3</v>
      </c>
      <c r="CA36" s="2" t="n">
        <v>42939.73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1210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21008.55</v>
      </c>
      <c r="L37" s="2" t="n">
        <v>1748.767263888889</v>
      </c>
      <c r="M37" s="2" t="n">
        <v>19452.36111111111</v>
      </c>
      <c r="N37" s="2" t="n">
        <v>3333.15</v>
      </c>
      <c r="O37" s="2" t="n">
        <v>17288.17</v>
      </c>
      <c r="P37" s="2" t="n">
        <v>387.23</v>
      </c>
      <c r="Q37" s="2" t="n">
        <v>19607.78</v>
      </c>
      <c r="R37" s="2" t="n">
        <v>1600</v>
      </c>
      <c r="S37" s="2" t="n">
        <v>18155.35185185185</v>
      </c>
      <c r="T37" s="2" t="n">
        <v>4352.46</v>
      </c>
      <c r="U37" s="2" t="n">
        <v>14513.84</v>
      </c>
      <c r="V37" s="2" t="n">
        <v>741.48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11552.94</v>
      </c>
      <c r="AP37" s="2" t="n">
        <v>845.0761666666666</v>
      </c>
      <c r="AQ37" s="2" t="n">
        <v>10697.16666666667</v>
      </c>
      <c r="AR37" s="2" t="n">
        <v>2068.99</v>
      </c>
      <c r="AS37" s="2" t="n">
        <v>8896.200000000001</v>
      </c>
      <c r="AT37" s="2" t="n">
        <v>587.75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52169.27</v>
      </c>
      <c r="BB37" s="2" t="n">
        <v>42414.67</v>
      </c>
      <c r="BC37" s="2">
        <f>F37+L37+R37+X37+AD37+AJ37+AP37+AV37+IF(BE37="",0,BE37)</f>
        <v/>
      </c>
      <c r="BD37" s="2" t="n">
        <v>653.1859179999999</v>
      </c>
      <c r="BE37" s="2" t="n"/>
      <c r="BF37" s="2" t="n">
        <v>48304.87962962963</v>
      </c>
      <c r="BG37" s="2" t="n">
        <v>734.13</v>
      </c>
      <c r="BH37" s="2" t="n">
        <v>0</v>
      </c>
      <c r="BI37" s="2" t="n">
        <v>25931.19</v>
      </c>
      <c r="BJ37" s="2" t="n">
        <v>87.34537190082645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572.598045</v>
      </c>
      <c r="BQ37" s="2" t="n">
        <v>0</v>
      </c>
      <c r="BR37" s="2" t="n">
        <v>27350.26341690082</v>
      </c>
      <c r="BS37" s="2" t="n">
        <v>812.479173553719</v>
      </c>
      <c r="BT37" s="2" t="n">
        <v>0</v>
      </c>
      <c r="BU37" s="2" t="n">
        <v>5518.028909090909</v>
      </c>
      <c r="BV37" s="2" t="n">
        <v>6330.508082644628</v>
      </c>
      <c r="BW37" s="2" t="n">
        <v>33680.77149954545</v>
      </c>
      <c r="BX37" s="2" t="n">
        <v>40698.21</v>
      </c>
      <c r="BY37" s="2" t="n">
        <v>1716.46</v>
      </c>
      <c r="BZ37" s="2" t="n">
        <v>9754.6</v>
      </c>
      <c r="CA37" s="2" t="n">
        <v>42414.67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1211</v>
      </c>
      <c r="B38" t="inlineStr">
        <is>
          <t>Kolejowa, 59-300 Lubin</t>
        </is>
      </c>
      <c r="C38" t="inlineStr">
        <is>
          <t>Lubin</t>
        </is>
      </c>
      <c r="D38" t="inlineStr">
        <is>
          <t>ST|40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23429.79</v>
      </c>
      <c r="R38" s="2" t="n">
        <v>1600</v>
      </c>
      <c r="S38" s="2" t="n">
        <v>21694.25</v>
      </c>
      <c r="T38" s="2" t="n">
        <v>9466.92</v>
      </c>
      <c r="U38" s="2" t="n">
        <v>13213.23</v>
      </c>
      <c r="V38" s="2" t="n">
        <v>749.64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23429.79</v>
      </c>
      <c r="BB38" s="2" t="n">
        <v>13962.87</v>
      </c>
      <c r="BC38" s="2">
        <f>F38+L38+R38+X38+AD38+AJ38+AP38+AV38+IF(BE38="",0,BE38)</f>
        <v/>
      </c>
      <c r="BD38" s="2" t="n">
        <v>215.028198</v>
      </c>
      <c r="BE38" s="2" t="n"/>
      <c r="BF38" s="2" t="n">
        <v>21694.25</v>
      </c>
      <c r="BG38" s="2" t="n">
        <v>0</v>
      </c>
      <c r="BH38" s="2" t="n">
        <v>0</v>
      </c>
      <c r="BI38" s="2" t="n">
        <v>25931.19</v>
      </c>
      <c r="BJ38" s="2" t="n">
        <v>87.34537190082645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188.498745</v>
      </c>
      <c r="BQ38" s="2" t="n">
        <v>0</v>
      </c>
      <c r="BR38" s="2" t="n">
        <v>26232.03411690082</v>
      </c>
      <c r="BS38" s="2" t="n">
        <v>812.479173553719</v>
      </c>
      <c r="BT38" s="2" t="n">
        <v>0</v>
      </c>
      <c r="BU38" s="2" t="n">
        <v>5371.202909090909</v>
      </c>
      <c r="BV38" s="2" t="n">
        <v>6183.682082644628</v>
      </c>
      <c r="BW38" s="2" t="n">
        <v>32415.71619954545</v>
      </c>
      <c r="BX38" s="2" t="n">
        <v>13213.23</v>
      </c>
      <c r="BY38" s="2" t="n">
        <v>749.64</v>
      </c>
      <c r="BZ38" s="2" t="n">
        <v>9466.92</v>
      </c>
      <c r="CA38" s="2" t="n">
        <v>13962.87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1212</v>
      </c>
      <c r="B39" t="inlineStr">
        <is>
          <t>Armii Krajowej 26C, 58-302 Wałbrzych</t>
        </is>
      </c>
      <c r="C39" t="inlineStr">
        <is>
          <t>Wałbrzych Miasto</t>
        </is>
      </c>
      <c r="D39" t="inlineStr">
        <is>
          <t>ST|40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1527.16</v>
      </c>
      <c r="L39" s="2" t="n">
        <v>127.1219296296296</v>
      </c>
      <c r="M39" s="2" t="n">
        <v>1414.037037037037</v>
      </c>
      <c r="N39" s="2" t="n">
        <v>450.66</v>
      </c>
      <c r="O39" s="2" t="n">
        <v>1076.5</v>
      </c>
      <c r="P39" s="2" t="n">
        <v>0</v>
      </c>
      <c r="Q39" s="2" t="n">
        <v>5877.900000000001</v>
      </c>
      <c r="R39" s="2" t="n">
        <v>1600</v>
      </c>
      <c r="S39" s="2" t="n">
        <v>5442.5</v>
      </c>
      <c r="T39" s="2" t="n">
        <v>601.84</v>
      </c>
      <c r="U39" s="2" t="n">
        <v>5276.06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228.83</v>
      </c>
      <c r="AP39" s="2" t="n">
        <v>16.73849074074074</v>
      </c>
      <c r="AQ39" s="2" t="n">
        <v>211.8796296296296</v>
      </c>
      <c r="AR39" s="2" t="n">
        <v>71.59999999999999</v>
      </c>
      <c r="AS39" s="2" t="n">
        <v>157.23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7633.89</v>
      </c>
      <c r="BB39" s="2" t="n">
        <v>6509.79</v>
      </c>
      <c r="BC39" s="2">
        <f>F39+L39+R39+X39+AD39+AJ39+AP39+AV39+IF(BE39="",0,BE39)</f>
        <v/>
      </c>
      <c r="BD39" s="2" t="n">
        <v>100.250766</v>
      </c>
      <c r="BE39" s="2" t="n"/>
      <c r="BF39" s="2" t="n">
        <v>7068.416666666666</v>
      </c>
      <c r="BG39" s="2" t="n">
        <v>553.98</v>
      </c>
      <c r="BH39" s="2" t="n">
        <v>0</v>
      </c>
      <c r="BI39" s="2" t="n">
        <v>25931.19</v>
      </c>
      <c r="BJ39" s="2" t="n">
        <v>87.34537190082645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87.88216499999999</v>
      </c>
      <c r="BQ39" s="2" t="n">
        <v>0</v>
      </c>
      <c r="BR39" s="2" t="n">
        <v>26685.39753690082</v>
      </c>
      <c r="BS39" s="2" t="n">
        <v>812.479173553719</v>
      </c>
      <c r="BT39" s="2" t="n">
        <v>0</v>
      </c>
      <c r="BU39" s="2" t="n">
        <v>5481.998909090909</v>
      </c>
      <c r="BV39" s="2" t="n">
        <v>6294.478082644629</v>
      </c>
      <c r="BW39" s="2" t="n">
        <v>32979.87561954545</v>
      </c>
      <c r="BX39" s="2" t="n">
        <v>6509.79</v>
      </c>
      <c r="BY39" s="2" t="n">
        <v>0</v>
      </c>
      <c r="BZ39" s="2" t="n">
        <v>1124.1</v>
      </c>
      <c r="CA39" s="2" t="n">
        <v>6509.79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1213</v>
      </c>
      <c r="B40" t="inlineStr">
        <is>
          <t>Plac 1000-Lecia 1, 67-200 Głogów</t>
        </is>
      </c>
      <c r="C40" t="inlineStr">
        <is>
          <t>Głogów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11654.84</v>
      </c>
      <c r="L40" s="2" t="n">
        <v>970.1575148148148</v>
      </c>
      <c r="M40" s="2" t="n">
        <v>10791.51851851852</v>
      </c>
      <c r="N40" s="2" t="n">
        <v>5044.7</v>
      </c>
      <c r="O40" s="2" t="n">
        <v>6193.19</v>
      </c>
      <c r="P40" s="2" t="n">
        <v>416.95</v>
      </c>
      <c r="Q40" s="2" t="n">
        <v>29275.5</v>
      </c>
      <c r="R40" s="2" t="n">
        <v>1600</v>
      </c>
      <c r="S40" s="2" t="n">
        <v>27106.94444444444</v>
      </c>
      <c r="T40" s="2" t="n">
        <v>9996.030000000001</v>
      </c>
      <c r="U40" s="2" t="n">
        <v>18455.54</v>
      </c>
      <c r="V40" s="2" t="n">
        <v>823.9299999999999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6221.48</v>
      </c>
      <c r="AP40" s="2" t="n">
        <v>455.0897407407408</v>
      </c>
      <c r="AQ40" s="2" t="n">
        <v>5760.62962962963</v>
      </c>
      <c r="AR40" s="2" t="n">
        <v>3311.88</v>
      </c>
      <c r="AS40" s="2" t="n">
        <v>2807.25</v>
      </c>
      <c r="AT40" s="2" t="n">
        <v>102.35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47151.82</v>
      </c>
      <c r="BB40" s="2" t="n">
        <v>28799.21</v>
      </c>
      <c r="BC40" s="2">
        <f>F40+L40+R40+X40+AD40+AJ40+AP40+AV40+IF(BE40="",0,BE40)</f>
        <v/>
      </c>
      <c r="BD40" s="2" t="n">
        <v>443.507834</v>
      </c>
      <c r="BE40" s="2" t="n"/>
      <c r="BF40" s="2" t="n">
        <v>43659.09259259259</v>
      </c>
      <c r="BG40" s="2" t="n">
        <v>553.98</v>
      </c>
      <c r="BH40" s="2" t="n">
        <v>0</v>
      </c>
      <c r="BI40" s="2" t="n">
        <v>25931.19</v>
      </c>
      <c r="BJ40" s="2" t="n">
        <v>87.34537190082645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388.789335</v>
      </c>
      <c r="BQ40" s="2" t="n">
        <v>0</v>
      </c>
      <c r="BR40" s="2" t="n">
        <v>26986.30470690082</v>
      </c>
      <c r="BS40" s="2" t="n">
        <v>812.479173553719</v>
      </c>
      <c r="BT40" s="2" t="n">
        <v>0</v>
      </c>
      <c r="BU40" s="2" t="n">
        <v>5481.998909090909</v>
      </c>
      <c r="BV40" s="2" t="n">
        <v>6294.478082644629</v>
      </c>
      <c r="BW40" s="2" t="n">
        <v>33280.78278954545</v>
      </c>
      <c r="BX40" s="2" t="n">
        <v>27455.98</v>
      </c>
      <c r="BY40" s="2" t="n">
        <v>1343.23</v>
      </c>
      <c r="BZ40" s="2" t="n">
        <v>18352.61</v>
      </c>
      <c r="CA40" s="2" t="n">
        <v>28799.21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1214</v>
      </c>
      <c r="B41" t="inlineStr">
        <is>
          <t>Dworcowa 72A, 69-110 Rzepin</t>
        </is>
      </c>
      <c r="C41" t="inlineStr">
        <is>
          <t>Rzepin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5912.01</v>
      </c>
      <c r="L41" s="2" t="n">
        <v>492.1200916666667</v>
      </c>
      <c r="M41" s="2" t="n">
        <v>5474.083333333333</v>
      </c>
      <c r="N41" s="2" t="n">
        <v>2318.48</v>
      </c>
      <c r="O41" s="2" t="n">
        <v>3490.53</v>
      </c>
      <c r="P41" s="2" t="n">
        <v>103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5912.01</v>
      </c>
      <c r="BB41" s="2" t="n">
        <v>3593.53</v>
      </c>
      <c r="BC41" s="2">
        <f>F41+L41+R41+X41+AD41+AJ41+AP41+AV41+IF(BE41="",0,BE41)</f>
        <v/>
      </c>
      <c r="BD41" s="2" t="n">
        <v>55.34036200000001</v>
      </c>
      <c r="BE41" s="2" t="n"/>
      <c r="BF41" s="2" t="n">
        <v>5474.083333333333</v>
      </c>
      <c r="BG41" s="2" t="n">
        <v>372.97</v>
      </c>
      <c r="BH41" s="2" t="n">
        <v>0</v>
      </c>
      <c r="BI41" s="2" t="n">
        <v>25931.19</v>
      </c>
      <c r="BJ41" s="2" t="n">
        <v>87.34537190082645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48.512655</v>
      </c>
      <c r="BQ41" s="2" t="n">
        <v>0</v>
      </c>
      <c r="BR41" s="2" t="n">
        <v>26465.01802690082</v>
      </c>
      <c r="BS41" s="2" t="n">
        <v>812.479173553719</v>
      </c>
      <c r="BT41" s="2" t="n">
        <v>0</v>
      </c>
      <c r="BU41" s="2" t="n">
        <v>5445.796909090909</v>
      </c>
      <c r="BV41" s="2" t="n">
        <v>6258.276082644628</v>
      </c>
      <c r="BW41" s="2" t="n">
        <v>32723.29410954545</v>
      </c>
      <c r="BX41" s="2" t="n">
        <v>3490.53</v>
      </c>
      <c r="BY41" s="2" t="n">
        <v>103</v>
      </c>
      <c r="BZ41" s="2" t="n">
        <v>2318.48</v>
      </c>
      <c r="CA41" s="2" t="n">
        <v>3593.53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1216</v>
      </c>
      <c r="B42" t="inlineStr">
        <is>
          <t>Pszczyna</t>
        </is>
      </c>
      <c r="C42" t="inlineStr"/>
      <c r="D4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2667.58</v>
      </c>
      <c r="L42" s="2" t="n">
        <v>222.0513351851852</v>
      </c>
      <c r="M42" s="2" t="n">
        <v>2469.981481481481</v>
      </c>
      <c r="N42" s="2" t="n">
        <v>686.08</v>
      </c>
      <c r="O42" s="2" t="n">
        <v>1322.69</v>
      </c>
      <c r="P42" s="2" t="n">
        <v>658.8099999999999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2667.58</v>
      </c>
      <c r="BB42" s="2" t="n">
        <v>1981.5</v>
      </c>
      <c r="BC42" s="2">
        <f>F42+L42+R42+X42+AD42+AJ42+AP42+AV42+IF(BE42="",0,BE42)</f>
        <v/>
      </c>
      <c r="BD42" s="2" t="n">
        <v>30.5151</v>
      </c>
      <c r="BE42" s="2" t="n"/>
      <c r="BF42" s="2" t="n">
        <v>2469.981481481481</v>
      </c>
      <c r="BG42" s="2" t="n">
        <v>569.0500000000001</v>
      </c>
      <c r="BH42" s="2" t="n">
        <v>0</v>
      </c>
      <c r="BI42" s="2" t="n">
        <v>25931.19</v>
      </c>
      <c r="BJ42" s="2" t="n">
        <v>87.34537190082645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26.75025</v>
      </c>
      <c r="BQ42" s="2" t="n">
        <v>0</v>
      </c>
      <c r="BR42" s="2" t="n">
        <v>26639.33562190082</v>
      </c>
      <c r="BS42" s="2" t="n">
        <v>812.479173553719</v>
      </c>
      <c r="BT42" s="2" t="n">
        <v>0</v>
      </c>
      <c r="BU42" s="2" t="n">
        <v>5485.012909090909</v>
      </c>
      <c r="BV42" s="2" t="n">
        <v>6297.492082644629</v>
      </c>
      <c r="BW42" s="2" t="n">
        <v>32936.82770454545</v>
      </c>
      <c r="BX42" s="2" t="n">
        <v>1322.69</v>
      </c>
      <c r="BY42" s="2" t="n">
        <v>658.8099999999999</v>
      </c>
      <c r="BZ42" s="2" t="n">
        <v>686.08</v>
      </c>
      <c r="CA42" s="2" t="n">
        <v>1981.5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1217</v>
      </c>
      <c r="B43" t="inlineStr">
        <is>
          <t>pl. Marii i Lecha Kaczyńskiego 2, 40-098 Katowice</t>
        </is>
      </c>
      <c r="C43" t="inlineStr">
        <is>
          <t>Katowice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25427.78</v>
      </c>
      <c r="L43" s="2" t="n">
        <v>2116.627242592593</v>
      </c>
      <c r="M43" s="2" t="n">
        <v>23544.24074074074</v>
      </c>
      <c r="N43" s="2" t="n">
        <v>5047.05</v>
      </c>
      <c r="O43" s="2" t="n">
        <v>18820.45</v>
      </c>
      <c r="P43" s="2" t="n">
        <v>1560.28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10499.17</v>
      </c>
      <c r="AP43" s="2" t="n">
        <v>767.9948425925925</v>
      </c>
      <c r="AQ43" s="2" t="n">
        <v>9721.453703703703</v>
      </c>
      <c r="AR43" s="2" t="n">
        <v>2155.13</v>
      </c>
      <c r="AS43" s="2" t="n">
        <v>7969.07</v>
      </c>
      <c r="AT43" s="2" t="n">
        <v>374.97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35926.95</v>
      </c>
      <c r="BB43" s="2" t="n">
        <v>28724.77</v>
      </c>
      <c r="BC43" s="2">
        <f>F43+L43+R43+X43+AD43+AJ43+AP43+AV43+IF(BE43="",0,BE43)</f>
        <v/>
      </c>
      <c r="BD43" s="2" t="n">
        <v>442.361458</v>
      </c>
      <c r="BE43" s="2" t="n"/>
      <c r="BF43" s="2" t="n">
        <v>33265.69444444444</v>
      </c>
      <c r="BG43" s="2" t="n">
        <v>775</v>
      </c>
      <c r="BH43" s="2" t="n">
        <v>0</v>
      </c>
      <c r="BI43" s="2" t="n">
        <v>25931.19</v>
      </c>
      <c r="BJ43" s="2" t="n">
        <v>87.34537190082645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387.784395</v>
      </c>
      <c r="BQ43" s="2" t="n">
        <v>0</v>
      </c>
      <c r="BR43" s="2" t="n">
        <v>27206.31976690082</v>
      </c>
      <c r="BS43" s="2" t="n">
        <v>812.479173553719</v>
      </c>
      <c r="BT43" s="2" t="n">
        <v>0</v>
      </c>
      <c r="BU43" s="2" t="n">
        <v>5526.202909090909</v>
      </c>
      <c r="BV43" s="2" t="n">
        <v>6338.682082644628</v>
      </c>
      <c r="BW43" s="2" t="n">
        <v>33545.00184954545</v>
      </c>
      <c r="BX43" s="2" t="n">
        <v>26789.52</v>
      </c>
      <c r="BY43" s="2" t="n">
        <v>1935.25</v>
      </c>
      <c r="BZ43" s="2" t="n">
        <v>7202.18</v>
      </c>
      <c r="CA43" s="2" t="n">
        <v>28724.77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1219</v>
      </c>
      <c r="B44" t="inlineStr">
        <is>
          <t>Armii Krajowej 3, 75-200 Koszalin</t>
        </is>
      </c>
      <c r="C44" t="inlineStr">
        <is>
          <t>Koszalin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4579.889999999999</v>
      </c>
      <c r="L44" s="2" t="n">
        <v>381.233436111111</v>
      </c>
      <c r="M44" s="2" t="n">
        <v>4240.638888888888</v>
      </c>
      <c r="N44" s="2" t="n">
        <v>938.84</v>
      </c>
      <c r="O44" s="2" t="n">
        <v>3406.56</v>
      </c>
      <c r="P44" s="2" t="n">
        <v>234.49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4271.65</v>
      </c>
      <c r="AP44" s="2" t="n">
        <v>312.463287037037</v>
      </c>
      <c r="AQ44" s="2" t="n">
        <v>3955.231481481481</v>
      </c>
      <c r="AR44" s="2" t="n">
        <v>944.63</v>
      </c>
      <c r="AS44" s="2" t="n">
        <v>3037.39</v>
      </c>
      <c r="AT44" s="2" t="n">
        <v>289.63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8851.539999999999</v>
      </c>
      <c r="BB44" s="2" t="n">
        <v>6968.07</v>
      </c>
      <c r="BC44" s="2">
        <f>F44+L44+R44+X44+AD44+AJ44+AP44+AV44+IF(BE44="",0,BE44)</f>
        <v/>
      </c>
      <c r="BD44" s="2" t="n">
        <v>107.308278</v>
      </c>
      <c r="BE44" s="2" t="n"/>
      <c r="BF44" s="2" t="n">
        <v>8195.870370370369</v>
      </c>
      <c r="BG44" s="2" t="n">
        <v>0</v>
      </c>
      <c r="BH44" s="2" t="n">
        <v>0</v>
      </c>
      <c r="BI44" s="2" t="n">
        <v>25931.19</v>
      </c>
      <c r="BJ44" s="2" t="n">
        <v>87.34537190082645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94.068945</v>
      </c>
      <c r="BQ44" s="2" t="n">
        <v>0</v>
      </c>
      <c r="BR44" s="2" t="n">
        <v>26137.60431690082</v>
      </c>
      <c r="BS44" s="2" t="n">
        <v>812.479173553719</v>
      </c>
      <c r="BT44" s="2" t="n">
        <v>0</v>
      </c>
      <c r="BU44" s="2" t="n">
        <v>5371.202909090909</v>
      </c>
      <c r="BV44" s="2" t="n">
        <v>6183.682082644628</v>
      </c>
      <c r="BW44" s="2" t="n">
        <v>32321.28639954545</v>
      </c>
      <c r="BX44" s="2" t="n">
        <v>6443.95</v>
      </c>
      <c r="BY44" s="2" t="n">
        <v>524.12</v>
      </c>
      <c r="BZ44" s="2" t="n">
        <v>1883.47</v>
      </c>
      <c r="CA44" s="2" t="n">
        <v>6968.07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1220</v>
      </c>
      <c r="B45" t="inlineStr">
        <is>
          <t>Kotłątaja 32, 76-200 Słupsk</t>
        </is>
      </c>
      <c r="C45" t="inlineStr">
        <is>
          <t>Słupsk</t>
        </is>
      </c>
      <c r="D45" t="inlineStr">
        <is>
          <t>FAA2000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5426.27</v>
      </c>
      <c r="L45" s="2" t="n">
        <v>451.6867342592593</v>
      </c>
      <c r="M45" s="2" t="n">
        <v>5024.324074074074</v>
      </c>
      <c r="N45" s="2" t="n">
        <v>1813.44</v>
      </c>
      <c r="O45" s="2" t="n">
        <v>3239.36</v>
      </c>
      <c r="P45" s="2" t="n">
        <v>373.47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8275.01</v>
      </c>
      <c r="AP45" s="2" t="n">
        <v>4144</v>
      </c>
      <c r="AQ45" s="2" t="n">
        <v>7662.046296296296</v>
      </c>
      <c r="AR45" s="2" t="n">
        <v>3824.35</v>
      </c>
      <c r="AS45" s="2" t="n">
        <v>4095.06</v>
      </c>
      <c r="AT45" s="2" t="n">
        <v>355.6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13701.28</v>
      </c>
      <c r="BB45" s="2" t="n">
        <v>8063.49</v>
      </c>
      <c r="BC45" s="2">
        <f>F45+L45+R45+X45+AD45+AJ45+AP45+AV45+IF(BE45="",0,BE45)</f>
        <v/>
      </c>
      <c r="BD45" s="2" t="n">
        <v>124.177746</v>
      </c>
      <c r="BE45" s="2" t="n"/>
      <c r="BF45" s="2" t="n">
        <v>12686.37037037037</v>
      </c>
      <c r="BG45" s="2" t="n">
        <v>0</v>
      </c>
      <c r="BH45" s="2" t="n">
        <v>0</v>
      </c>
      <c r="BI45" s="2" t="n">
        <v>25931.19</v>
      </c>
      <c r="BJ45" s="2" t="n">
        <v>87.34537190082645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108.857115</v>
      </c>
      <c r="BQ45" s="2" t="n">
        <v>0</v>
      </c>
      <c r="BR45" s="2" t="n">
        <v>26152.39248690082</v>
      </c>
      <c r="BS45" s="2" t="n">
        <v>812.479173553719</v>
      </c>
      <c r="BT45" s="2" t="n">
        <v>0</v>
      </c>
      <c r="BU45" s="2" t="n">
        <v>5371.202909090909</v>
      </c>
      <c r="BV45" s="2" t="n">
        <v>6183.682082644628</v>
      </c>
      <c r="BW45" s="2" t="n">
        <v>32336.07456954545</v>
      </c>
      <c r="BX45" s="2" t="n">
        <v>7334.42</v>
      </c>
      <c r="BY45" s="2" t="n">
        <v>729.0700000000001</v>
      </c>
      <c r="BZ45" s="2" t="n">
        <v>5637.79</v>
      </c>
      <c r="CA45" s="2" t="n">
        <v>8063.49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1221</v>
      </c>
      <c r="B46" t="inlineStr">
        <is>
          <t>Dworcowa 2, 58-100 Świdnica</t>
        </is>
      </c>
      <c r="C46" t="inlineStr">
        <is>
          <t>Świdnica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33043.87</v>
      </c>
      <c r="R46" s="2" t="n">
        <v>1600</v>
      </c>
      <c r="S46" s="2" t="n">
        <v>30596.17592592592</v>
      </c>
      <c r="T46" s="2" t="n">
        <v>11506.33</v>
      </c>
      <c r="U46" s="2" t="n">
        <v>20759.76</v>
      </c>
      <c r="V46" s="2" t="n">
        <v>777.78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33043.87</v>
      </c>
      <c r="BB46" s="2" t="n">
        <v>21537.54</v>
      </c>
      <c r="BC46" s="2">
        <f>F46+L46+R46+X46+AD46+AJ46+AP46+AV46+IF(BE46="",0,BE46)</f>
        <v/>
      </c>
      <c r="BD46" s="2" t="n">
        <v>331.678116</v>
      </c>
      <c r="BE46" s="2" t="n"/>
      <c r="BF46" s="2" t="n">
        <v>30596.17592592592</v>
      </c>
      <c r="BG46" s="2" t="n">
        <v>200</v>
      </c>
      <c r="BH46" s="2" t="n">
        <v>0</v>
      </c>
      <c r="BI46" s="2" t="n">
        <v>25931.19</v>
      </c>
      <c r="BJ46" s="2" t="n">
        <v>87.34537190082645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290.75679</v>
      </c>
      <c r="BQ46" s="2" t="n">
        <v>0</v>
      </c>
      <c r="BR46" s="2" t="n">
        <v>26534.29216190082</v>
      </c>
      <c r="BS46" s="2" t="n">
        <v>812.479173553719</v>
      </c>
      <c r="BT46" s="2" t="n">
        <v>0</v>
      </c>
      <c r="BU46" s="2" t="n">
        <v>5411.202909090909</v>
      </c>
      <c r="BV46" s="2" t="n">
        <v>6223.682082644628</v>
      </c>
      <c r="BW46" s="2" t="n">
        <v>32757.97424454545</v>
      </c>
      <c r="BX46" s="2" t="n">
        <v>20759.76</v>
      </c>
      <c r="BY46" s="2" t="n">
        <v>777.78</v>
      </c>
      <c r="BZ46" s="2" t="n">
        <v>11506.33</v>
      </c>
      <c r="CA46" s="2" t="n">
        <v>21537.54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1222</v>
      </c>
      <c r="B47" t="inlineStr">
        <is>
          <t>Dworcowa 33, 83-400 Kościerzyna</t>
        </is>
      </c>
      <c r="C47" t="inlineStr">
        <is>
          <t>Kościerzyna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2003.23</v>
      </c>
      <c r="AP47" s="2" t="n">
        <v>4050</v>
      </c>
      <c r="AQ47" s="2" t="n">
        <v>1854.842592592592</v>
      </c>
      <c r="AR47" s="2" t="n">
        <v>0</v>
      </c>
      <c r="AS47" s="2" t="n">
        <v>1931.23</v>
      </c>
      <c r="AT47" s="2" t="n">
        <v>72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2003.23</v>
      </c>
      <c r="BB47" s="2" t="n">
        <v>2003.23</v>
      </c>
      <c r="BC47" s="2">
        <f>F47+L47+R47+X47+AD47+AJ47+AP47+AV47+IF(BE47="",0,BE47)</f>
        <v/>
      </c>
      <c r="BD47" s="2" t="n">
        <v>30.849742</v>
      </c>
      <c r="BE47" s="2" t="n"/>
      <c r="BF47" s="2" t="n">
        <v>1854.842592592592</v>
      </c>
      <c r="BG47" s="2" t="n">
        <v>0</v>
      </c>
      <c r="BH47" s="2" t="n">
        <v>0</v>
      </c>
      <c r="BI47" s="2" t="n">
        <v>25931.19</v>
      </c>
      <c r="BJ47" s="2" t="n">
        <v>87.34537190082645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27.043605</v>
      </c>
      <c r="BQ47" s="2" t="n">
        <v>0</v>
      </c>
      <c r="BR47" s="2" t="n">
        <v>26070.57897690082</v>
      </c>
      <c r="BS47" s="2" t="n">
        <v>812.479173553719</v>
      </c>
      <c r="BT47" s="2" t="n">
        <v>0</v>
      </c>
      <c r="BU47" s="2" t="n">
        <v>5371.202909090909</v>
      </c>
      <c r="BV47" s="2" t="n">
        <v>6183.682082644628</v>
      </c>
      <c r="BW47" s="2" t="n">
        <v>32254.26105954545</v>
      </c>
      <c r="BX47" s="2" t="n">
        <v>1931.23</v>
      </c>
      <c r="BY47" s="2" t="n">
        <v>72</v>
      </c>
      <c r="BZ47" s="2" t="n">
        <v>0</v>
      </c>
      <c r="CA47" s="2" t="n">
        <v>2003.23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1223</v>
      </c>
      <c r="B48" t="inlineStr">
        <is>
          <t>Dworcowa 17, 82-200 Malbork</t>
        </is>
      </c>
      <c r="C48" t="inlineStr">
        <is>
          <t>Malbork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5309.1</v>
      </c>
      <c r="L48" s="2" t="n">
        <v>441.9334166666667</v>
      </c>
      <c r="M48" s="2" t="n">
        <v>4915.833333333333</v>
      </c>
      <c r="N48" s="2" t="n">
        <v>1271.77</v>
      </c>
      <c r="O48" s="2" t="n">
        <v>3698.33</v>
      </c>
      <c r="P48" s="2" t="n">
        <v>339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14424.27</v>
      </c>
      <c r="AP48" s="2" t="n">
        <v>1055.108638888889</v>
      </c>
      <c r="AQ48" s="2" t="n">
        <v>13355.80555555555</v>
      </c>
      <c r="AR48" s="2" t="n">
        <v>4457.98</v>
      </c>
      <c r="AS48" s="2" t="n">
        <v>9111.879999999999</v>
      </c>
      <c r="AT48" s="2" t="n">
        <v>854.41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19733.37</v>
      </c>
      <c r="BB48" s="2" t="n">
        <v>14003.62</v>
      </c>
      <c r="BC48" s="2">
        <f>F48+L48+R48+X48+AD48+AJ48+AP48+AV48+IF(BE48="",0,BE48)</f>
        <v/>
      </c>
      <c r="BD48" s="2" t="n">
        <v>215.655748</v>
      </c>
      <c r="BE48" s="2" t="n"/>
      <c r="BF48" s="2" t="n">
        <v>18271.63888888889</v>
      </c>
      <c r="BG48" s="2" t="n">
        <v>440.48</v>
      </c>
      <c r="BH48" s="2" t="n">
        <v>0</v>
      </c>
      <c r="BI48" s="2" t="n">
        <v>25931.19</v>
      </c>
      <c r="BJ48" s="2" t="n">
        <v>87.34537190082645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189.04887</v>
      </c>
      <c r="BQ48" s="2" t="n">
        <v>0</v>
      </c>
      <c r="BR48" s="2" t="n">
        <v>26673.06424190082</v>
      </c>
      <c r="BS48" s="2" t="n">
        <v>812.479173553719</v>
      </c>
      <c r="BT48" s="2" t="n">
        <v>0</v>
      </c>
      <c r="BU48" s="2" t="n">
        <v>5459.29890909091</v>
      </c>
      <c r="BV48" s="2" t="n">
        <v>6271.778082644629</v>
      </c>
      <c r="BW48" s="2" t="n">
        <v>32944.84232454545</v>
      </c>
      <c r="BX48" s="2" t="n">
        <v>12810.21</v>
      </c>
      <c r="BY48" s="2" t="n">
        <v>1193.41</v>
      </c>
      <c r="BZ48" s="2" t="n">
        <v>5729.75</v>
      </c>
      <c r="CA48" s="2" t="n">
        <v>14003.62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1224</v>
      </c>
      <c r="B49" t="inlineStr">
        <is>
          <t>Kuznica</t>
        </is>
      </c>
      <c r="C49" t="inlineStr">
        <is>
          <t>Kuźnica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1509.63</v>
      </c>
      <c r="AP49" s="2" t="n">
        <v>4052</v>
      </c>
      <c r="AQ49" s="2" t="n">
        <v>1397.805555555556</v>
      </c>
      <c r="AR49" s="2" t="n">
        <v>0</v>
      </c>
      <c r="AS49" s="2" t="n">
        <v>1412.19</v>
      </c>
      <c r="AT49" s="2" t="n">
        <v>97.44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1509.63</v>
      </c>
      <c r="BB49" s="2" t="n">
        <v>1509.63</v>
      </c>
      <c r="BC49" s="2">
        <f>F49+L49+R49+X49+AD49+AJ49+AP49+AV49+IF(BE49="",0,BE49)</f>
        <v/>
      </c>
      <c r="BD49" s="2" t="n">
        <v>23.248302</v>
      </c>
      <c r="BE49" s="2" t="n"/>
      <c r="BF49" s="2" t="n">
        <v>1397.805555555556</v>
      </c>
      <c r="BG49" s="2" t="n">
        <v>440.48</v>
      </c>
      <c r="BH49" s="2" t="n">
        <v>0</v>
      </c>
      <c r="BI49" s="2" t="n">
        <v>25931.19</v>
      </c>
      <c r="BJ49" s="2" t="n">
        <v>87.34537190082645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20.380005</v>
      </c>
      <c r="BQ49" s="2" t="n">
        <v>0</v>
      </c>
      <c r="BR49" s="2" t="n">
        <v>26504.39537690082</v>
      </c>
      <c r="BS49" s="2" t="n">
        <v>812.479173553719</v>
      </c>
      <c r="BT49" s="2" t="n">
        <v>0</v>
      </c>
      <c r="BU49" s="2" t="n">
        <v>5459.29890909091</v>
      </c>
      <c r="BV49" s="2" t="n">
        <v>6271.778082644629</v>
      </c>
      <c r="BW49" s="2" t="n">
        <v>32776.17345954545</v>
      </c>
      <c r="BX49" s="2" t="n">
        <v>1412.19</v>
      </c>
      <c r="BY49" s="2" t="n">
        <v>97.44</v>
      </c>
      <c r="BZ49" s="2" t="n">
        <v>0</v>
      </c>
      <c r="CA49" s="2" t="n">
        <v>1509.63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1225</v>
      </c>
      <c r="B50" t="inlineStr">
        <is>
          <t>Plac Legionów 2, 37-700 Przemyśl</t>
        </is>
      </c>
      <c r="C50" t="inlineStr">
        <is>
          <t>Przemyśl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21000.36</v>
      </c>
      <c r="L50" s="2" t="n">
        <v>1748.085522222222</v>
      </c>
      <c r="M50" s="2" t="n">
        <v>19444.77777777777</v>
      </c>
      <c r="N50" s="2" t="n">
        <v>2024.76</v>
      </c>
      <c r="O50" s="2" t="n">
        <v>18833.6</v>
      </c>
      <c r="P50" s="2" t="n">
        <v>142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5395.8</v>
      </c>
      <c r="AP50" s="2" t="n">
        <v>394.6927777777778</v>
      </c>
      <c r="AQ50" s="2" t="n">
        <v>4996.111111111111</v>
      </c>
      <c r="AR50" s="2" t="n">
        <v>1297.13</v>
      </c>
      <c r="AS50" s="2" t="n">
        <v>3903.72</v>
      </c>
      <c r="AT50" s="2" t="n">
        <v>194.95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26396.16</v>
      </c>
      <c r="BB50" s="2" t="n">
        <v>23074.27</v>
      </c>
      <c r="BC50" s="2">
        <f>F50+L50+R50+X50+AD50+AJ50+AP50+AV50+IF(BE50="",0,BE50)</f>
        <v/>
      </c>
      <c r="BD50" s="2" t="n">
        <v>355.343758</v>
      </c>
      <c r="BE50" s="2" t="n"/>
      <c r="BF50" s="2" t="n">
        <v>24440.88888888888</v>
      </c>
      <c r="BG50" s="2" t="n">
        <v>440.48</v>
      </c>
      <c r="BH50" s="2" t="n">
        <v>0</v>
      </c>
      <c r="BI50" s="2" t="n">
        <v>25931.19</v>
      </c>
      <c r="BJ50" s="2" t="n">
        <v>87.34537190082645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311.502645</v>
      </c>
      <c r="BQ50" s="2" t="n">
        <v>0</v>
      </c>
      <c r="BR50" s="2" t="n">
        <v>26795.51801690082</v>
      </c>
      <c r="BS50" s="2" t="n">
        <v>812.479173553719</v>
      </c>
      <c r="BT50" s="2" t="n">
        <v>0</v>
      </c>
      <c r="BU50" s="2" t="n">
        <v>5459.29890909091</v>
      </c>
      <c r="BV50" s="2" t="n">
        <v>6271.778082644629</v>
      </c>
      <c r="BW50" s="2" t="n">
        <v>33067.29609954545</v>
      </c>
      <c r="BX50" s="2" t="n">
        <v>22737.32</v>
      </c>
      <c r="BY50" s="2" t="n">
        <v>336.95</v>
      </c>
      <c r="BZ50" s="2" t="n">
        <v>3321.89</v>
      </c>
      <c r="CA50" s="2" t="n">
        <v>23074.27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1226</v>
      </c>
      <c r="B51" t="inlineStr">
        <is>
          <t>Plac Dworcowy 3, 33-100 Tarnów</t>
        </is>
      </c>
      <c r="C51" t="inlineStr">
        <is>
          <t>Tarnów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7466.450000000001</v>
      </c>
      <c r="L51" s="2" t="n">
        <v>621.5128287037038</v>
      </c>
      <c r="M51" s="2" t="n">
        <v>6913.37962962963</v>
      </c>
      <c r="N51" s="2" t="n">
        <v>1437.37</v>
      </c>
      <c r="O51" s="2" t="n">
        <v>5943.06</v>
      </c>
      <c r="P51" s="2" t="n">
        <v>86.02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8457.459999999999</v>
      </c>
      <c r="AP51" s="2" t="n">
        <v>618.647537037037</v>
      </c>
      <c r="AQ51" s="2" t="n">
        <v>7830.98148148148</v>
      </c>
      <c r="AR51" s="2" t="n">
        <v>2137.77</v>
      </c>
      <c r="AS51" s="2" t="n">
        <v>6229.3</v>
      </c>
      <c r="AT51" s="2" t="n">
        <v>90.39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15923.91</v>
      </c>
      <c r="BB51" s="2" t="n">
        <v>12348.77</v>
      </c>
      <c r="BC51" s="2">
        <f>F51+L51+R51+X51+AD51+AJ51+AP51+AV51+IF(BE51="",0,BE51)</f>
        <v/>
      </c>
      <c r="BD51" s="2" t="n">
        <v>190.171058</v>
      </c>
      <c r="BE51" s="2" t="n"/>
      <c r="BF51" s="2" t="n">
        <v>14744.36111111111</v>
      </c>
      <c r="BG51" s="2" t="n">
        <v>440.48</v>
      </c>
      <c r="BH51" s="2" t="n">
        <v>0</v>
      </c>
      <c r="BI51" s="2" t="n">
        <v>25931.19</v>
      </c>
      <c r="BJ51" s="2" t="n">
        <v>87.34537190082645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166.708395</v>
      </c>
      <c r="BQ51" s="2" t="n">
        <v>0</v>
      </c>
      <c r="BR51" s="2" t="n">
        <v>26650.72376690082</v>
      </c>
      <c r="BS51" s="2" t="n">
        <v>812.479173553719</v>
      </c>
      <c r="BT51" s="2" t="n">
        <v>0</v>
      </c>
      <c r="BU51" s="2" t="n">
        <v>5459.29890909091</v>
      </c>
      <c r="BV51" s="2" t="n">
        <v>6271.778082644629</v>
      </c>
      <c r="BW51" s="2" t="n">
        <v>32922.50184954546</v>
      </c>
      <c r="BX51" s="2" t="n">
        <v>12172.36</v>
      </c>
      <c r="BY51" s="2" t="n">
        <v>176.41</v>
      </c>
      <c r="BZ51" s="2" t="n">
        <v>3575.14</v>
      </c>
      <c r="CA51" s="2" t="n">
        <v>12348.77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1227</v>
      </c>
      <c r="B52" t="inlineStr">
        <is>
          <t>Bochnia</t>
        </is>
      </c>
      <c r="C52" t="inlineStr"/>
      <c r="D52" t="inlineStr"/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2962.25</v>
      </c>
      <c r="L52" s="2" t="n">
        <v>246.5798842592593</v>
      </c>
      <c r="M52" s="2" t="n">
        <v>2742.824074074074</v>
      </c>
      <c r="N52" s="2" t="n">
        <v>697.87</v>
      </c>
      <c r="O52" s="2" t="n">
        <v>2125.08</v>
      </c>
      <c r="P52" s="2" t="n">
        <v>139.3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2304.34</v>
      </c>
      <c r="X52" s="2" t="n">
        <v>350</v>
      </c>
      <c r="Y52" s="2" t="n">
        <v>2133.648148148148</v>
      </c>
      <c r="Z52" s="2" t="n">
        <v>961.45</v>
      </c>
      <c r="AA52" s="2" t="n">
        <v>1324.89</v>
      </c>
      <c r="AB52" s="2" t="n">
        <v>18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2247.79</v>
      </c>
      <c r="AP52" s="2" t="n">
        <v>164.4216759259259</v>
      </c>
      <c r="AQ52" s="2" t="n">
        <v>2081.287037037037</v>
      </c>
      <c r="AR52" s="2" t="n">
        <v>293.87</v>
      </c>
      <c r="AS52" s="2" t="n">
        <v>1910.36</v>
      </c>
      <c r="AT52" s="2" t="n">
        <v>43.56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7514.38</v>
      </c>
      <c r="BB52" s="2" t="n">
        <v>5561.190000000001</v>
      </c>
      <c r="BC52" s="2">
        <f>F52+L52+R52+X52+AD52+AJ52+AP52+AV52+IF(BE52="",0,BE52)</f>
        <v/>
      </c>
      <c r="BD52" s="2" t="n">
        <v>83.090835</v>
      </c>
      <c r="BE52" s="2" t="n"/>
      <c r="BF52" s="2" t="n">
        <v>6957.759259259259</v>
      </c>
      <c r="BG52" s="2" t="n">
        <v>440.48</v>
      </c>
      <c r="BH52" s="2" t="n">
        <v>0</v>
      </c>
      <c r="BI52" s="2" t="n">
        <v>25931.19</v>
      </c>
      <c r="BJ52" s="2" t="n">
        <v>87.34537190082645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75.076065</v>
      </c>
      <c r="BQ52" s="2" t="n">
        <v>0</v>
      </c>
      <c r="BR52" s="2" t="n">
        <v>26559.09143690082</v>
      </c>
      <c r="BS52" s="2" t="n">
        <v>812.479173553719</v>
      </c>
      <c r="BT52" s="2" t="n">
        <v>0</v>
      </c>
      <c r="BU52" s="2" t="n">
        <v>5459.29890909091</v>
      </c>
      <c r="BV52" s="2" t="n">
        <v>6271.778082644629</v>
      </c>
      <c r="BW52" s="2" t="n">
        <v>32830.86951954545</v>
      </c>
      <c r="BX52" s="2" t="n">
        <v>5360.33</v>
      </c>
      <c r="BY52" s="2" t="n">
        <v>200.86</v>
      </c>
      <c r="BZ52" s="2" t="n">
        <v>1953.19</v>
      </c>
      <c r="CA52" s="2" t="n">
        <v>5561.19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1228</v>
      </c>
      <c r="B53" t="inlineStr">
        <is>
          <t>Sosnowiec</t>
        </is>
      </c>
      <c r="C53" t="inlineStr"/>
      <c r="D53" t="inlineStr"/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5857.07</v>
      </c>
      <c r="L53" s="2" t="n">
        <v>487.5468453703704</v>
      </c>
      <c r="M53" s="2" t="n">
        <v>5423.212962962963</v>
      </c>
      <c r="N53" s="2" t="n">
        <v>1013.69</v>
      </c>
      <c r="O53" s="2" t="n">
        <v>4410.53</v>
      </c>
      <c r="P53" s="2" t="n">
        <v>432.85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5857.07</v>
      </c>
      <c r="BB53" s="2" t="n">
        <v>4843.38</v>
      </c>
      <c r="BC53" s="2">
        <f>F53+L53+R53+X53+AD53+AJ53+AP53+AV53+IF(BE53="",0,BE53)</f>
        <v/>
      </c>
      <c r="BD53" s="2" t="n">
        <v>74.588052</v>
      </c>
      <c r="BE53" s="2" t="n"/>
      <c r="BF53" s="2" t="n">
        <v>5423.212962962963</v>
      </c>
      <c r="BG53" s="2" t="n">
        <v>264.06</v>
      </c>
      <c r="BH53" s="2" t="n">
        <v>0</v>
      </c>
      <c r="BI53" s="2" t="n">
        <v>25931.19</v>
      </c>
      <c r="BJ53" s="2" t="n">
        <v>87.34537190082645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65.38563000000001</v>
      </c>
      <c r="BQ53" s="2" t="n">
        <v>0</v>
      </c>
      <c r="BR53" s="2" t="n">
        <v>26372.98100190083</v>
      </c>
      <c r="BS53" s="2" t="n">
        <v>812.479173553719</v>
      </c>
      <c r="BT53" s="2" t="n">
        <v>0</v>
      </c>
      <c r="BU53" s="2" t="n">
        <v>5424.014909090909</v>
      </c>
      <c r="BV53" s="2" t="n">
        <v>6236.494082644628</v>
      </c>
      <c r="BW53" s="2" t="n">
        <v>32609.47508454545</v>
      </c>
      <c r="BX53" s="2" t="n">
        <v>4410.53</v>
      </c>
      <c r="BY53" s="2" t="n">
        <v>432.85</v>
      </c>
      <c r="BZ53" s="2" t="n">
        <v>1013.69</v>
      </c>
      <c r="CA53" s="2" t="n">
        <v>4843.38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1229</v>
      </c>
      <c r="B54" t="inlineStr">
        <is>
          <t>Tychy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2148.23</v>
      </c>
      <c r="L54" s="2" t="n">
        <v>178.8202564814815</v>
      </c>
      <c r="M54" s="2" t="n">
        <v>1989.101851851852</v>
      </c>
      <c r="N54" s="2" t="n">
        <v>966.21</v>
      </c>
      <c r="O54" s="2" t="n">
        <v>1024.6</v>
      </c>
      <c r="P54" s="2" t="n">
        <v>157.42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2148.23</v>
      </c>
      <c r="BB54" s="2" t="n">
        <v>1182.02</v>
      </c>
      <c r="BC54" s="2">
        <f>F54+L54+R54+X54+AD54+AJ54+AP54+AV54+IF(BE54="",0,BE54)</f>
        <v/>
      </c>
      <c r="BD54" s="2" t="n">
        <v>18.203108</v>
      </c>
      <c r="BE54" s="2" t="n"/>
      <c r="BF54" s="2" t="n">
        <v>1989.101851851852</v>
      </c>
      <c r="BG54" s="2" t="n">
        <v>0</v>
      </c>
      <c r="BH54" s="2" t="n">
        <v>0</v>
      </c>
      <c r="BI54" s="2" t="n">
        <v>25931.19</v>
      </c>
      <c r="BJ54" s="2" t="n">
        <v>87.34537190082645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15.95727</v>
      </c>
      <c r="BQ54" s="2" t="n">
        <v>0</v>
      </c>
      <c r="BR54" s="2" t="n">
        <v>26059.49264190082</v>
      </c>
      <c r="BS54" s="2" t="n">
        <v>812.479173553719</v>
      </c>
      <c r="BT54" s="2" t="n">
        <v>0</v>
      </c>
      <c r="BU54" s="2" t="n">
        <v>5371.202909090909</v>
      </c>
      <c r="BV54" s="2" t="n">
        <v>6183.682082644628</v>
      </c>
      <c r="BW54" s="2" t="n">
        <v>32243.17472454545</v>
      </c>
      <c r="BX54" s="2" t="n">
        <v>1024.6</v>
      </c>
      <c r="BY54" s="2" t="n">
        <v>157.42</v>
      </c>
      <c r="BZ54" s="2" t="n">
        <v>966.21</v>
      </c>
      <c r="CA54" s="2" t="n">
        <v>1182.02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1230</v>
      </c>
      <c r="B55" t="inlineStr">
        <is>
          <t>Bohaterów Getta Warszawskiego 12, 44-100 Gliwice</t>
        </is>
      </c>
      <c r="C55" t="inlineStr">
        <is>
          <t>Gliwice</t>
        </is>
      </c>
      <c r="D55" t="inlineStr">
        <is>
          <t>ST|40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11715.67</v>
      </c>
      <c r="L55" s="2" t="n">
        <v>975.221049074074</v>
      </c>
      <c r="M55" s="2" t="n">
        <v>10847.84259259259</v>
      </c>
      <c r="N55" s="2" t="n">
        <v>3232.42</v>
      </c>
      <c r="O55" s="2" t="n">
        <v>7858.74</v>
      </c>
      <c r="P55" s="2" t="n">
        <v>624.51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11715.67</v>
      </c>
      <c r="BB55" s="2" t="n">
        <v>8483.25</v>
      </c>
      <c r="BC55" s="2">
        <f>F55+L55+R55+X55+AD55+AJ55+AP55+AV55+IF(BE55="",0,BE55)</f>
        <v/>
      </c>
      <c r="BD55" s="2" t="n">
        <v>130.64205</v>
      </c>
      <c r="BE55" s="2" t="n"/>
      <c r="BF55" s="2" t="n">
        <v>10847.84259259259</v>
      </c>
      <c r="BG55" s="2" t="n">
        <v>1143.51</v>
      </c>
      <c r="BH55" s="2" t="n">
        <v>0</v>
      </c>
      <c r="BI55" s="2" t="n">
        <v>25931.19</v>
      </c>
      <c r="BJ55" s="2" t="n">
        <v>87.34537190082645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114.523875</v>
      </c>
      <c r="BQ55" s="2" t="n">
        <v>0</v>
      </c>
      <c r="BR55" s="2" t="n">
        <v>27301.56924690082</v>
      </c>
      <c r="BS55" s="2" t="n">
        <v>812.479173553719</v>
      </c>
      <c r="BT55" s="2" t="n">
        <v>0</v>
      </c>
      <c r="BU55" s="2" t="n">
        <v>5599.904909090909</v>
      </c>
      <c r="BV55" s="2" t="n">
        <v>6412.384082644629</v>
      </c>
      <c r="BW55" s="2" t="n">
        <v>33713.95332954545</v>
      </c>
      <c r="BX55" s="2" t="n">
        <v>7858.74</v>
      </c>
      <c r="BY55" s="2" t="n">
        <v>624.51</v>
      </c>
      <c r="BZ55" s="2" t="n">
        <v>3232.42</v>
      </c>
      <c r="CA55" s="2" t="n">
        <v>8483.25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1231</v>
      </c>
      <c r="B56" t="inlineStr">
        <is>
          <t>Rybnik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5462.219999999999</v>
      </c>
      <c r="L56" s="2" t="n">
        <v>454.6792388888888</v>
      </c>
      <c r="M56" s="2" t="n">
        <v>5057.61111111111</v>
      </c>
      <c r="N56" s="2" t="n">
        <v>1894.58</v>
      </c>
      <c r="O56" s="2" t="n">
        <v>2864.64</v>
      </c>
      <c r="P56" s="2" t="n">
        <v>703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5462.219999999999</v>
      </c>
      <c r="BB56" s="2" t="n">
        <v>3567.64</v>
      </c>
      <c r="BC56" s="2">
        <f>F56+L56+R56+X56+AD56+AJ56+AP56+AV56+IF(BE56="",0,BE56)</f>
        <v/>
      </c>
      <c r="BD56" s="2" t="n">
        <v>54.941656</v>
      </c>
      <c r="BE56" s="2" t="n"/>
      <c r="BF56" s="2" t="n">
        <v>5057.61111111111</v>
      </c>
      <c r="BG56" s="2" t="n">
        <v>571.8200000000001</v>
      </c>
      <c r="BH56" s="2" t="n">
        <v>0</v>
      </c>
      <c r="BI56" s="2" t="n">
        <v>25931.19</v>
      </c>
      <c r="BJ56" s="2" t="n">
        <v>87.34537190082645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48.16314</v>
      </c>
      <c r="BQ56" s="2" t="n">
        <v>0</v>
      </c>
      <c r="BR56" s="2" t="n">
        <v>26663.51851190082</v>
      </c>
      <c r="BS56" s="2" t="n">
        <v>812.479173553719</v>
      </c>
      <c r="BT56" s="2" t="n">
        <v>0</v>
      </c>
      <c r="BU56" s="2" t="n">
        <v>5485.56690909091</v>
      </c>
      <c r="BV56" s="2" t="n">
        <v>6298.046082644629</v>
      </c>
      <c r="BW56" s="2" t="n">
        <v>32961.56459454545</v>
      </c>
      <c r="BX56" s="2" t="n">
        <v>2864.64</v>
      </c>
      <c r="BY56" s="2" t="n">
        <v>703</v>
      </c>
      <c r="BZ56" s="2" t="n">
        <v>1894.58</v>
      </c>
      <c r="CA56" s="2" t="n">
        <v>3567.64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1232</v>
      </c>
      <c r="B57" t="inlineStr">
        <is>
          <t>Bielsko Biala</t>
        </is>
      </c>
      <c r="C57" t="inlineStr">
        <is>
          <t>Oława Zachodnia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5571.21</v>
      </c>
      <c r="L57" s="2" t="n">
        <v>463.7516472222222</v>
      </c>
      <c r="M57" s="2" t="n">
        <v>5158.527777777777</v>
      </c>
      <c r="N57" s="2" t="n">
        <v>2471.84</v>
      </c>
      <c r="O57" s="2" t="n">
        <v>3018.62</v>
      </c>
      <c r="P57" s="2" t="n">
        <v>80.75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5571.21</v>
      </c>
      <c r="BB57" s="2" t="n">
        <v>3099.37</v>
      </c>
      <c r="BC57" s="2">
        <f>F57+L57+R57+X57+AD57+AJ57+AP57+AV57+IF(BE57="",0,BE57)</f>
        <v/>
      </c>
      <c r="BD57" s="2" t="n">
        <v>47.730298</v>
      </c>
      <c r="BE57" s="2" t="n"/>
      <c r="BF57" s="2" t="n">
        <v>5158.527777777777</v>
      </c>
      <c r="BG57" s="2" t="n">
        <v>560.99</v>
      </c>
      <c r="BH57" s="2" t="n">
        <v>0</v>
      </c>
      <c r="BI57" s="2" t="n">
        <v>25931.19</v>
      </c>
      <c r="BJ57" s="2" t="n">
        <v>87.34537190082645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41.84149499999999</v>
      </c>
      <c r="BQ57" s="2" t="n">
        <v>0</v>
      </c>
      <c r="BR57" s="2" t="n">
        <v>26646.36686690083</v>
      </c>
      <c r="BS57" s="2" t="n">
        <v>812.479173553719</v>
      </c>
      <c r="BT57" s="2" t="n">
        <v>0</v>
      </c>
      <c r="BU57" s="2" t="n">
        <v>5483.400909090909</v>
      </c>
      <c r="BV57" s="2" t="n">
        <v>6295.880082644629</v>
      </c>
      <c r="BW57" s="2" t="n">
        <v>32942.24694954546</v>
      </c>
      <c r="BX57" s="2" t="n">
        <v>3018.62</v>
      </c>
      <c r="BY57" s="2" t="n">
        <v>80.75</v>
      </c>
      <c r="BZ57" s="2" t="n">
        <v>2471.84</v>
      </c>
      <c r="CA57" s="2" t="n">
        <v>3099.37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1233</v>
      </c>
      <c r="B58" t="inlineStr">
        <is>
          <t>Lubliniec</t>
        </is>
      </c>
      <c r="C58" t="inlineStr"/>
      <c r="D58" t="inlineStr"/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4257.98</v>
      </c>
      <c r="L58" s="2" t="n">
        <v>354.4374092592593</v>
      </c>
      <c r="M58" s="2" t="n">
        <v>3942.574074074074</v>
      </c>
      <c r="N58" s="2" t="n">
        <v>1417.8</v>
      </c>
      <c r="O58" s="2" t="n">
        <v>2097.17</v>
      </c>
      <c r="P58" s="2" t="n">
        <v>743.01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4257.98</v>
      </c>
      <c r="BB58" s="2" t="n">
        <v>2840.18</v>
      </c>
      <c r="BC58" s="2">
        <f>F58+L58+R58+X58+AD58+AJ58+AP58+AV58+IF(BE58="",0,BE58)</f>
        <v/>
      </c>
      <c r="BD58" s="2" t="n">
        <v>43.738772</v>
      </c>
      <c r="BE58" s="2" t="n"/>
      <c r="BF58" s="2" t="n">
        <v>3942.574074074074</v>
      </c>
      <c r="BG58" s="2" t="n">
        <v>432.34</v>
      </c>
      <c r="BH58" s="2" t="n">
        <v>0</v>
      </c>
      <c r="BI58" s="2" t="n">
        <v>25931.19</v>
      </c>
      <c r="BJ58" s="2" t="n">
        <v>87.34537190082645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38.34243</v>
      </c>
      <c r="BQ58" s="2" t="n">
        <v>0</v>
      </c>
      <c r="BR58" s="2" t="n">
        <v>26514.21780190082</v>
      </c>
      <c r="BS58" s="2" t="n">
        <v>812.479173553719</v>
      </c>
      <c r="BT58" s="2" t="n">
        <v>0</v>
      </c>
      <c r="BU58" s="2" t="n">
        <v>5457.670909090909</v>
      </c>
      <c r="BV58" s="2" t="n">
        <v>6270.150082644628</v>
      </c>
      <c r="BW58" s="2" t="n">
        <v>32784.36788454546</v>
      </c>
      <c r="BX58" s="2" t="n">
        <v>2097.17</v>
      </c>
      <c r="BY58" s="2" t="n">
        <v>743.01</v>
      </c>
      <c r="BZ58" s="2" t="n">
        <v>1417.8</v>
      </c>
      <c r="CA58" s="2" t="n">
        <v>2840.18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1234</v>
      </c>
      <c r="B59" t="inlineStr">
        <is>
          <t>Kolejowa 88, 68-100 Żagań</t>
        </is>
      </c>
      <c r="C59" t="inlineStr">
        <is>
          <t>Żagań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1027.34</v>
      </c>
      <c r="L59" s="2" t="n">
        <v>85.5165425925926</v>
      </c>
      <c r="M59" s="2" t="n">
        <v>951.2407407407408</v>
      </c>
      <c r="N59" s="2" t="n">
        <v>263.79</v>
      </c>
      <c r="O59" s="2" t="n">
        <v>223.45</v>
      </c>
      <c r="P59" s="2" t="n">
        <v>540.1</v>
      </c>
      <c r="Q59" s="2" t="n">
        <v>4260.82</v>
      </c>
      <c r="R59" s="2" t="n">
        <v>1600</v>
      </c>
      <c r="S59" s="2" t="n">
        <v>3945.203703703703</v>
      </c>
      <c r="T59" s="2" t="n">
        <v>837.83</v>
      </c>
      <c r="U59" s="2" t="n">
        <v>3216.61</v>
      </c>
      <c r="V59" s="2" t="n">
        <v>206.38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3096.04</v>
      </c>
      <c r="AP59" s="2" t="n">
        <v>226.4695925925926</v>
      </c>
      <c r="AQ59" s="2" t="n">
        <v>2866.703703703703</v>
      </c>
      <c r="AR59" s="2" t="n">
        <v>922.3200000000001</v>
      </c>
      <c r="AS59" s="2" t="n">
        <v>2114.52</v>
      </c>
      <c r="AT59" s="2" t="n">
        <v>59.2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8384.200000000001</v>
      </c>
      <c r="BB59" s="2" t="n">
        <v>6360.26</v>
      </c>
      <c r="BC59" s="2">
        <f>F59+L59+R59+X59+AD59+AJ59+AP59+AV59+IF(BE59="",0,BE59)</f>
        <v/>
      </c>
      <c r="BD59" s="2" t="n">
        <v>97.948004</v>
      </c>
      <c r="BE59" s="2" t="n"/>
      <c r="BF59" s="2" t="n">
        <v>7763.148148148147</v>
      </c>
      <c r="BG59" s="2" t="n">
        <v>573.49</v>
      </c>
      <c r="BH59" s="2" t="n">
        <v>0</v>
      </c>
      <c r="BI59" s="2" t="n">
        <v>25931.19</v>
      </c>
      <c r="BJ59" s="2" t="n">
        <v>87.34537190082645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85.86350999999999</v>
      </c>
      <c r="BQ59" s="2" t="n">
        <v>0</v>
      </c>
      <c r="BR59" s="2" t="n">
        <v>26702.88888190082</v>
      </c>
      <c r="BS59" s="2" t="n">
        <v>812.479173553719</v>
      </c>
      <c r="BT59" s="2" t="n">
        <v>0</v>
      </c>
      <c r="BU59" s="2" t="n">
        <v>5485.900909090909</v>
      </c>
      <c r="BV59" s="2" t="n">
        <v>6298.380082644629</v>
      </c>
      <c r="BW59" s="2" t="n">
        <v>33001.26896454545</v>
      </c>
      <c r="BX59" s="2" t="n">
        <v>5554.58</v>
      </c>
      <c r="BY59" s="2" t="n">
        <v>805.6800000000001</v>
      </c>
      <c r="BZ59" s="2" t="n">
        <v>2023.94</v>
      </c>
      <c r="CA59" s="2" t="n">
        <v>6360.26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1235</v>
      </c>
      <c r="B60" t="inlineStr">
        <is>
          <t>Dworcowa 2, 61-801 Poznań</t>
        </is>
      </c>
      <c r="C60" t="inlineStr">
        <is>
          <t>Poznań Główny, Dworzec Zachodni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9073.259999999998</v>
      </c>
      <c r="L60" s="2" t="n">
        <v>755.2648833333332</v>
      </c>
      <c r="M60" s="2" t="n">
        <v>8401.166666666664</v>
      </c>
      <c r="N60" s="2" t="n">
        <v>1917.64</v>
      </c>
      <c r="O60" s="2" t="n">
        <v>6500.66</v>
      </c>
      <c r="P60" s="2" t="n">
        <v>654.96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15201.65</v>
      </c>
      <c r="AD60" s="2" t="n">
        <v>971.2165277777777</v>
      </c>
      <c r="AE60" s="2" t="n">
        <v>14075.60185185185</v>
      </c>
      <c r="AF60" s="2" t="n">
        <v>3346.98</v>
      </c>
      <c r="AG60" s="2" t="n">
        <v>11447.44</v>
      </c>
      <c r="AH60" s="2" t="n">
        <v>407.23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6054.29</v>
      </c>
      <c r="AP60" s="2" t="n">
        <v>442.8601018518518</v>
      </c>
      <c r="AQ60" s="2" t="n">
        <v>5605.824074074074</v>
      </c>
      <c r="AR60" s="2" t="n">
        <v>1036.95</v>
      </c>
      <c r="AS60" s="2" t="n">
        <v>4693.56</v>
      </c>
      <c r="AT60" s="2" t="n">
        <v>323.78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30329.2</v>
      </c>
      <c r="BB60" s="2" t="n">
        <v>24027.63</v>
      </c>
      <c r="BC60" s="2">
        <f>F60+L60+R60+X60+AD60+AJ60+AP60+AV60+IF(BE60="",0,BE60)</f>
        <v/>
      </c>
      <c r="BD60" s="2" t="n">
        <v>370.025502</v>
      </c>
      <c r="BE60" s="2" t="n"/>
      <c r="BF60" s="2" t="n">
        <v>28082.59259259259</v>
      </c>
      <c r="BG60" s="2" t="n">
        <v>458.58</v>
      </c>
      <c r="BH60" s="2" t="n">
        <v>0</v>
      </c>
      <c r="BI60" s="2" t="n">
        <v>25931.19</v>
      </c>
      <c r="BJ60" s="2" t="n">
        <v>87.34537190082645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324.373005</v>
      </c>
      <c r="BQ60" s="2" t="n">
        <v>0</v>
      </c>
      <c r="BR60" s="2" t="n">
        <v>26826.48837690083</v>
      </c>
      <c r="BS60" s="2" t="n">
        <v>812.479173553719</v>
      </c>
      <c r="BT60" s="2" t="n">
        <v>0</v>
      </c>
      <c r="BU60" s="2" t="n">
        <v>5462.918909090909</v>
      </c>
      <c r="BV60" s="2" t="n">
        <v>6275.398082644629</v>
      </c>
      <c r="BW60" s="2" t="n">
        <v>33101.88645954546</v>
      </c>
      <c r="BX60" s="2" t="n">
        <v>22641.66</v>
      </c>
      <c r="BY60" s="2" t="n">
        <v>1385.97</v>
      </c>
      <c r="BZ60" s="2" t="n">
        <v>6301.57</v>
      </c>
      <c r="CA60" s="2" t="n">
        <v>24027.63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1236</v>
      </c>
      <c r="B61" t="inlineStr">
        <is>
          <t>Pelplin</t>
        </is>
      </c>
      <c r="C61" t="inlineStr">
        <is>
          <t>Pelplin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2859.54</v>
      </c>
      <c r="AP61" s="2" t="n">
        <v>3900</v>
      </c>
      <c r="AQ61" s="2" t="n">
        <v>2647.722222222222</v>
      </c>
      <c r="AR61" s="2" t="n">
        <v>0</v>
      </c>
      <c r="AS61" s="2" t="n">
        <v>2407.56</v>
      </c>
      <c r="AT61" s="2" t="n">
        <v>451.98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2859.54</v>
      </c>
      <c r="BB61" s="2" t="n">
        <v>2859.54</v>
      </c>
      <c r="BC61" s="2">
        <f>F61+L61+R61+X61+AD61+AJ61+AP61+AV61+IF(BE61="",0,BE61)</f>
        <v/>
      </c>
      <c r="BD61" s="2" t="n">
        <v>44.036916</v>
      </c>
      <c r="BE61" s="2" t="n"/>
      <c r="BF61" s="2" t="n">
        <v>2647.722222222222</v>
      </c>
      <c r="BG61" s="2" t="n">
        <v>458.58</v>
      </c>
      <c r="BH61" s="2" t="n">
        <v>0</v>
      </c>
      <c r="BI61" s="2" t="n">
        <v>25931.19</v>
      </c>
      <c r="BJ61" s="2" t="n">
        <v>87.34537190082645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38.60379</v>
      </c>
      <c r="BQ61" s="2" t="n">
        <v>0</v>
      </c>
      <c r="BR61" s="2" t="n">
        <v>26540.71916190083</v>
      </c>
      <c r="BS61" s="2" t="n">
        <v>812.479173553719</v>
      </c>
      <c r="BT61" s="2" t="n">
        <v>0</v>
      </c>
      <c r="BU61" s="2" t="n">
        <v>5462.918909090909</v>
      </c>
      <c r="BV61" s="2" t="n">
        <v>6275.398082644629</v>
      </c>
      <c r="BW61" s="2" t="n">
        <v>32816.11724454546</v>
      </c>
      <c r="BX61" s="2" t="n">
        <v>2407.56</v>
      </c>
      <c r="BY61" s="2" t="n">
        <v>451.98</v>
      </c>
      <c r="BZ61" s="2" t="n">
        <v>0</v>
      </c>
      <c r="CA61" s="2" t="n">
        <v>2859.54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1237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10128.88</v>
      </c>
      <c r="L62" s="2" t="n">
        <v>843.1354740740742</v>
      </c>
      <c r="M62" s="2" t="n">
        <v>9378.592592592593</v>
      </c>
      <c r="N62" s="2" t="n">
        <v>2130.3</v>
      </c>
      <c r="O62" s="2" t="n">
        <v>7377.55</v>
      </c>
      <c r="P62" s="2" t="n">
        <v>621.03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18440.02</v>
      </c>
      <c r="AD62" s="2" t="n">
        <v>1178.112388888889</v>
      </c>
      <c r="AE62" s="2" t="n">
        <v>17074.09259259259</v>
      </c>
      <c r="AF62" s="2" t="n">
        <v>4001.92</v>
      </c>
      <c r="AG62" s="2" t="n">
        <v>13654.3</v>
      </c>
      <c r="AH62" s="2" t="n">
        <v>783.8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7041.639999999999</v>
      </c>
      <c r="AP62" s="2" t="n">
        <v>515.0829259259259</v>
      </c>
      <c r="AQ62" s="2" t="n">
        <v>6520.037037037036</v>
      </c>
      <c r="AR62" s="2" t="n">
        <v>1598.06</v>
      </c>
      <c r="AS62" s="2" t="n">
        <v>5219.84</v>
      </c>
      <c r="AT62" s="2" t="n">
        <v>223.74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35610.54</v>
      </c>
      <c r="BB62" s="2" t="n">
        <v>27880.26</v>
      </c>
      <c r="BC62" s="2">
        <f>F62+L62+R62+X62+AD62+AJ62+AP62+AV62+IF(BE62="",0,BE62)</f>
        <v/>
      </c>
      <c r="BD62" s="2" t="n">
        <v>429.356004</v>
      </c>
      <c r="BE62" s="2" t="n"/>
      <c r="BF62" s="2" t="n">
        <v>32972.72222222222</v>
      </c>
      <c r="BG62" s="2" t="n">
        <v>458.58</v>
      </c>
      <c r="BH62" s="2" t="n">
        <v>0</v>
      </c>
      <c r="BI62" s="2" t="n">
        <v>25931.19</v>
      </c>
      <c r="BJ62" s="2" t="n">
        <v>87.34537190082645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376.38351</v>
      </c>
      <c r="BQ62" s="2" t="n">
        <v>0</v>
      </c>
      <c r="BR62" s="2" t="n">
        <v>26878.49888190082</v>
      </c>
      <c r="BS62" s="2" t="n">
        <v>812.479173553719</v>
      </c>
      <c r="BT62" s="2" t="n">
        <v>0</v>
      </c>
      <c r="BU62" s="2" t="n">
        <v>5462.918909090909</v>
      </c>
      <c r="BV62" s="2" t="n">
        <v>6275.398082644629</v>
      </c>
      <c r="BW62" s="2" t="n">
        <v>33153.89696454546</v>
      </c>
      <c r="BX62" s="2" t="n">
        <v>26251.69</v>
      </c>
      <c r="BY62" s="2" t="n">
        <v>1628.57</v>
      </c>
      <c r="BZ62" s="2" t="n">
        <v>7730.280000000001</v>
      </c>
      <c r="CA62" s="2" t="n">
        <v>27880.26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1238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8931.24</v>
      </c>
      <c r="L63" s="2" t="n">
        <v>743.4430333333333</v>
      </c>
      <c r="M63" s="2" t="n">
        <v>8269.666666666666</v>
      </c>
      <c r="N63" s="2" t="n">
        <v>1376.96</v>
      </c>
      <c r="O63" s="2" t="n">
        <v>7111.94</v>
      </c>
      <c r="P63" s="2" t="n">
        <v>442.34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13556.03</v>
      </c>
      <c r="AD63" s="2" t="n">
        <v>866.0796944444444</v>
      </c>
      <c r="AE63" s="2" t="n">
        <v>12551.87962962963</v>
      </c>
      <c r="AF63" s="2" t="n">
        <v>2440.73</v>
      </c>
      <c r="AG63" s="2" t="n">
        <v>10617.71</v>
      </c>
      <c r="AH63" s="2" t="n">
        <v>497.59</v>
      </c>
      <c r="AI63" s="2" t="n">
        <v>19.21</v>
      </c>
      <c r="AJ63" s="2" t="n">
        <v>1.334027777777778</v>
      </c>
      <c r="AK63" s="2" t="n">
        <v>17.78703703703704</v>
      </c>
      <c r="AL63" s="2" t="n">
        <v>0</v>
      </c>
      <c r="AM63" s="2" t="n">
        <v>19.21</v>
      </c>
      <c r="AN63" s="2" t="n">
        <v>0</v>
      </c>
      <c r="AO63" s="2" t="n">
        <v>4594.14</v>
      </c>
      <c r="AP63" s="2" t="n">
        <v>336.0528333333333</v>
      </c>
      <c r="AQ63" s="2" t="n">
        <v>4253.833333333333</v>
      </c>
      <c r="AR63" s="2" t="n">
        <v>589.6</v>
      </c>
      <c r="AS63" s="2" t="n">
        <v>3663.3</v>
      </c>
      <c r="AT63" s="2" t="n">
        <v>341.24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27100.62</v>
      </c>
      <c r="BB63" s="2" t="n">
        <v>22693.33</v>
      </c>
      <c r="BC63" s="2">
        <f>F63+L63+R63+X63+AD63+AJ63+AP63+AV63+IF(BE63="",0,BE63)</f>
        <v/>
      </c>
      <c r="BD63" s="2" t="n">
        <v>349.477282</v>
      </c>
      <c r="BE63" s="2" t="n"/>
      <c r="BF63" s="2" t="n">
        <v>25093.16666666666</v>
      </c>
      <c r="BG63" s="2" t="n">
        <v>458.58</v>
      </c>
      <c r="BH63" s="2" t="n">
        <v>0</v>
      </c>
      <c r="BI63" s="2" t="n">
        <v>25931.19</v>
      </c>
      <c r="BJ63" s="2" t="n">
        <v>87.34537190082645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306.359955</v>
      </c>
      <c r="BQ63" s="2" t="n">
        <v>0</v>
      </c>
      <c r="BR63" s="2" t="n">
        <v>26808.47532690083</v>
      </c>
      <c r="BS63" s="2" t="n">
        <v>812.479173553719</v>
      </c>
      <c r="BT63" s="2" t="n">
        <v>0</v>
      </c>
      <c r="BU63" s="2" t="n">
        <v>5462.918909090909</v>
      </c>
      <c r="BV63" s="2" t="n">
        <v>6275.398082644629</v>
      </c>
      <c r="BW63" s="2" t="n">
        <v>33083.87340954546</v>
      </c>
      <c r="BX63" s="2" t="n">
        <v>21412.16</v>
      </c>
      <c r="BY63" s="2" t="n">
        <v>1281.17</v>
      </c>
      <c r="BZ63" s="2" t="n">
        <v>4407.29</v>
      </c>
      <c r="CA63" s="2" t="n">
        <v>22693.32999999999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1239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20520.77</v>
      </c>
      <c r="L64" s="2" t="n">
        <v>1708.164095370371</v>
      </c>
      <c r="M64" s="2" t="n">
        <v>19000.71296296296</v>
      </c>
      <c r="N64" s="2" t="n">
        <v>4371.59</v>
      </c>
      <c r="O64" s="2" t="n">
        <v>16149.18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37705.34</v>
      </c>
      <c r="AD64" s="2" t="n">
        <v>2408.952277777777</v>
      </c>
      <c r="AE64" s="2" t="n">
        <v>34912.35185185185</v>
      </c>
      <c r="AF64" s="2" t="n">
        <v>7857.24</v>
      </c>
      <c r="AG64" s="2" t="n">
        <v>29848.1</v>
      </c>
      <c r="AH64" s="2" t="n">
        <v>0</v>
      </c>
      <c r="AI64" s="2" t="n">
        <v>264.2</v>
      </c>
      <c r="AJ64" s="2" t="n">
        <v>18.34722222222222</v>
      </c>
      <c r="AK64" s="2" t="n">
        <v>244.6296296296296</v>
      </c>
      <c r="AL64" s="2" t="n">
        <v>0</v>
      </c>
      <c r="AM64" s="2" t="n">
        <v>264.2</v>
      </c>
      <c r="AN64" s="2" t="n">
        <v>0</v>
      </c>
      <c r="AO64" s="2" t="n">
        <v>11057.93</v>
      </c>
      <c r="AP64" s="2" t="n">
        <v>808.8671018518518</v>
      </c>
      <c r="AQ64" s="2" t="n">
        <v>10238.82407407407</v>
      </c>
      <c r="AR64" s="2" t="n">
        <v>2465.73</v>
      </c>
      <c r="AS64" s="2" t="n">
        <v>8592.200000000001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69548.23999999999</v>
      </c>
      <c r="BB64" s="2" t="n">
        <v>54853.67999999999</v>
      </c>
      <c r="BC64" s="2">
        <f>F64+L64+R64+X64+AD64+AJ64+AP64+AV64+IF(BE64="",0,BE64)</f>
        <v/>
      </c>
      <c r="BD64" s="2" t="n">
        <v>844.746672</v>
      </c>
      <c r="BE64" s="2" t="n"/>
      <c r="BF64" s="2" t="n">
        <v>64396.51851851851</v>
      </c>
      <c r="BG64" s="2" t="n">
        <v>458.58</v>
      </c>
      <c r="BH64" s="2" t="n">
        <v>0</v>
      </c>
      <c r="BI64" s="2" t="n">
        <v>25931.19</v>
      </c>
      <c r="BJ64" s="2" t="n">
        <v>87.34537190082645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740.5246799999999</v>
      </c>
      <c r="BQ64" s="2" t="n">
        <v>0</v>
      </c>
      <c r="BR64" s="2" t="n">
        <v>27242.64005190082</v>
      </c>
      <c r="BS64" s="2" t="n">
        <v>812.479173553719</v>
      </c>
      <c r="BT64" s="2" t="n">
        <v>0</v>
      </c>
      <c r="BU64" s="2" t="n">
        <v>5462.918909090909</v>
      </c>
      <c r="BV64" s="2" t="n">
        <v>6275.398082644629</v>
      </c>
      <c r="BW64" s="2" t="n">
        <v>33518.03813454545</v>
      </c>
      <c r="BX64" s="2" t="n">
        <v>54853.67999999999</v>
      </c>
      <c r="BY64" s="2" t="n">
        <v>0</v>
      </c>
      <c r="BZ64" s="2" t="n">
        <v>14694.56</v>
      </c>
      <c r="CA64" s="2" t="n">
        <v>54853.67999999999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1240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25760.57</v>
      </c>
      <c r="L65" s="2" t="n">
        <v>2144.328928703704</v>
      </c>
      <c r="M65" s="2" t="n">
        <v>23852.37962962963</v>
      </c>
      <c r="N65" s="2" t="n">
        <v>4427.72</v>
      </c>
      <c r="O65" s="2" t="n">
        <v>19806.53</v>
      </c>
      <c r="P65" s="2" t="n">
        <v>1526.32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53192.07</v>
      </c>
      <c r="AD65" s="2" t="n">
        <v>3398.38225</v>
      </c>
      <c r="AE65" s="2" t="n">
        <v>49251.91666666666</v>
      </c>
      <c r="AF65" s="2" t="n">
        <v>9085.139999999999</v>
      </c>
      <c r="AG65" s="2" t="n">
        <v>41540.48</v>
      </c>
      <c r="AH65" s="2" t="n">
        <v>2566.45</v>
      </c>
      <c r="AI65" s="2" t="n">
        <v>480.59</v>
      </c>
      <c r="AJ65" s="2" t="n">
        <v>33.37430555555556</v>
      </c>
      <c r="AK65" s="2" t="n">
        <v>444.9907407407408</v>
      </c>
      <c r="AL65" s="2" t="n">
        <v>45.1</v>
      </c>
      <c r="AM65" s="2" t="n">
        <v>435.49</v>
      </c>
      <c r="AN65" s="2" t="n">
        <v>0</v>
      </c>
      <c r="AO65" s="2" t="n">
        <v>15187.23</v>
      </c>
      <c r="AP65" s="2" t="n">
        <v>1110.91775</v>
      </c>
      <c r="AQ65" s="2" t="n">
        <v>14062.25</v>
      </c>
      <c r="AR65" s="2" t="n">
        <v>2678.42</v>
      </c>
      <c r="AS65" s="2" t="n">
        <v>11804.28</v>
      </c>
      <c r="AT65" s="2" t="n">
        <v>704.53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94620.45999999999</v>
      </c>
      <c r="BB65" s="2" t="n">
        <v>78384.08</v>
      </c>
      <c r="BC65" s="2">
        <f>F65+L65+R65+X65+AD65+AJ65+AP65+AV65+IF(BE65="",0,BE65)</f>
        <v/>
      </c>
      <c r="BD65" s="2" t="n">
        <v>1207.114832</v>
      </c>
      <c r="BE65" s="2" t="n"/>
      <c r="BF65" s="2" t="n">
        <v>87611.53703703704</v>
      </c>
      <c r="BG65" s="2" t="n">
        <v>458.58</v>
      </c>
      <c r="BH65" s="2" t="n">
        <v>0</v>
      </c>
      <c r="BI65" s="2" t="n">
        <v>25931.19</v>
      </c>
      <c r="BJ65" s="2" t="n">
        <v>87.34537190082645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1058.18508</v>
      </c>
      <c r="BQ65" s="2" t="n">
        <v>0</v>
      </c>
      <c r="BR65" s="2" t="n">
        <v>27560.30045190082</v>
      </c>
      <c r="BS65" s="2" t="n">
        <v>812.479173553719</v>
      </c>
      <c r="BT65" s="2" t="n">
        <v>0</v>
      </c>
      <c r="BU65" s="2" t="n">
        <v>5462.918909090909</v>
      </c>
      <c r="BV65" s="2" t="n">
        <v>6275.398082644629</v>
      </c>
      <c r="BW65" s="2" t="n">
        <v>33835.69853454545</v>
      </c>
      <c r="BX65" s="2" t="n">
        <v>73586.78</v>
      </c>
      <c r="BY65" s="2" t="n">
        <v>4797.299999999999</v>
      </c>
      <c r="BZ65" s="2" t="n">
        <v>16236.38</v>
      </c>
      <c r="CA65" s="2" t="n">
        <v>78384.08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1241</v>
      </c>
      <c r="B66" t="inlineStr">
        <is>
          <t>Kolejowa 1, 62-510 Konin</t>
        </is>
      </c>
      <c r="C66" t="inlineStr">
        <is>
          <t>Konin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4043.76</v>
      </c>
      <c r="L66" s="2" t="n">
        <v>336.6055777777777</v>
      </c>
      <c r="M66" s="2" t="n">
        <v>3744.222222222222</v>
      </c>
      <c r="N66" s="2" t="n">
        <v>1378.3</v>
      </c>
      <c r="O66" s="2" t="n">
        <v>2393.6</v>
      </c>
      <c r="P66" s="2" t="n">
        <v>271.86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6364.77</v>
      </c>
      <c r="AD66" s="2" t="n">
        <v>406.6380833333333</v>
      </c>
      <c r="AE66" s="2" t="n">
        <v>5893.305555555555</v>
      </c>
      <c r="AF66" s="2" t="n">
        <v>1068.73</v>
      </c>
      <c r="AG66" s="2" t="n">
        <v>5099.99</v>
      </c>
      <c r="AH66" s="2" t="n">
        <v>196.05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2.79</v>
      </c>
      <c r="AP66" s="2" t="n">
        <v>0.2040833333333333</v>
      </c>
      <c r="AQ66" s="2" t="n">
        <v>2.583333333333333</v>
      </c>
      <c r="AR66" s="2" t="n">
        <v>2.79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10411.32</v>
      </c>
      <c r="BB66" s="2" t="n">
        <v>7961.5</v>
      </c>
      <c r="BC66" s="2">
        <f>F66+L66+R66+X66+AD66+AJ66+AP66+AV66+IF(BE66="",0,BE66)</f>
        <v/>
      </c>
      <c r="BD66" s="2" t="n">
        <v>122.6071</v>
      </c>
      <c r="BE66" s="2" t="n"/>
      <c r="BF66" s="2" t="n">
        <v>9640.111111111111</v>
      </c>
      <c r="BG66" s="2" t="n">
        <v>0</v>
      </c>
      <c r="BH66" s="2" t="n">
        <v>0</v>
      </c>
      <c r="BI66" s="2" t="n">
        <v>25931.19</v>
      </c>
      <c r="BJ66" s="2" t="n">
        <v>87.34537190082645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107.48025</v>
      </c>
      <c r="BQ66" s="2" t="n">
        <v>0</v>
      </c>
      <c r="BR66" s="2" t="n">
        <v>26151.01562190082</v>
      </c>
      <c r="BS66" s="2" t="n">
        <v>812.479173553719</v>
      </c>
      <c r="BT66" s="2" t="n">
        <v>0</v>
      </c>
      <c r="BU66" s="2" t="n">
        <v>5371.202909090909</v>
      </c>
      <c r="BV66" s="2" t="n">
        <v>6183.682082644628</v>
      </c>
      <c r="BW66" s="2" t="n">
        <v>32334.69770454545</v>
      </c>
      <c r="BX66" s="2" t="n">
        <v>7493.59</v>
      </c>
      <c r="BY66" s="2" t="n">
        <v>467.91</v>
      </c>
      <c r="BZ66" s="2" t="n">
        <v>2449.82</v>
      </c>
      <c r="CA66" s="2" t="n">
        <v>7961.5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1242</v>
      </c>
      <c r="B67" t="inlineStr">
        <is>
          <t>Dworcowa 1, 62-800 Kalisz</t>
        </is>
      </c>
      <c r="C67" t="inlineStr">
        <is>
          <t>Kalisz</t>
        </is>
      </c>
      <c r="D67" t="inlineStr">
        <is>
          <t>ST|40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9117.869999999999</v>
      </c>
      <c r="L67" s="2" t="n">
        <v>758.9782527777777</v>
      </c>
      <c r="M67" s="2" t="n">
        <v>8442.472222222221</v>
      </c>
      <c r="N67" s="2" t="n">
        <v>4275.06</v>
      </c>
      <c r="O67" s="2" t="n">
        <v>4578.33</v>
      </c>
      <c r="P67" s="2" t="n">
        <v>264.48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3044.84</v>
      </c>
      <c r="AD67" s="2" t="n">
        <v>194.5314444444444</v>
      </c>
      <c r="AE67" s="2" t="n">
        <v>2819.296296296296</v>
      </c>
      <c r="AF67" s="2" t="n">
        <v>852.9</v>
      </c>
      <c r="AG67" s="2" t="n">
        <v>1896.99</v>
      </c>
      <c r="AH67" s="2" t="n">
        <v>294.95</v>
      </c>
      <c r="AI67" s="2" t="n">
        <v>983.64</v>
      </c>
      <c r="AJ67" s="2" t="n">
        <v>68.30833333333332</v>
      </c>
      <c r="AK67" s="2" t="n">
        <v>910.7777777777777</v>
      </c>
      <c r="AL67" s="2" t="n">
        <v>360.79</v>
      </c>
      <c r="AM67" s="2" t="n">
        <v>570.25</v>
      </c>
      <c r="AN67" s="2" t="n">
        <v>52.6</v>
      </c>
      <c r="AO67" s="2" t="n">
        <v>7452.950000000001</v>
      </c>
      <c r="AP67" s="2" t="n">
        <v>545.1694907407407</v>
      </c>
      <c r="AQ67" s="2" t="n">
        <v>6900.87962962963</v>
      </c>
      <c r="AR67" s="2" t="n">
        <v>2018.23</v>
      </c>
      <c r="AS67" s="2" t="n">
        <v>5100.22</v>
      </c>
      <c r="AT67" s="2" t="n">
        <v>334.5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20599.3</v>
      </c>
      <c r="BB67" s="2" t="n">
        <v>13092.32</v>
      </c>
      <c r="BC67" s="2">
        <f>F67+L67+R67+X67+AD67+AJ67+AP67+AV67+IF(BE67="",0,BE67)</f>
        <v/>
      </c>
      <c r="BD67" s="2" t="n">
        <v>201.621728</v>
      </c>
      <c r="BE67" s="2" t="n"/>
      <c r="BF67" s="2" t="n">
        <v>19073.42592592592</v>
      </c>
      <c r="BG67" s="2" t="n">
        <v>538.7299999999999</v>
      </c>
      <c r="BH67" s="2" t="n">
        <v>0</v>
      </c>
      <c r="BI67" s="2" t="n">
        <v>25931.19</v>
      </c>
      <c r="BJ67" s="2" t="n">
        <v>87.34537190082645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176.74632</v>
      </c>
      <c r="BQ67" s="2" t="n">
        <v>0</v>
      </c>
      <c r="BR67" s="2" t="n">
        <v>26759.01169190082</v>
      </c>
      <c r="BS67" s="2" t="n">
        <v>812.479173553719</v>
      </c>
      <c r="BT67" s="2" t="n">
        <v>0</v>
      </c>
      <c r="BU67" s="2" t="n">
        <v>5478.948909090909</v>
      </c>
      <c r="BV67" s="2" t="n">
        <v>6291.428082644628</v>
      </c>
      <c r="BW67" s="2" t="n">
        <v>33050.43977454545</v>
      </c>
      <c r="BX67" s="2" t="n">
        <v>12145.79</v>
      </c>
      <c r="BY67" s="2" t="n">
        <v>946.5300000000001</v>
      </c>
      <c r="BZ67" s="2" t="n">
        <v>7506.98</v>
      </c>
      <c r="CA67" s="2" t="n">
        <v>13092.32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1243</v>
      </c>
      <c r="B68" t="inlineStr">
        <is>
          <t>Garbary 89, 61-757 Poznań</t>
        </is>
      </c>
      <c r="C68" t="inlineStr">
        <is>
          <t>Poznań Garbary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198.4</v>
      </c>
      <c r="L68" s="2" t="n">
        <v>16.51496296296297</v>
      </c>
      <c r="M68" s="2" t="n">
        <v>183.7037037037037</v>
      </c>
      <c r="N68" s="2" t="n">
        <v>0</v>
      </c>
      <c r="O68" s="2" t="n">
        <v>198.4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16182.49</v>
      </c>
      <c r="AD68" s="2" t="n">
        <v>1033.881305555556</v>
      </c>
      <c r="AE68" s="2" t="n">
        <v>14983.78703703704</v>
      </c>
      <c r="AF68" s="2" t="n">
        <v>2517.38</v>
      </c>
      <c r="AG68" s="2" t="n">
        <v>12658.84</v>
      </c>
      <c r="AH68" s="2" t="n">
        <v>1006.27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2487.05</v>
      </c>
      <c r="AP68" s="2" t="n">
        <v>181.9231018518518</v>
      </c>
      <c r="AQ68" s="2" t="n">
        <v>2302.824074074074</v>
      </c>
      <c r="AR68" s="2" t="n">
        <v>359.56</v>
      </c>
      <c r="AS68" s="2" t="n">
        <v>1999.03</v>
      </c>
      <c r="AT68" s="2" t="n">
        <v>128.46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18867.94</v>
      </c>
      <c r="BB68" s="2" t="n">
        <v>15991</v>
      </c>
      <c r="BC68" s="2">
        <f>F68+L68+R68+X68+AD68+AJ68+AP68+AV68+IF(BE68="",0,BE68)</f>
        <v/>
      </c>
      <c r="BD68" s="2" t="n">
        <v>246.2614</v>
      </c>
      <c r="BE68" s="2" t="n"/>
      <c r="BF68" s="2" t="n">
        <v>17470.31481481482</v>
      </c>
      <c r="BG68" s="2" t="n">
        <v>566.73</v>
      </c>
      <c r="BH68" s="2" t="n">
        <v>0</v>
      </c>
      <c r="BI68" s="2" t="n">
        <v>25931.19</v>
      </c>
      <c r="BJ68" s="2" t="n">
        <v>87.34537190082645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215.8785</v>
      </c>
      <c r="BQ68" s="2" t="n">
        <v>0</v>
      </c>
      <c r="BR68" s="2" t="n">
        <v>26826.14387190082</v>
      </c>
      <c r="BS68" s="2" t="n">
        <v>812.479173553719</v>
      </c>
      <c r="BT68" s="2" t="n">
        <v>0</v>
      </c>
      <c r="BU68" s="2" t="n">
        <v>5484.54890909091</v>
      </c>
      <c r="BV68" s="2" t="n">
        <v>6297.028082644629</v>
      </c>
      <c r="BW68" s="2" t="n">
        <v>33123.17195454545</v>
      </c>
      <c r="BX68" s="2" t="n">
        <v>14856.27</v>
      </c>
      <c r="BY68" s="2" t="n">
        <v>1134.73</v>
      </c>
      <c r="BZ68" s="2" t="n">
        <v>2876.94</v>
      </c>
      <c r="CA68" s="2" t="n">
        <v>15991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1244</v>
      </c>
      <c r="B69" t="inlineStr">
        <is>
          <t>Dworcowa 7, 62-200 Gniezno</t>
        </is>
      </c>
      <c r="C69" t="inlineStr">
        <is>
          <t>Gniezno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13864.76</v>
      </c>
      <c r="L69" s="2" t="n">
        <v>1154.112892592593</v>
      </c>
      <c r="M69" s="2" t="n">
        <v>12837.74074074074</v>
      </c>
      <c r="N69" s="2" t="n">
        <v>2631.44</v>
      </c>
      <c r="O69" s="2" t="n">
        <v>10670.23</v>
      </c>
      <c r="P69" s="2" t="n">
        <v>563.09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12569.53</v>
      </c>
      <c r="AD69" s="2" t="n">
        <v>803.0533055555557</v>
      </c>
      <c r="AE69" s="2" t="n">
        <v>11638.4537037037</v>
      </c>
      <c r="AF69" s="2" t="n">
        <v>3316.92</v>
      </c>
      <c r="AG69" s="2" t="n">
        <v>8825.58</v>
      </c>
      <c r="AH69" s="2" t="n">
        <v>427.03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5172.28</v>
      </c>
      <c r="AP69" s="2" t="n">
        <v>378.3427037037037</v>
      </c>
      <c r="AQ69" s="2" t="n">
        <v>4789.148148148148</v>
      </c>
      <c r="AR69" s="2" t="n">
        <v>1412.01</v>
      </c>
      <c r="AS69" s="2" t="n">
        <v>3574.33</v>
      </c>
      <c r="AT69" s="2" t="n">
        <v>185.94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31606.57</v>
      </c>
      <c r="BB69" s="2" t="n">
        <v>24246.2</v>
      </c>
      <c r="BC69" s="2">
        <f>F69+L69+R69+X69+AD69+AJ69+AP69+AV69+IF(BE69="",0,BE69)</f>
        <v/>
      </c>
      <c r="BD69" s="2" t="n">
        <v>373.3914800000001</v>
      </c>
      <c r="BE69" s="2" t="n"/>
      <c r="BF69" s="2" t="n">
        <v>29265.34259259259</v>
      </c>
      <c r="BG69" s="2" t="n">
        <v>0</v>
      </c>
      <c r="BH69" s="2" t="n">
        <v>0</v>
      </c>
      <c r="BI69" s="2" t="n">
        <v>25931.19</v>
      </c>
      <c r="BJ69" s="2" t="n">
        <v>87.34537190082645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327.3237</v>
      </c>
      <c r="BQ69" s="2" t="n">
        <v>0</v>
      </c>
      <c r="BR69" s="2" t="n">
        <v>26370.85907190082</v>
      </c>
      <c r="BS69" s="2" t="n">
        <v>812.479173553719</v>
      </c>
      <c r="BT69" s="2" t="n">
        <v>0</v>
      </c>
      <c r="BU69" s="2" t="n">
        <v>5371.202909090909</v>
      </c>
      <c r="BV69" s="2" t="n">
        <v>6183.682082644628</v>
      </c>
      <c r="BW69" s="2" t="n">
        <v>32554.54115454545</v>
      </c>
      <c r="BX69" s="2" t="n">
        <v>23070.14</v>
      </c>
      <c r="BY69" s="2" t="n">
        <v>1176.06</v>
      </c>
      <c r="BZ69" s="2" t="n">
        <v>7360.370000000001</v>
      </c>
      <c r="CA69" s="2" t="n">
        <v>24246.2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1245</v>
      </c>
      <c r="B70" t="inlineStr">
        <is>
          <t>Plac Dworcowy 1, 80-321 Gdańsk</t>
        </is>
      </c>
      <c r="C70" t="inlineStr">
        <is>
          <t>Gdańsk Oliwa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3426.61</v>
      </c>
      <c r="L70" s="2" t="n">
        <v>285.2335546296296</v>
      </c>
      <c r="M70" s="2" t="n">
        <v>3172.787037037036</v>
      </c>
      <c r="N70" s="2" t="n">
        <v>1214.86</v>
      </c>
      <c r="O70" s="2" t="n">
        <v>2182.75</v>
      </c>
      <c r="P70" s="2" t="n">
        <v>29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4418.49</v>
      </c>
      <c r="AP70" s="2" t="n">
        <v>323.2043611111111</v>
      </c>
      <c r="AQ70" s="2" t="n">
        <v>4091.194444444444</v>
      </c>
      <c r="AR70" s="2" t="n">
        <v>1026.52</v>
      </c>
      <c r="AS70" s="2" t="n">
        <v>3298.14</v>
      </c>
      <c r="AT70" s="2" t="n">
        <v>93.83</v>
      </c>
      <c r="AU70" s="2" t="n">
        <v>828.6500000000001</v>
      </c>
      <c r="AV70" s="2" t="n">
        <v>23.01805555555556</v>
      </c>
      <c r="AW70" s="2" t="n">
        <v>767.2685185185186</v>
      </c>
      <c r="AX70" s="2" t="n">
        <v>181.95</v>
      </c>
      <c r="AY70" s="2" t="n">
        <v>605.5</v>
      </c>
      <c r="AZ70" s="2" t="n">
        <v>41.2</v>
      </c>
      <c r="BA70" s="2" t="n">
        <v>8673.75</v>
      </c>
      <c r="BB70" s="2" t="n">
        <v>6250.419999999999</v>
      </c>
      <c r="BC70" s="2">
        <f>F70+L70+R70+X70+AD70+AJ70+AP70+AV70+IF(BE70="",0,BE70)</f>
        <v/>
      </c>
      <c r="BD70" s="2" t="n">
        <v>96.256468</v>
      </c>
      <c r="BE70" s="2" t="n"/>
      <c r="BF70" s="2" t="n">
        <v>8031.249999999998</v>
      </c>
      <c r="BG70" s="2" t="n">
        <v>0</v>
      </c>
      <c r="BH70" s="2" t="n">
        <v>0</v>
      </c>
      <c r="BI70" s="2" t="n">
        <v>25931.19</v>
      </c>
      <c r="BJ70" s="2" t="n">
        <v>87.34537190082645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84.38066999999999</v>
      </c>
      <c r="BQ70" s="2" t="n">
        <v>0</v>
      </c>
      <c r="BR70" s="2" t="n">
        <v>26127.91604190082</v>
      </c>
      <c r="BS70" s="2" t="n">
        <v>812.479173553719</v>
      </c>
      <c r="BT70" s="2" t="n">
        <v>0</v>
      </c>
      <c r="BU70" s="2" t="n">
        <v>5371.202909090909</v>
      </c>
      <c r="BV70" s="2" t="n">
        <v>6183.682082644628</v>
      </c>
      <c r="BW70" s="2" t="n">
        <v>32311.59812454545</v>
      </c>
      <c r="BX70" s="2" t="n">
        <v>6086.389999999999</v>
      </c>
      <c r="BY70" s="2" t="n">
        <v>164.03</v>
      </c>
      <c r="BZ70" s="2" t="n">
        <v>2423.33</v>
      </c>
      <c r="CA70" s="2" t="n">
        <v>6250.419999999999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1246</v>
      </c>
      <c r="B71" t="inlineStr">
        <is>
          <t>Dworcowa 1, 63-400 Ostrów Wlkp.</t>
        </is>
      </c>
      <c r="C71" t="inlineStr">
        <is>
          <t>Ostrów Wielkopolski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4683.3</v>
      </c>
      <c r="L71" s="2" t="n">
        <v>389.8413611111111</v>
      </c>
      <c r="M71" s="2" t="n">
        <v>4336.388888888889</v>
      </c>
      <c r="N71" s="2" t="n">
        <v>1247.51</v>
      </c>
      <c r="O71" s="2" t="n">
        <v>3272.62</v>
      </c>
      <c r="P71" s="2" t="n">
        <v>163.17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7424.290000000001</v>
      </c>
      <c r="AD71" s="2" t="n">
        <v>474.329638888889</v>
      </c>
      <c r="AE71" s="2" t="n">
        <v>6874.342592592593</v>
      </c>
      <c r="AF71" s="2" t="n">
        <v>2472.09</v>
      </c>
      <c r="AG71" s="2" t="n">
        <v>4913.02</v>
      </c>
      <c r="AH71" s="2" t="n">
        <v>39.18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8475.619999999999</v>
      </c>
      <c r="AP71" s="2" t="n">
        <v>619.9759074074072</v>
      </c>
      <c r="AQ71" s="2" t="n">
        <v>7847.796296296295</v>
      </c>
      <c r="AR71" s="2" t="n">
        <v>2301.63</v>
      </c>
      <c r="AS71" s="2" t="n">
        <v>5949.51</v>
      </c>
      <c r="AT71" s="2" t="n">
        <v>224.48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20583.21</v>
      </c>
      <c r="BB71" s="2" t="n">
        <v>14561.98</v>
      </c>
      <c r="BC71" s="2">
        <f>F71+L71+R71+X71+AD71+AJ71+AP71+AV71+IF(BE71="",0,BE71)</f>
        <v/>
      </c>
      <c r="BD71" s="2" t="n">
        <v>224.254492</v>
      </c>
      <c r="BE71" s="2" t="n"/>
      <c r="BF71" s="2" t="n">
        <v>19058.52777777778</v>
      </c>
      <c r="BG71" s="2" t="n">
        <v>0</v>
      </c>
      <c r="BH71" s="2" t="n">
        <v>0</v>
      </c>
      <c r="BI71" s="2" t="n">
        <v>25931.19</v>
      </c>
      <c r="BJ71" s="2" t="n">
        <v>87.34537190082645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196.58673</v>
      </c>
      <c r="BQ71" s="2" t="n">
        <v>0</v>
      </c>
      <c r="BR71" s="2" t="n">
        <v>26240.12210190082</v>
      </c>
      <c r="BS71" s="2" t="n">
        <v>812.479173553719</v>
      </c>
      <c r="BT71" s="2" t="n">
        <v>0</v>
      </c>
      <c r="BU71" s="2" t="n">
        <v>5371.202909090909</v>
      </c>
      <c r="BV71" s="2" t="n">
        <v>6183.682082644628</v>
      </c>
      <c r="BW71" s="2" t="n">
        <v>32423.80418454545</v>
      </c>
      <c r="BX71" s="2" t="n">
        <v>14135.15</v>
      </c>
      <c r="BY71" s="2" t="n">
        <v>426.83</v>
      </c>
      <c r="BZ71" s="2" t="n">
        <v>6021.23</v>
      </c>
      <c r="CA71" s="2" t="n">
        <v>14561.98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1247</v>
      </c>
      <c r="B72" t="inlineStr">
        <is>
          <t>Kujawska 1, 87-100 Toruń</t>
        </is>
      </c>
      <c r="C72" t="inlineStr">
        <is>
          <t>Toruń</t>
        </is>
      </c>
      <c r="D72" t="inlineStr">
        <is>
          <t>FAA2000</t>
        </is>
      </c>
      <c r="E72" s="2" t="n">
        <v>1050.38</v>
      </c>
      <c r="F72" s="2" t="n">
        <v>1000</v>
      </c>
      <c r="G72" s="2" t="n">
        <v>972.5740740740741</v>
      </c>
      <c r="H72" s="2" t="n">
        <v>264.54</v>
      </c>
      <c r="I72" s="2" t="n">
        <v>785.84</v>
      </c>
      <c r="J72" s="2" t="n">
        <v>0</v>
      </c>
      <c r="K72" s="2" t="n">
        <v>4262.25</v>
      </c>
      <c r="L72" s="2" t="n">
        <v>354.7928472222222</v>
      </c>
      <c r="M72" s="2" t="n">
        <v>3946.527777777777</v>
      </c>
      <c r="N72" s="2" t="n">
        <v>1355.16</v>
      </c>
      <c r="O72" s="2" t="n">
        <v>2907.09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6362.75</v>
      </c>
      <c r="AP72" s="2" t="n">
        <v>465.4233796296297</v>
      </c>
      <c r="AQ72" s="2" t="n">
        <v>5891.435185185185</v>
      </c>
      <c r="AR72" s="2" t="n">
        <v>2321.19</v>
      </c>
      <c r="AS72" s="2" t="n">
        <v>4041.56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11675.38</v>
      </c>
      <c r="BB72" s="2" t="n">
        <v>7734.49</v>
      </c>
      <c r="BC72" s="2">
        <f>F72+L72+R72+X72+AD72+AJ72+AP72+AV72+IF(BE72="",0,BE72)</f>
        <v/>
      </c>
      <c r="BD72" s="2" t="n">
        <v>119.111146</v>
      </c>
      <c r="BE72" s="2" t="n"/>
      <c r="BF72" s="2" t="n">
        <v>10810.53703703704</v>
      </c>
      <c r="BG72" s="2" t="n">
        <v>522.53</v>
      </c>
      <c r="BH72" s="2" t="n">
        <v>0</v>
      </c>
      <c r="BI72" s="2" t="n">
        <v>25931.19</v>
      </c>
      <c r="BJ72" s="2" t="n">
        <v>87.34537190082645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104.415615</v>
      </c>
      <c r="BQ72" s="2" t="n">
        <v>0</v>
      </c>
      <c r="BR72" s="2" t="n">
        <v>26670.48098690082</v>
      </c>
      <c r="BS72" s="2" t="n">
        <v>812.479173553719</v>
      </c>
      <c r="BT72" s="2" t="n">
        <v>0</v>
      </c>
      <c r="BU72" s="2" t="n">
        <v>5475.708909090909</v>
      </c>
      <c r="BV72" s="2" t="n">
        <v>6288.188082644629</v>
      </c>
      <c r="BW72" s="2" t="n">
        <v>32958.66906954545</v>
      </c>
      <c r="BX72" s="2" t="n">
        <v>7734.49</v>
      </c>
      <c r="BY72" s="2" t="n">
        <v>0</v>
      </c>
      <c r="BZ72" s="2" t="n">
        <v>3940.89</v>
      </c>
      <c r="CA72" s="2" t="n">
        <v>7734.49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1248</v>
      </c>
      <c r="B73" t="inlineStr">
        <is>
          <t>Piotrkow Trybunalski</t>
        </is>
      </c>
      <c r="C73" t="inlineStr"/>
      <c r="D73" t="inlineStr"/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2991.33</v>
      </c>
      <c r="L73" s="2" t="n">
        <v>249.000525</v>
      </c>
      <c r="M73" s="2" t="n">
        <v>2769.75</v>
      </c>
      <c r="N73" s="2" t="n">
        <v>954.24</v>
      </c>
      <c r="O73" s="2" t="n">
        <v>1946.09</v>
      </c>
      <c r="P73" s="2" t="n">
        <v>91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2887.79</v>
      </c>
      <c r="AJ73" s="2" t="n">
        <v>0</v>
      </c>
      <c r="AK73" s="2" t="n">
        <v>2673.87962962963</v>
      </c>
      <c r="AL73" s="2" t="n">
        <v>1134.73</v>
      </c>
      <c r="AM73" s="2" t="n">
        <v>1480.96</v>
      </c>
      <c r="AN73" s="2" t="n">
        <v>272.1</v>
      </c>
      <c r="AO73" s="2" t="n">
        <v>2382.32</v>
      </c>
      <c r="AP73" s="2" t="n">
        <v>174.2622962962963</v>
      </c>
      <c r="AQ73" s="2" t="n">
        <v>2205.851851851852</v>
      </c>
      <c r="AR73" s="2" t="n">
        <v>693.87</v>
      </c>
      <c r="AS73" s="2" t="n">
        <v>1561.15</v>
      </c>
      <c r="AT73" s="2" t="n">
        <v>127.3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8261.440000000001</v>
      </c>
      <c r="BB73" s="2" t="n">
        <v>5478.599999999999</v>
      </c>
      <c r="BC73" s="2">
        <f>F73+L73+R73+X73+AD73+AJ73+AP73+AV73+IF(BE73="",0,BE73)</f>
        <v/>
      </c>
      <c r="BD73" s="2" t="n">
        <v>84.37044</v>
      </c>
      <c r="BE73" s="2" t="n"/>
      <c r="BF73" s="2" t="n">
        <v>7649.481481481482</v>
      </c>
      <c r="BG73" s="2" t="n">
        <v>553.98</v>
      </c>
      <c r="BH73" s="2" t="n">
        <v>0</v>
      </c>
      <c r="BI73" s="2" t="n">
        <v>25931.19</v>
      </c>
      <c r="BJ73" s="2" t="n">
        <v>87.34537190082645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73.96109999999999</v>
      </c>
      <c r="BQ73" s="2" t="n">
        <v>0</v>
      </c>
      <c r="BR73" s="2" t="n">
        <v>26671.47647190082</v>
      </c>
      <c r="BS73" s="2" t="n">
        <v>812.479173553719</v>
      </c>
      <c r="BT73" s="2" t="n">
        <v>0</v>
      </c>
      <c r="BU73" s="2" t="n">
        <v>5481.998909090909</v>
      </c>
      <c r="BV73" s="2" t="n">
        <v>6294.478082644629</v>
      </c>
      <c r="BW73" s="2" t="n">
        <v>32965.95455454545</v>
      </c>
      <c r="BX73" s="2" t="n">
        <v>4988.200000000001</v>
      </c>
      <c r="BY73" s="2" t="n">
        <v>490.4</v>
      </c>
      <c r="BZ73" s="2" t="n">
        <v>2782.84</v>
      </c>
      <c r="CA73" s="2" t="n">
        <v>5478.6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2007.35</v>
      </c>
      <c r="L74" s="2" t="n">
        <v>167.0933009259259</v>
      </c>
      <c r="M74" s="2" t="n">
        <v>1858.657407407407</v>
      </c>
      <c r="N74" s="2" t="n">
        <v>434.72</v>
      </c>
      <c r="O74" s="2" t="n">
        <v>1476.71</v>
      </c>
      <c r="P74" s="2" t="n">
        <v>95.92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4142.02</v>
      </c>
      <c r="AP74" s="2" t="n">
        <v>302.9810925925925</v>
      </c>
      <c r="AQ74" s="2" t="n">
        <v>3835.203703703703</v>
      </c>
      <c r="AR74" s="2" t="n">
        <v>1248.22</v>
      </c>
      <c r="AS74" s="2" t="n">
        <v>2500.02</v>
      </c>
      <c r="AT74" s="2" t="n">
        <v>393.78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6149.37</v>
      </c>
      <c r="BB74" s="2" t="n">
        <v>4466.43</v>
      </c>
      <c r="BC74" s="2">
        <f>F74+L74+R74+X74+AD74+AJ74+AP74+AV74+IF(BE74="",0,BE74)</f>
        <v/>
      </c>
      <c r="BD74" s="2" t="n">
        <v>68.783022</v>
      </c>
      <c r="BE74" s="2" t="n"/>
      <c r="BF74" s="2" t="n">
        <v>5693.86111111111</v>
      </c>
      <c r="BG74" s="2" t="n">
        <v>670.63</v>
      </c>
      <c r="BH74" s="2" t="n">
        <v>0</v>
      </c>
      <c r="BI74" s="2" t="n">
        <v>25931.19</v>
      </c>
      <c r="BJ74" s="2" t="n">
        <v>87.34537190082645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60.29680500000001</v>
      </c>
      <c r="BQ74" s="2" t="n">
        <v>0</v>
      </c>
      <c r="BR74" s="2" t="n">
        <v>26774.46217690083</v>
      </c>
      <c r="BS74" s="2" t="n">
        <v>812.479173553719</v>
      </c>
      <c r="BT74" s="2" t="n">
        <v>0</v>
      </c>
      <c r="BU74" s="2" t="n">
        <v>5505.328909090909</v>
      </c>
      <c r="BV74" s="2" t="n">
        <v>6317.808082644628</v>
      </c>
      <c r="BW74" s="2" t="n">
        <v>33092.27025954545</v>
      </c>
      <c r="BX74" s="2" t="n">
        <v>3976.73</v>
      </c>
      <c r="BY74" s="2" t="n">
        <v>489.7</v>
      </c>
      <c r="BZ74" s="2" t="n">
        <v>1682.94</v>
      </c>
      <c r="CA74" s="2" t="n">
        <v>4466.43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1250</v>
      </c>
      <c r="B75" t="inlineStr">
        <is>
          <t>Radomsko</t>
        </is>
      </c>
      <c r="C75" t="inlineStr">
        <is>
          <t>Karpacz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2351.09</v>
      </c>
      <c r="L75" s="2" t="n">
        <v>195.7064731481482</v>
      </c>
      <c r="M75" s="2" t="n">
        <v>2176.935185185185</v>
      </c>
      <c r="N75" s="2" t="n">
        <v>911.77</v>
      </c>
      <c r="O75" s="2" t="n">
        <v>1317.32</v>
      </c>
      <c r="P75" s="2" t="n">
        <v>122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1256.51</v>
      </c>
      <c r="AJ75" s="2" t="n">
        <v>0</v>
      </c>
      <c r="AK75" s="2" t="n">
        <v>1163.435185185185</v>
      </c>
      <c r="AL75" s="2" t="n">
        <v>401.98</v>
      </c>
      <c r="AM75" s="2" t="n">
        <v>785.63</v>
      </c>
      <c r="AN75" s="2" t="n">
        <v>68.90000000000001</v>
      </c>
      <c r="AO75" s="2" t="n">
        <v>2083.91</v>
      </c>
      <c r="AP75" s="2" t="n">
        <v>152.4341574074074</v>
      </c>
      <c r="AQ75" s="2" t="n">
        <v>1929.546296296296</v>
      </c>
      <c r="AR75" s="2" t="n">
        <v>695.4299999999999</v>
      </c>
      <c r="AS75" s="2" t="n">
        <v>1257.54</v>
      </c>
      <c r="AT75" s="2" t="n">
        <v>130.94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5691.51</v>
      </c>
      <c r="BB75" s="2" t="n">
        <v>3682.33</v>
      </c>
      <c r="BC75" s="2">
        <f>F75+L75+R75+X75+AD75+AJ75+AP75+AV75+IF(BE75="",0,BE75)</f>
        <v/>
      </c>
      <c r="BD75" s="2" t="n">
        <v>56.707882</v>
      </c>
      <c r="BE75" s="2" t="n"/>
      <c r="BF75" s="2" t="n">
        <v>5269.916666666666</v>
      </c>
      <c r="BG75" s="2" t="n">
        <v>736.6799999999999</v>
      </c>
      <c r="BH75" s="2" t="n">
        <v>0</v>
      </c>
      <c r="BI75" s="2" t="n">
        <v>25931.19</v>
      </c>
      <c r="BJ75" s="2" t="n">
        <v>87.34537190082645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49.711455</v>
      </c>
      <c r="BQ75" s="2" t="n">
        <v>0</v>
      </c>
      <c r="BR75" s="2" t="n">
        <v>26829.92682690082</v>
      </c>
      <c r="BS75" s="2" t="n">
        <v>812.479173553719</v>
      </c>
      <c r="BT75" s="2" t="n">
        <v>0</v>
      </c>
      <c r="BU75" s="2" t="n">
        <v>5518.538909090908</v>
      </c>
      <c r="BV75" s="2" t="n">
        <v>6331.018082644628</v>
      </c>
      <c r="BW75" s="2" t="n">
        <v>33160.94490954545</v>
      </c>
      <c r="BX75" s="2" t="n">
        <v>3360.49</v>
      </c>
      <c r="BY75" s="2" t="n">
        <v>321.84</v>
      </c>
      <c r="BZ75" s="2" t="n">
        <v>2009.18</v>
      </c>
      <c r="CA75" s="2" t="n">
        <v>3682.33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1251</v>
      </c>
      <c r="B76" t="inlineStr">
        <is>
          <t>Kielce</t>
        </is>
      </c>
      <c r="C76" t="inlineStr"/>
      <c r="D76" t="inlineStr"/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10135.85</v>
      </c>
      <c r="L76" s="2" t="n">
        <v>843.7156620370371</v>
      </c>
      <c r="M76" s="2" t="n">
        <v>9385.046296296296</v>
      </c>
      <c r="N76" s="2" t="n">
        <v>2908.13</v>
      </c>
      <c r="O76" s="2" t="n">
        <v>6921.21</v>
      </c>
      <c r="P76" s="2" t="n">
        <v>306.51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9107.59</v>
      </c>
      <c r="AP76" s="2" t="n">
        <v>666.2033425925925</v>
      </c>
      <c r="AQ76" s="2" t="n">
        <v>8432.953703703703</v>
      </c>
      <c r="AR76" s="2" t="n">
        <v>2819.65</v>
      </c>
      <c r="AS76" s="2" t="n">
        <v>5980.58</v>
      </c>
      <c r="AT76" s="2" t="n">
        <v>307.36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19243.44</v>
      </c>
      <c r="BB76" s="2" t="n">
        <v>13515.66</v>
      </c>
      <c r="BC76" s="2">
        <f>F76+L76+R76+X76+AD76+AJ76+AP76+AV76+IF(BE76="",0,BE76)</f>
        <v/>
      </c>
      <c r="BD76" s="2" t="n">
        <v>208.141164</v>
      </c>
      <c r="BE76" s="2" t="n"/>
      <c r="BF76" s="2" t="n">
        <v>17818</v>
      </c>
      <c r="BG76" s="2" t="n">
        <v>500</v>
      </c>
      <c r="BH76" s="2" t="n">
        <v>0</v>
      </c>
      <c r="BI76" s="2" t="n">
        <v>25931.19</v>
      </c>
      <c r="BJ76" s="2" t="n">
        <v>87.34537190082645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182.46141</v>
      </c>
      <c r="BQ76" s="2" t="n">
        <v>0</v>
      </c>
      <c r="BR76" s="2" t="n">
        <v>26725.99678190082</v>
      </c>
      <c r="BS76" s="2" t="n">
        <v>812.479173553719</v>
      </c>
      <c r="BT76" s="2" t="n">
        <v>0</v>
      </c>
      <c r="BU76" s="2" t="n">
        <v>5471.202909090909</v>
      </c>
      <c r="BV76" s="2" t="n">
        <v>6283.682082644628</v>
      </c>
      <c r="BW76" s="2" t="n">
        <v>33009.67886454545</v>
      </c>
      <c r="BX76" s="2" t="n">
        <v>12901.79</v>
      </c>
      <c r="BY76" s="2" t="n">
        <v>613.87</v>
      </c>
      <c r="BZ76" s="2" t="n">
        <v>5727.780000000001</v>
      </c>
      <c r="CA76" s="2" t="n">
        <v>13515.66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7837.27</v>
      </c>
      <c r="L77" s="2" t="n">
        <v>652.3801601851852</v>
      </c>
      <c r="M77" s="2" t="n">
        <v>7256.731481481481</v>
      </c>
      <c r="N77" s="2" t="n">
        <v>2202.21</v>
      </c>
      <c r="O77" s="2" t="n">
        <v>5417.66</v>
      </c>
      <c r="P77" s="2" t="n">
        <v>217.4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9285.969999999999</v>
      </c>
      <c r="AP77" s="2" t="n">
        <v>679.2515092592591</v>
      </c>
      <c r="AQ77" s="2" t="n">
        <v>8598.120370370369</v>
      </c>
      <c r="AR77" s="2" t="n">
        <v>2993.22</v>
      </c>
      <c r="AS77" s="2" t="n">
        <v>6091.33</v>
      </c>
      <c r="AT77" s="2" t="n">
        <v>201.42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17123.24</v>
      </c>
      <c r="BB77" s="2" t="n">
        <v>11927.81</v>
      </c>
      <c r="BC77" s="2">
        <f>F77+L77+R77+X77+AD77+AJ77+AP77+AV77+IF(BE77="",0,BE77)</f>
        <v/>
      </c>
      <c r="BD77" s="2" t="n">
        <v>183.688274</v>
      </c>
      <c r="BE77" s="2" t="n"/>
      <c r="BF77" s="2" t="n">
        <v>15854.85185185185</v>
      </c>
      <c r="BG77" s="2" t="n">
        <v>228</v>
      </c>
      <c r="BH77" s="2" t="n">
        <v>0</v>
      </c>
      <c r="BI77" s="2" t="n">
        <v>25931.19</v>
      </c>
      <c r="BJ77" s="2" t="n">
        <v>87.34537190082645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161.025435</v>
      </c>
      <c r="BQ77" s="2" t="n">
        <v>0</v>
      </c>
      <c r="BR77" s="2" t="n">
        <v>26432.56080690082</v>
      </c>
      <c r="BS77" s="2" t="n">
        <v>812.479173553719</v>
      </c>
      <c r="BT77" s="2" t="n">
        <v>0</v>
      </c>
      <c r="BU77" s="2" t="n">
        <v>5416.802909090909</v>
      </c>
      <c r="BV77" s="2" t="n">
        <v>6229.282082644628</v>
      </c>
      <c r="BW77" s="2" t="n">
        <v>32661.84288954545</v>
      </c>
      <c r="BX77" s="2" t="n">
        <v>11508.99</v>
      </c>
      <c r="BY77" s="2" t="n">
        <v>418.82</v>
      </c>
      <c r="BZ77" s="2" t="n">
        <v>5195.43</v>
      </c>
      <c r="CA77" s="2" t="n">
        <v>11927.81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1253</v>
      </c>
      <c r="B78" t="inlineStr">
        <is>
          <t>Opole</t>
        </is>
      </c>
      <c r="C78" t="inlineStr"/>
      <c r="D78" t="inlineStr"/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3938.65</v>
      </c>
      <c r="L78" s="2" t="n">
        <v>327.8561435185185</v>
      </c>
      <c r="M78" s="2" t="n">
        <v>3646.898148148147</v>
      </c>
      <c r="N78" s="2" t="n">
        <v>1105.74</v>
      </c>
      <c r="O78" s="2" t="n">
        <v>2736.5</v>
      </c>
      <c r="P78" s="2" t="n">
        <v>96.41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5233.02</v>
      </c>
      <c r="AP78" s="2" t="n">
        <v>382.7857222222222</v>
      </c>
      <c r="AQ78" s="2" t="n">
        <v>4845.388888888889</v>
      </c>
      <c r="AR78" s="2" t="n">
        <v>1602.8</v>
      </c>
      <c r="AS78" s="2" t="n">
        <v>3457.62</v>
      </c>
      <c r="AT78" s="2" t="n">
        <v>172.6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9171.67</v>
      </c>
      <c r="BB78" s="2" t="n">
        <v>6463.129999999999</v>
      </c>
      <c r="BC78" s="2">
        <f>F78+L78+R78+X78+AD78+AJ78+AP78+AV78+IF(BE78="",0,BE78)</f>
        <v/>
      </c>
      <c r="BD78" s="2" t="n">
        <v>99.532202</v>
      </c>
      <c r="BE78" s="2" t="n"/>
      <c r="BF78" s="2" t="n">
        <v>8492.287037037036</v>
      </c>
      <c r="BG78" s="2" t="n">
        <v>0</v>
      </c>
      <c r="BH78" s="2" t="n">
        <v>0</v>
      </c>
      <c r="BI78" s="2" t="n">
        <v>25931.19</v>
      </c>
      <c r="BJ78" s="2" t="n">
        <v>87.34537190082645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87.25225499999999</v>
      </c>
      <c r="BQ78" s="2" t="n">
        <v>0</v>
      </c>
      <c r="BR78" s="2" t="n">
        <v>26130.78762690082</v>
      </c>
      <c r="BS78" s="2" t="n">
        <v>812.479173553719</v>
      </c>
      <c r="BT78" s="2" t="n">
        <v>0</v>
      </c>
      <c r="BU78" s="2" t="n">
        <v>5371.202909090909</v>
      </c>
      <c r="BV78" s="2" t="n">
        <v>6183.682082644628</v>
      </c>
      <c r="BW78" s="2" t="n">
        <v>32314.46970954545</v>
      </c>
      <c r="BX78" s="2" t="n">
        <v>6194.12</v>
      </c>
      <c r="BY78" s="2" t="n">
        <v>269.01</v>
      </c>
      <c r="BZ78" s="2" t="n">
        <v>2708.54</v>
      </c>
      <c r="CA78" s="2" t="n">
        <v>6463.13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1254</v>
      </c>
      <c r="B79" t="inlineStr">
        <is>
          <t>Stacyjna 5, 53-600 Wrocław</t>
        </is>
      </c>
      <c r="C79" t="inlineStr">
        <is>
          <t>Wrocław Mikołajów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3251.26</v>
      </c>
      <c r="L79" s="2" t="n">
        <v>270.6372907407408</v>
      </c>
      <c r="M79" s="2" t="n">
        <v>3010.425925925926</v>
      </c>
      <c r="N79" s="2" t="n">
        <v>738.5599999999999</v>
      </c>
      <c r="O79" s="2" t="n">
        <v>2403.7</v>
      </c>
      <c r="P79" s="2" t="n">
        <v>109</v>
      </c>
      <c r="Q79" s="2" t="n">
        <v>10846.59</v>
      </c>
      <c r="R79" s="2" t="n">
        <v>1600</v>
      </c>
      <c r="S79" s="2" t="n">
        <v>10043.13888888889</v>
      </c>
      <c r="T79" s="2" t="n">
        <v>2249.49</v>
      </c>
      <c r="U79" s="2" t="n">
        <v>8092.8</v>
      </c>
      <c r="V79" s="2" t="n">
        <v>504.3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8098.93</v>
      </c>
      <c r="AP79" s="2" t="n">
        <v>592.4217314814815</v>
      </c>
      <c r="AQ79" s="2" t="n">
        <v>7499.009259259259</v>
      </c>
      <c r="AR79" s="2" t="n">
        <v>2005.26</v>
      </c>
      <c r="AS79" s="2" t="n">
        <v>5801.27</v>
      </c>
      <c r="AT79" s="2" t="n">
        <v>292.4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22196.78</v>
      </c>
      <c r="BB79" s="2" t="n">
        <v>17203.47</v>
      </c>
      <c r="BC79" s="2">
        <f>F79+L79+R79+X79+AD79+AJ79+AP79+AV79+IF(BE79="",0,BE79)</f>
        <v/>
      </c>
      <c r="BD79" s="2" t="n">
        <v>264.933438</v>
      </c>
      <c r="BE79" s="2" t="n"/>
      <c r="BF79" s="2" t="n">
        <v>20552.57407407407</v>
      </c>
      <c r="BG79" s="2" t="n">
        <v>0</v>
      </c>
      <c r="BH79" s="2" t="n">
        <v>0</v>
      </c>
      <c r="BI79" s="2" t="n">
        <v>25931.19</v>
      </c>
      <c r="BJ79" s="2" t="n">
        <v>87.34537190082645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232.246845</v>
      </c>
      <c r="BQ79" s="2" t="n">
        <v>0</v>
      </c>
      <c r="BR79" s="2" t="n">
        <v>26275.78221690083</v>
      </c>
      <c r="BS79" s="2" t="n">
        <v>812.479173553719</v>
      </c>
      <c r="BT79" s="2" t="n">
        <v>0</v>
      </c>
      <c r="BU79" s="2" t="n">
        <v>5371.202909090909</v>
      </c>
      <c r="BV79" s="2" t="n">
        <v>6183.682082644628</v>
      </c>
      <c r="BW79" s="2" t="n">
        <v>32459.46429954545</v>
      </c>
      <c r="BX79" s="2" t="n">
        <v>16297.77</v>
      </c>
      <c r="BY79" s="2" t="n">
        <v>905.6999999999999</v>
      </c>
      <c r="BZ79" s="2" t="n">
        <v>4993.309999999999</v>
      </c>
      <c r="CA79" s="2" t="n">
        <v>17203.47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1255</v>
      </c>
      <c r="B80" t="inlineStr">
        <is>
          <t>Zabrze</t>
        </is>
      </c>
      <c r="C80" t="inlineStr"/>
      <c r="D80" t="inlineStr"/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4344.18</v>
      </c>
      <c r="L80" s="2" t="n">
        <v>361.6127611111111</v>
      </c>
      <c r="M80" s="2" t="n">
        <v>4022.388888888889</v>
      </c>
      <c r="N80" s="2" t="n">
        <v>958.73</v>
      </c>
      <c r="O80" s="2" t="n">
        <v>3285.62</v>
      </c>
      <c r="P80" s="2" t="n">
        <v>99.83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4344.18</v>
      </c>
      <c r="BB80" s="2" t="n">
        <v>3385.45</v>
      </c>
      <c r="BC80" s="2">
        <f>F80+L80+R80+X80+AD80+AJ80+AP80+AV80+IF(BE80="",0,BE80)</f>
        <v/>
      </c>
      <c r="BD80" s="2" t="n">
        <v>52.13593</v>
      </c>
      <c r="BE80" s="2" t="n"/>
      <c r="BF80" s="2" t="n">
        <v>4022.388888888889</v>
      </c>
      <c r="BG80" s="2" t="n">
        <v>141.2</v>
      </c>
      <c r="BH80" s="2" t="n">
        <v>0</v>
      </c>
      <c r="BI80" s="2" t="n">
        <v>25931.19</v>
      </c>
      <c r="BJ80" s="2" t="n">
        <v>87.34537190082645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45.70357499999999</v>
      </c>
      <c r="BQ80" s="2" t="n">
        <v>0</v>
      </c>
      <c r="BR80" s="2" t="n">
        <v>26230.43894690082</v>
      </c>
      <c r="BS80" s="2" t="n">
        <v>812.479173553719</v>
      </c>
      <c r="BT80" s="2" t="n">
        <v>0</v>
      </c>
      <c r="BU80" s="2" t="n">
        <v>5399.442909090909</v>
      </c>
      <c r="BV80" s="2" t="n">
        <v>6211.922082644628</v>
      </c>
      <c r="BW80" s="2" t="n">
        <v>32442.36102954545</v>
      </c>
      <c r="BX80" s="2" t="n">
        <v>3285.62</v>
      </c>
      <c r="BY80" s="2" t="n">
        <v>99.83</v>
      </c>
      <c r="BZ80" s="2" t="n">
        <v>958.73</v>
      </c>
      <c r="CA80" s="2" t="n">
        <v>3385.45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1256</v>
      </c>
      <c r="B81" t="inlineStr">
        <is>
          <t>Dworcowa 2, 61-801 Poznań</t>
        </is>
      </c>
      <c r="C81" t="inlineStr">
        <is>
          <t>Poznań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1640.62</v>
      </c>
      <c r="L81" s="2" t="n">
        <v>136.5664240740741</v>
      </c>
      <c r="M81" s="2" t="n">
        <v>1519.092592592592</v>
      </c>
      <c r="N81" s="2" t="n">
        <v>495.28</v>
      </c>
      <c r="O81" s="2" t="n">
        <v>1096.34</v>
      </c>
      <c r="P81" s="2" t="n">
        <v>49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2863.38</v>
      </c>
      <c r="AD81" s="2" t="n">
        <v>182.9381666666667</v>
      </c>
      <c r="AE81" s="2" t="n">
        <v>2651.277777777778</v>
      </c>
      <c r="AF81" s="2" t="n">
        <v>373.94</v>
      </c>
      <c r="AG81" s="2" t="n">
        <v>2278.4</v>
      </c>
      <c r="AH81" s="2" t="n">
        <v>211.04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1181.68</v>
      </c>
      <c r="AP81" s="2" t="n">
        <v>86.43770370370369</v>
      </c>
      <c r="AQ81" s="2" t="n">
        <v>1094.148148148148</v>
      </c>
      <c r="AR81" s="2" t="n">
        <v>358.32</v>
      </c>
      <c r="AS81" s="2" t="n">
        <v>696.17</v>
      </c>
      <c r="AT81" s="2" t="n">
        <v>127.19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5685.68</v>
      </c>
      <c r="BB81" s="2" t="n">
        <v>4458.139999999999</v>
      </c>
      <c r="BC81" s="2">
        <f>F81+L81+R81+X81+AD81+AJ81+AP81+AV81+IF(BE81="",0,BE81)</f>
        <v/>
      </c>
      <c r="BD81" s="2" t="n">
        <v>68.655356</v>
      </c>
      <c r="BE81" s="2" t="n"/>
      <c r="BF81" s="2" t="n">
        <v>5264.518518518518</v>
      </c>
      <c r="BG81" s="2" t="n">
        <v>458.58</v>
      </c>
      <c r="BH81" s="2" t="n">
        <v>0</v>
      </c>
      <c r="BI81" s="2" t="n">
        <v>25931.19</v>
      </c>
      <c r="BJ81" s="2" t="n">
        <v>87.34537190082645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60.18489</v>
      </c>
      <c r="BQ81" s="2" t="n">
        <v>0</v>
      </c>
      <c r="BR81" s="2" t="n">
        <v>26562.30026190083</v>
      </c>
      <c r="BS81" s="2" t="n">
        <v>812.479173553719</v>
      </c>
      <c r="BT81" s="2" t="n">
        <v>0</v>
      </c>
      <c r="BU81" s="2" t="n">
        <v>5462.918909090909</v>
      </c>
      <c r="BV81" s="2" t="n">
        <v>6275.398082644629</v>
      </c>
      <c r="BW81" s="2" t="n">
        <v>32837.69834454545</v>
      </c>
      <c r="BX81" s="2" t="n">
        <v>4070.91</v>
      </c>
      <c r="BY81" s="2" t="n">
        <v>387.23</v>
      </c>
      <c r="BZ81" s="2" t="n">
        <v>1227.54</v>
      </c>
      <c r="CA81" s="2" t="n">
        <v>4458.139999999999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1257</v>
      </c>
      <c r="B82" t="inlineStr">
        <is>
          <t>Dworcowa 2, 61-801 Poznań</t>
        </is>
      </c>
      <c r="C82" t="inlineStr">
        <is>
          <t>Poznań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2432.91</v>
      </c>
      <c r="L82" s="2" t="n">
        <v>202.5172305555556</v>
      </c>
      <c r="M82" s="2" t="n">
        <v>2252.694444444444</v>
      </c>
      <c r="N82" s="2" t="n">
        <v>661.21</v>
      </c>
      <c r="O82" s="2" t="n">
        <v>1701.7</v>
      </c>
      <c r="P82" s="2" t="n">
        <v>70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4663.320000000001</v>
      </c>
      <c r="AD82" s="2" t="n">
        <v>297.9343333333334</v>
      </c>
      <c r="AE82" s="2" t="n">
        <v>4317.88888888889</v>
      </c>
      <c r="AF82" s="2" t="n">
        <v>978.35</v>
      </c>
      <c r="AG82" s="2" t="n">
        <v>3390.3</v>
      </c>
      <c r="AH82" s="2" t="n">
        <v>294.67</v>
      </c>
      <c r="AI82" s="2" t="n">
        <v>45.1</v>
      </c>
      <c r="AJ82" s="2" t="n">
        <v>3.131944444444444</v>
      </c>
      <c r="AK82" s="2" t="n">
        <v>41.75925925925926</v>
      </c>
      <c r="AL82" s="2" t="n">
        <v>0</v>
      </c>
      <c r="AM82" s="2" t="n">
        <v>45.1</v>
      </c>
      <c r="AN82" s="2" t="n">
        <v>0</v>
      </c>
      <c r="AO82" s="2" t="n">
        <v>1871.62</v>
      </c>
      <c r="AP82" s="2" t="n">
        <v>136.905537037037</v>
      </c>
      <c r="AQ82" s="2" t="n">
        <v>1732.981481481482</v>
      </c>
      <c r="AR82" s="2" t="n">
        <v>168.4</v>
      </c>
      <c r="AS82" s="2" t="n">
        <v>1655.13</v>
      </c>
      <c r="AT82" s="2" t="n">
        <v>48.09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9012.950000000001</v>
      </c>
      <c r="BB82" s="2" t="n">
        <v>7204.990000000001</v>
      </c>
      <c r="BC82" s="2">
        <f>F82+L82+R82+X82+AD82+AJ82+AP82+AV82+IF(BE82="",0,BE82)</f>
        <v/>
      </c>
      <c r="BD82" s="2" t="n">
        <v>110.956846</v>
      </c>
      <c r="BE82" s="2" t="n"/>
      <c r="BF82" s="2" t="n">
        <v>8345.324074074075</v>
      </c>
      <c r="BG82" s="2" t="n">
        <v>458.58</v>
      </c>
      <c r="BH82" s="2" t="n">
        <v>0</v>
      </c>
      <c r="BI82" s="2" t="n">
        <v>25931.19</v>
      </c>
      <c r="BJ82" s="2" t="n">
        <v>87.34537190082645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97.26736500000001</v>
      </c>
      <c r="BQ82" s="2" t="n">
        <v>0</v>
      </c>
      <c r="BR82" s="2" t="n">
        <v>26599.38273690082</v>
      </c>
      <c r="BS82" s="2" t="n">
        <v>812.479173553719</v>
      </c>
      <c r="BT82" s="2" t="n">
        <v>0</v>
      </c>
      <c r="BU82" s="2" t="n">
        <v>5462.918909090909</v>
      </c>
      <c r="BV82" s="2" t="n">
        <v>6275.398082644629</v>
      </c>
      <c r="BW82" s="2" t="n">
        <v>32874.78081954546</v>
      </c>
      <c r="BX82" s="2" t="n">
        <v>6792.23</v>
      </c>
      <c r="BY82" s="2" t="n">
        <v>412.76</v>
      </c>
      <c r="BZ82" s="2" t="n">
        <v>1807.96</v>
      </c>
      <c r="CA82" s="2" t="n">
        <v>7204.990000000001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1259</v>
      </c>
      <c r="B83" t="inlineStr">
        <is>
          <t>Kolejowa 4, 64-020 Czempin</t>
        </is>
      </c>
      <c r="C83" t="inlineStr">
        <is>
          <t>Czempiń</t>
        </is>
      </c>
      <c r="D83" t="inlineStr">
        <is>
          <t>ST|40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117.75</v>
      </c>
      <c r="L83" s="2" t="n">
        <v>9.801597222222222</v>
      </c>
      <c r="M83" s="2" t="n">
        <v>109.0277777777778</v>
      </c>
      <c r="N83" s="2" t="n">
        <v>0</v>
      </c>
      <c r="O83" s="2" t="n">
        <v>117.75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2884.1</v>
      </c>
      <c r="AD83" s="2" t="n">
        <v>184.2619444444445</v>
      </c>
      <c r="AE83" s="2" t="n">
        <v>2670.462962962963</v>
      </c>
      <c r="AF83" s="2" t="n">
        <v>818.26</v>
      </c>
      <c r="AG83" s="2" t="n">
        <v>2065.84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2443.13</v>
      </c>
      <c r="AP83" s="2" t="n">
        <v>178.7104351851852</v>
      </c>
      <c r="AQ83" s="2" t="n">
        <v>2262.157407407407</v>
      </c>
      <c r="AR83" s="2" t="n">
        <v>602.6</v>
      </c>
      <c r="AS83" s="2" t="n">
        <v>1840.53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5444.98</v>
      </c>
      <c r="BB83" s="2" t="n">
        <v>4024.12</v>
      </c>
      <c r="BC83" s="2">
        <f>F83+L83+R83+X83+AD83+AJ83+AP83+AV83+IF(BE83="",0,BE83)</f>
        <v/>
      </c>
      <c r="BD83" s="2" t="n">
        <v>61.97144800000001</v>
      </c>
      <c r="BE83" s="2" t="n"/>
      <c r="BF83" s="2" t="n">
        <v>5041.648148148148</v>
      </c>
      <c r="BG83" s="2" t="n">
        <v>0</v>
      </c>
      <c r="BH83" s="2" t="n">
        <v>0</v>
      </c>
      <c r="BI83" s="2" t="n">
        <v>25931.19</v>
      </c>
      <c r="BJ83" s="2" t="n">
        <v>87.34537190082645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54.32562</v>
      </c>
      <c r="BQ83" s="2" t="n">
        <v>0</v>
      </c>
      <c r="BR83" s="2" t="n">
        <v>26097.86099190082</v>
      </c>
      <c r="BS83" s="2" t="n">
        <v>812.479173553719</v>
      </c>
      <c r="BT83" s="2" t="n">
        <v>0</v>
      </c>
      <c r="BU83" s="2" t="n">
        <v>5371.202909090909</v>
      </c>
      <c r="BV83" s="2" t="n">
        <v>6183.682082644628</v>
      </c>
      <c r="BW83" s="2" t="n">
        <v>32281.54307454545</v>
      </c>
      <c r="BX83" s="2" t="n">
        <v>4024.12</v>
      </c>
      <c r="BY83" s="2" t="n">
        <v>0</v>
      </c>
      <c r="BZ83" s="2" t="n">
        <v>1420.86</v>
      </c>
      <c r="CA83" s="2" t="n">
        <v>4024.12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1261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14010.83</v>
      </c>
      <c r="L84" s="2" t="n">
        <v>1166.271867592593</v>
      </c>
      <c r="M84" s="2" t="n">
        <v>12972.99074074074</v>
      </c>
      <c r="N84" s="2" t="n">
        <v>3183.68</v>
      </c>
      <c r="O84" s="2" t="n">
        <v>10549.15</v>
      </c>
      <c r="P84" s="2" t="n">
        <v>278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15124.39</v>
      </c>
      <c r="X84" s="2" t="n">
        <v>750</v>
      </c>
      <c r="Y84" s="2" t="n">
        <v>14004.06481481481</v>
      </c>
      <c r="Z84" s="2" t="n">
        <v>1617.61</v>
      </c>
      <c r="AA84" s="2" t="n">
        <v>13379.98</v>
      </c>
      <c r="AB84" s="2" t="n">
        <v>126.8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6857.719999999999</v>
      </c>
      <c r="AP84" s="2" t="n">
        <v>501.6295185185185</v>
      </c>
      <c r="AQ84" s="2" t="n">
        <v>6349.74074074074</v>
      </c>
      <c r="AR84" s="2" t="n">
        <v>1021.78</v>
      </c>
      <c r="AS84" s="2" t="n">
        <v>5815.44</v>
      </c>
      <c r="AT84" s="2" t="n">
        <v>20.5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35992.94</v>
      </c>
      <c r="BB84" s="2" t="n">
        <v>30169.87</v>
      </c>
      <c r="BC84" s="2">
        <f>F84+L84+R84+X84+AD84+AJ84+AP84+AV84+IF(BE84="",0,BE84)</f>
        <v/>
      </c>
      <c r="BD84" s="2" t="n">
        <v>438.953116</v>
      </c>
      <c r="BE84" s="2" t="n"/>
      <c r="BF84" s="2" t="n">
        <v>33326.79629629629</v>
      </c>
      <c r="BG84" s="2" t="n">
        <v>1380</v>
      </c>
      <c r="BH84" s="2" t="n">
        <v>0</v>
      </c>
      <c r="BI84" s="2" t="n">
        <v>25931.19</v>
      </c>
      <c r="BJ84" s="2" t="n">
        <v>87.34537190082645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407.293245</v>
      </c>
      <c r="BQ84" s="2" t="n">
        <v>0</v>
      </c>
      <c r="BR84" s="2" t="n">
        <v>27830.82861690082</v>
      </c>
      <c r="BS84" s="2" t="n">
        <v>812.479173553719</v>
      </c>
      <c r="BT84" s="2" t="n">
        <v>0</v>
      </c>
      <c r="BU84" s="2" t="n">
        <v>5647.202909090909</v>
      </c>
      <c r="BV84" s="2" t="n">
        <v>6459.682082644628</v>
      </c>
      <c r="BW84" s="2" t="n">
        <v>34290.51069954546</v>
      </c>
      <c r="BX84" s="2" t="n">
        <v>29744.57</v>
      </c>
      <c r="BY84" s="2" t="n">
        <v>425.3</v>
      </c>
      <c r="BZ84" s="2" t="n">
        <v>5823.07</v>
      </c>
      <c r="CA84" s="2" t="n">
        <v>30169.87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1262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12469.68</v>
      </c>
      <c r="L85" s="2" t="n">
        <v>1037.9854</v>
      </c>
      <c r="M85" s="2" t="n">
        <v>11546</v>
      </c>
      <c r="N85" s="2" t="n">
        <v>1688.31</v>
      </c>
      <c r="O85" s="2" t="n">
        <v>10309.37</v>
      </c>
      <c r="P85" s="2" t="n">
        <v>472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9722.66</v>
      </c>
      <c r="X85" s="2" t="n">
        <v>750</v>
      </c>
      <c r="Y85" s="2" t="n">
        <v>9002.462962962962</v>
      </c>
      <c r="Z85" s="2" t="n">
        <v>1503.79</v>
      </c>
      <c r="AA85" s="2" t="n">
        <v>7977.97</v>
      </c>
      <c r="AB85" s="2" t="n">
        <v>240.9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4952.79</v>
      </c>
      <c r="AP85" s="2" t="n">
        <v>362.2874166666666</v>
      </c>
      <c r="AQ85" s="2" t="n">
        <v>4585.916666666666</v>
      </c>
      <c r="AR85" s="2" t="n">
        <v>930.0700000000001</v>
      </c>
      <c r="AS85" s="2" t="n">
        <v>3910.3</v>
      </c>
      <c r="AT85" s="2" t="n">
        <v>112.42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27145.13</v>
      </c>
      <c r="BB85" s="2" t="n">
        <v>23022.96</v>
      </c>
      <c r="BC85" s="2">
        <f>F85+L85+R85+X85+AD85+AJ85+AP85+AV85+IF(BE85="",0,BE85)</f>
        <v/>
      </c>
      <c r="BD85" s="2" t="n">
        <v>338.937731</v>
      </c>
      <c r="BE85" s="2" t="n"/>
      <c r="BF85" s="2" t="n">
        <v>25134.37962962963</v>
      </c>
      <c r="BG85" s="2" t="n">
        <v>1380</v>
      </c>
      <c r="BH85" s="2" t="n">
        <v>0</v>
      </c>
      <c r="BI85" s="2" t="n">
        <v>14817.82285714286</v>
      </c>
      <c r="BJ85" s="2" t="n">
        <v>87.34537190082645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310.80996</v>
      </c>
      <c r="BQ85" s="2" t="n">
        <v>0</v>
      </c>
      <c r="BR85" s="2" t="n">
        <v>16620.97818904368</v>
      </c>
      <c r="BS85" s="2" t="n">
        <v>812.479173553719</v>
      </c>
      <c r="BT85" s="2" t="n">
        <v>0</v>
      </c>
      <c r="BU85" s="2" t="n">
        <v>3424.529480519481</v>
      </c>
      <c r="BV85" s="2" t="n">
        <v>4237.0086540732</v>
      </c>
      <c r="BW85" s="2" t="n">
        <v>20857.98684311688</v>
      </c>
      <c r="BX85" s="2" t="n">
        <v>22197.64</v>
      </c>
      <c r="BY85" s="2" t="n">
        <v>825.3199999999999</v>
      </c>
      <c r="BZ85" s="2" t="n">
        <v>4122.17</v>
      </c>
      <c r="CA85" s="2" t="n">
        <v>23022.96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1263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59896.03999999999</v>
      </c>
      <c r="L86" s="2" t="n">
        <v>4985.790737037037</v>
      </c>
      <c r="M86" s="2" t="n">
        <v>55459.29629629628</v>
      </c>
      <c r="N86" s="2" t="n">
        <v>7148.56</v>
      </c>
      <c r="O86" s="2" t="n">
        <v>51546.88</v>
      </c>
      <c r="P86" s="2" t="n">
        <v>1200.6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65042.94</v>
      </c>
      <c r="X86" s="2" t="n">
        <v>750</v>
      </c>
      <c r="Y86" s="2" t="n">
        <v>60224.94444444445</v>
      </c>
      <c r="Z86" s="2" t="n">
        <v>5791.19</v>
      </c>
      <c r="AA86" s="2" t="n">
        <v>58370.14</v>
      </c>
      <c r="AB86" s="2" t="n">
        <v>881.61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25158.17</v>
      </c>
      <c r="AP86" s="2" t="n">
        <v>1840.273546296296</v>
      </c>
      <c r="AQ86" s="2" t="n">
        <v>23294.60185185185</v>
      </c>
      <c r="AR86" s="2" t="n">
        <v>3090.95</v>
      </c>
      <c r="AS86" s="2" t="n">
        <v>21088.94</v>
      </c>
      <c r="AT86" s="2" t="n">
        <v>978.28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150097.15</v>
      </c>
      <c r="BB86" s="2" t="n">
        <v>134066.45</v>
      </c>
      <c r="BC86" s="2">
        <f>F86+L86+R86+X86+AD86+AJ86+AP86+AV86+IF(BE86="",0,BE86)</f>
        <v/>
      </c>
      <c r="BD86" s="2" t="n">
        <v>1952.045005</v>
      </c>
      <c r="BE86" s="2" t="n"/>
      <c r="BF86" s="2" t="n">
        <v>138978.8425925926</v>
      </c>
      <c r="BG86" s="2" t="n">
        <v>1380</v>
      </c>
      <c r="BH86" s="2" t="n">
        <v>0</v>
      </c>
      <c r="BI86" s="2" t="n">
        <v>25931.19</v>
      </c>
      <c r="BJ86" s="2" t="n">
        <v>87.34537190082645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1809.897075</v>
      </c>
      <c r="BQ86" s="2" t="n">
        <v>0</v>
      </c>
      <c r="BR86" s="2" t="n">
        <v>29233.43244690082</v>
      </c>
      <c r="BS86" s="2" t="n">
        <v>812.479173553719</v>
      </c>
      <c r="BT86" s="2" t="n">
        <v>0</v>
      </c>
      <c r="BU86" s="2" t="n">
        <v>5647.202909090909</v>
      </c>
      <c r="BV86" s="2" t="n">
        <v>6459.682082644628</v>
      </c>
      <c r="BW86" s="2" t="n">
        <v>35693.11452954546</v>
      </c>
      <c r="BX86" s="2" t="n">
        <v>131005.96</v>
      </c>
      <c r="BY86" s="2" t="n">
        <v>3060.49</v>
      </c>
      <c r="BZ86" s="2" t="n">
        <v>16030.7</v>
      </c>
      <c r="CA86" s="2" t="n">
        <v>134066.45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1264</v>
      </c>
      <c r="B87" t="inlineStr">
        <is>
          <t>Dworcowa 1, 66-400 Gorzów Wlkp</t>
        </is>
      </c>
      <c r="C87" t="inlineStr">
        <is>
          <t>Gorzów Wielkopolski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1336.2</v>
      </c>
      <c r="L87" s="2" t="n">
        <v>111.2262777777778</v>
      </c>
      <c r="M87" s="2" t="n">
        <v>1237.222222222222</v>
      </c>
      <c r="N87" s="2" t="n">
        <v>215.07</v>
      </c>
      <c r="O87" s="2" t="n">
        <v>923.42</v>
      </c>
      <c r="P87" s="2" t="n">
        <v>197.71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10307.1</v>
      </c>
      <c r="AP87" s="2" t="n">
        <v>753.945277777778</v>
      </c>
      <c r="AQ87" s="2" t="n">
        <v>9543.611111111113</v>
      </c>
      <c r="AR87" s="2" t="n">
        <v>2523.84</v>
      </c>
      <c r="AS87" s="2" t="n">
        <v>6794.56</v>
      </c>
      <c r="AT87" s="2" t="n">
        <v>988.7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11643.3</v>
      </c>
      <c r="BB87" s="2" t="n">
        <v>8904.389999999999</v>
      </c>
      <c r="BC87" s="2">
        <f>F87+L87+R87+X87+AD87+AJ87+AP87+AV87+IF(BE87="",0,BE87)</f>
        <v/>
      </c>
      <c r="BD87" s="2" t="n">
        <v>137.127606</v>
      </c>
      <c r="BE87" s="2" t="n"/>
      <c r="BF87" s="2" t="n">
        <v>10780.83333333334</v>
      </c>
      <c r="BG87" s="2" t="n">
        <v>354.21</v>
      </c>
      <c r="BH87" s="2" t="n">
        <v>0</v>
      </c>
      <c r="BI87" s="2" t="n">
        <v>25931.19</v>
      </c>
      <c r="BJ87" s="2" t="n">
        <v>87.34537190082645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120.209265</v>
      </c>
      <c r="BQ87" s="2" t="n">
        <v>0</v>
      </c>
      <c r="BR87" s="2" t="n">
        <v>26517.95463690082</v>
      </c>
      <c r="BS87" s="2" t="n">
        <v>812.479173553719</v>
      </c>
      <c r="BT87" s="2" t="n">
        <v>0</v>
      </c>
      <c r="BU87" s="2" t="n">
        <v>5442.04490909091</v>
      </c>
      <c r="BV87" s="2" t="n">
        <v>6254.524082644629</v>
      </c>
      <c r="BW87" s="2" t="n">
        <v>32772.47871954546</v>
      </c>
      <c r="BX87" s="2" t="n">
        <v>7717.98</v>
      </c>
      <c r="BY87" s="2" t="n">
        <v>1186.41</v>
      </c>
      <c r="BZ87" s="2" t="n">
        <v>2738.91</v>
      </c>
      <c r="CA87" s="2" t="n">
        <v>8904.390000000001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1265</v>
      </c>
      <c r="B88" t="inlineStr">
        <is>
          <t>pl. Kolejarza 1, 65-024 Zielona Góra</t>
        </is>
      </c>
      <c r="C88" t="inlineStr">
        <is>
          <t>Zielona Góra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4042.78</v>
      </c>
      <c r="L88" s="2" t="n">
        <v>336.5240018518518</v>
      </c>
      <c r="M88" s="2" t="n">
        <v>3743.314814814814</v>
      </c>
      <c r="N88" s="2" t="n">
        <v>1193.85</v>
      </c>
      <c r="O88" s="2" t="n">
        <v>2582.31</v>
      </c>
      <c r="P88" s="2" t="n">
        <v>266.62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5672.860000000001</v>
      </c>
      <c r="AP88" s="2" t="n">
        <v>414.9592037037037</v>
      </c>
      <c r="AQ88" s="2" t="n">
        <v>5252.648148148149</v>
      </c>
      <c r="AR88" s="2" t="n">
        <v>2851.78</v>
      </c>
      <c r="AS88" s="2" t="n">
        <v>2165.89</v>
      </c>
      <c r="AT88" s="2" t="n">
        <v>655.1900000000001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9715.639999999999</v>
      </c>
      <c r="BB88" s="2" t="n">
        <v>5670.01</v>
      </c>
      <c r="BC88" s="2">
        <f>F88+L88+R88+X88+AD88+AJ88+AP88+AV88+IF(BE88="",0,BE88)</f>
        <v/>
      </c>
      <c r="BD88" s="2" t="n">
        <v>87.31815399999999</v>
      </c>
      <c r="BE88" s="2" t="n"/>
      <c r="BF88" s="2" t="n">
        <v>8995.962962962964</v>
      </c>
      <c r="BG88" s="2" t="n">
        <v>354.21</v>
      </c>
      <c r="BH88" s="2" t="n">
        <v>0</v>
      </c>
      <c r="BI88" s="2" t="n">
        <v>25931.19</v>
      </c>
      <c r="BJ88" s="2" t="n">
        <v>87.34537190082645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76.54513499999999</v>
      </c>
      <c r="BQ88" s="2" t="n">
        <v>0</v>
      </c>
      <c r="BR88" s="2" t="n">
        <v>26474.29050690082</v>
      </c>
      <c r="BS88" s="2" t="n">
        <v>812.479173553719</v>
      </c>
      <c r="BT88" s="2" t="n">
        <v>0</v>
      </c>
      <c r="BU88" s="2" t="n">
        <v>5442.04490909091</v>
      </c>
      <c r="BV88" s="2" t="n">
        <v>6254.524082644629</v>
      </c>
      <c r="BW88" s="2" t="n">
        <v>32728.81458954545</v>
      </c>
      <c r="BX88" s="2" t="n">
        <v>4748.2</v>
      </c>
      <c r="BY88" s="2" t="n">
        <v>921.8100000000001</v>
      </c>
      <c r="BZ88" s="2" t="n">
        <v>4045.63</v>
      </c>
      <c r="CA88" s="2" t="n">
        <v>5670.01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1266</v>
      </c>
      <c r="B89" t="inlineStr">
        <is>
          <t>Dworcowa 1, 64-100 Leszno</t>
        </is>
      </c>
      <c r="C89" t="inlineStr">
        <is>
          <t>Leszno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8830.790000000001</v>
      </c>
      <c r="L89" s="2" t="n">
        <v>735.081500925926</v>
      </c>
      <c r="M89" s="2" t="n">
        <v>8176.657407407408</v>
      </c>
      <c r="N89" s="2" t="n">
        <v>2027.27</v>
      </c>
      <c r="O89" s="2" t="n">
        <v>6476.58</v>
      </c>
      <c r="P89" s="2" t="n">
        <v>326.94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5563.940000000001</v>
      </c>
      <c r="AD89" s="2" t="n">
        <v>355.4739444444445</v>
      </c>
      <c r="AE89" s="2" t="n">
        <v>5151.796296296297</v>
      </c>
      <c r="AF89" s="2" t="n">
        <v>1939.01</v>
      </c>
      <c r="AG89" s="2" t="n">
        <v>3461.17</v>
      </c>
      <c r="AH89" s="2" t="n">
        <v>163.76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4945.02</v>
      </c>
      <c r="AP89" s="2" t="n">
        <v>361.7190555555555</v>
      </c>
      <c r="AQ89" s="2" t="n">
        <v>4578.722222222222</v>
      </c>
      <c r="AR89" s="2" t="n">
        <v>1622.93</v>
      </c>
      <c r="AS89" s="2" t="n">
        <v>3224.89</v>
      </c>
      <c r="AT89" s="2" t="n">
        <v>97.2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19339.75</v>
      </c>
      <c r="BB89" s="2" t="n">
        <v>13750.54</v>
      </c>
      <c r="BC89" s="2">
        <f>F89+L89+R89+X89+AD89+AJ89+AP89+AV89+IF(BE89="",0,BE89)</f>
        <v/>
      </c>
      <c r="BD89" s="2" t="n">
        <v>211.758316</v>
      </c>
      <c r="BE89" s="2" t="n"/>
      <c r="BF89" s="2" t="n">
        <v>17907.17592592593</v>
      </c>
      <c r="BG89" s="2" t="n">
        <v>0</v>
      </c>
      <c r="BH89" s="2" t="n">
        <v>0</v>
      </c>
      <c r="BI89" s="2" t="n">
        <v>25931.19</v>
      </c>
      <c r="BJ89" s="2" t="n">
        <v>87.34537190082645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185.63229</v>
      </c>
      <c r="BQ89" s="2" t="n">
        <v>0</v>
      </c>
      <c r="BR89" s="2" t="n">
        <v>26229.16766190082</v>
      </c>
      <c r="BS89" s="2" t="n">
        <v>812.479173553719</v>
      </c>
      <c r="BT89" s="2" t="n">
        <v>0</v>
      </c>
      <c r="BU89" s="2" t="n">
        <v>5371.202909090909</v>
      </c>
      <c r="BV89" s="2" t="n">
        <v>6183.682082644628</v>
      </c>
      <c r="BW89" s="2" t="n">
        <v>32412.84974454545</v>
      </c>
      <c r="BX89" s="2" t="n">
        <v>13162.64</v>
      </c>
      <c r="BY89" s="2" t="n">
        <v>587.9</v>
      </c>
      <c r="BZ89" s="2" t="n">
        <v>5589.21</v>
      </c>
      <c r="CA89" s="2" t="n">
        <v>13750.54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1267</v>
      </c>
      <c r="B90" t="inlineStr">
        <is>
          <t>Pawia 5a, 31-154 Kraków</t>
        </is>
      </c>
      <c r="C90" t="inlineStr">
        <is>
          <t>Kraków Główny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10929.01</v>
      </c>
      <c r="L90" s="2" t="n">
        <v>909.738887962963</v>
      </c>
      <c r="M90" s="2" t="n">
        <v>10119.4537037037</v>
      </c>
      <c r="N90" s="2" t="n">
        <v>1414.41</v>
      </c>
      <c r="O90" s="2" t="n">
        <v>9102.690000000001</v>
      </c>
      <c r="P90" s="2" t="n">
        <v>411.91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15292.7</v>
      </c>
      <c r="X90" s="2" t="n">
        <v>750</v>
      </c>
      <c r="Y90" s="2" t="n">
        <v>14159.90740740741</v>
      </c>
      <c r="Z90" s="2" t="n">
        <v>1740.3</v>
      </c>
      <c r="AA90" s="2" t="n">
        <v>12995.72</v>
      </c>
      <c r="AB90" s="2" t="n">
        <v>556.6799999999999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4853.37</v>
      </c>
      <c r="AP90" s="2" t="n">
        <v>355.0150277777777</v>
      </c>
      <c r="AQ90" s="2" t="n">
        <v>4493.86111111111</v>
      </c>
      <c r="AR90" s="2" t="n">
        <v>818.03</v>
      </c>
      <c r="AS90" s="2" t="n">
        <v>3763.21</v>
      </c>
      <c r="AT90" s="2" t="n">
        <v>272.13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31075.08</v>
      </c>
      <c r="BB90" s="2" t="n">
        <v>27102.34</v>
      </c>
      <c r="BC90" s="2">
        <f>F90+L90+R90+X90+AD90+AJ90+AP90+AV90+IF(BE90="",0,BE90)</f>
        <v/>
      </c>
      <c r="BD90" s="2" t="n">
        <v>391.626476</v>
      </c>
      <c r="BE90" s="2" t="n"/>
      <c r="BF90" s="2" t="n">
        <v>28773.22222222222</v>
      </c>
      <c r="BG90" s="2" t="n">
        <v>1020</v>
      </c>
      <c r="BH90" s="2" t="n">
        <v>0</v>
      </c>
      <c r="BI90" s="2" t="n">
        <v>25931.19</v>
      </c>
      <c r="BJ90" s="2" t="n">
        <v>87.34537190082645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365.88159</v>
      </c>
      <c r="BQ90" s="2" t="n">
        <v>0</v>
      </c>
      <c r="BR90" s="2" t="n">
        <v>27429.41696190082</v>
      </c>
      <c r="BS90" s="2" t="n">
        <v>812.479173553719</v>
      </c>
      <c r="BT90" s="2" t="n">
        <v>0</v>
      </c>
      <c r="BU90" s="2" t="n">
        <v>5575.202909090909</v>
      </c>
      <c r="BV90" s="2" t="n">
        <v>6387.682082644628</v>
      </c>
      <c r="BW90" s="2" t="n">
        <v>33817.09904454545</v>
      </c>
      <c r="BX90" s="2" t="n">
        <v>25861.62</v>
      </c>
      <c r="BY90" s="2" t="n">
        <v>1240.72</v>
      </c>
      <c r="BZ90" s="2" t="n">
        <v>3972.74</v>
      </c>
      <c r="CA90" s="2" t="n">
        <v>27102.34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1268</v>
      </c>
      <c r="B91" t="inlineStr">
        <is>
          <t>Kolejowa 5, 83-200 Starogard Gdański</t>
        </is>
      </c>
      <c r="C91" t="inlineStr">
        <is>
          <t>Starogard Gdański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19817.52</v>
      </c>
      <c r="AP91" s="2" t="n">
        <v>4177</v>
      </c>
      <c r="AQ91" s="2" t="n">
        <v>18349.55555555555</v>
      </c>
      <c r="AR91" s="2" t="n">
        <v>7997.87</v>
      </c>
      <c r="AS91" s="2" t="n">
        <v>10957.56</v>
      </c>
      <c r="AT91" s="2" t="n">
        <v>862.09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19817.52</v>
      </c>
      <c r="BB91" s="2" t="n">
        <v>11819.65</v>
      </c>
      <c r="BC91" s="2">
        <f>F91+L91+R91+X91+AD91+AJ91+AP91+AV91+IF(BE91="",0,BE91)</f>
        <v/>
      </c>
      <c r="BD91" s="2" t="n">
        <v>182.02261</v>
      </c>
      <c r="BE91" s="2" t="n"/>
      <c r="BF91" s="2" t="n">
        <v>18349.55555555555</v>
      </c>
      <c r="BG91" s="2" t="n">
        <v>0</v>
      </c>
      <c r="BH91" s="2" t="n">
        <v>0</v>
      </c>
      <c r="BI91" s="2" t="n">
        <v>25931.19</v>
      </c>
      <c r="BJ91" s="2" t="n">
        <v>87.34537190082645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159.565275</v>
      </c>
      <c r="BQ91" s="2" t="n">
        <v>0</v>
      </c>
      <c r="BR91" s="2" t="n">
        <v>26203.10064690082</v>
      </c>
      <c r="BS91" s="2" t="n">
        <v>812.479173553719</v>
      </c>
      <c r="BT91" s="2" t="n">
        <v>0</v>
      </c>
      <c r="BU91" s="2" t="n">
        <v>5371.202909090909</v>
      </c>
      <c r="BV91" s="2" t="n">
        <v>6183.682082644628</v>
      </c>
      <c r="BW91" s="2" t="n">
        <v>32386.78272954545</v>
      </c>
      <c r="BX91" s="2" t="n">
        <v>10957.56</v>
      </c>
      <c r="BY91" s="2" t="n">
        <v>862.09</v>
      </c>
      <c r="BZ91" s="2" t="n">
        <v>7997.87</v>
      </c>
      <c r="CA91" s="2" t="n">
        <v>11819.65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1269</v>
      </c>
      <c r="B92" t="inlineStr">
        <is>
          <t>Podwale Grodzkie 1, 80-895 Gdańsk</t>
        </is>
      </c>
      <c r="C92" t="inlineStr">
        <is>
          <t>Gdańsk Główny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11241.56</v>
      </c>
      <c r="L92" s="2" t="n">
        <v>935.7557814814814</v>
      </c>
      <c r="M92" s="2" t="n">
        <v>10408.85185185185</v>
      </c>
      <c r="N92" s="2" t="n">
        <v>3912.24</v>
      </c>
      <c r="O92" s="2" t="n">
        <v>7143.32</v>
      </c>
      <c r="P92" s="2" t="n">
        <v>186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6613.54</v>
      </c>
      <c r="AP92" s="2" t="n">
        <v>483.7682037037037</v>
      </c>
      <c r="AQ92" s="2" t="n">
        <v>6123.648148148148</v>
      </c>
      <c r="AR92" s="2" t="n">
        <v>2087.78</v>
      </c>
      <c r="AS92" s="2" t="n">
        <v>4340.05</v>
      </c>
      <c r="AT92" s="2" t="n">
        <v>185.71</v>
      </c>
      <c r="AU92" s="2" t="n">
        <v>2257.85</v>
      </c>
      <c r="AV92" s="2" t="n">
        <v>62.71805555555555</v>
      </c>
      <c r="AW92" s="2" t="n">
        <v>2090.601851851852</v>
      </c>
      <c r="AX92" s="2" t="n">
        <v>385.95</v>
      </c>
      <c r="AY92" s="2" t="n">
        <v>1691.35</v>
      </c>
      <c r="AZ92" s="2" t="n">
        <v>180.55</v>
      </c>
      <c r="BA92" s="2" t="n">
        <v>20112.95</v>
      </c>
      <c r="BB92" s="2" t="n">
        <v>13726.98</v>
      </c>
      <c r="BC92" s="2">
        <f>F92+L92+R92+X92+AD92+AJ92+AP92+AV92+IF(BE92="",0,BE92)</f>
        <v/>
      </c>
      <c r="BD92" s="2" t="n">
        <v>211.395492</v>
      </c>
      <c r="BE92" s="2" t="n"/>
      <c r="BF92" s="2" t="n">
        <v>18623.10185185185</v>
      </c>
      <c r="BG92" s="2" t="n">
        <v>0</v>
      </c>
      <c r="BH92" s="2" t="n">
        <v>0</v>
      </c>
      <c r="BI92" s="2" t="n">
        <v>25931.19</v>
      </c>
      <c r="BJ92" s="2" t="n">
        <v>87.34537190082645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185.31423</v>
      </c>
      <c r="BQ92" s="2" t="n">
        <v>0</v>
      </c>
      <c r="BR92" s="2" t="n">
        <v>26228.84960190082</v>
      </c>
      <c r="BS92" s="2" t="n">
        <v>812.479173553719</v>
      </c>
      <c r="BT92" s="2" t="n">
        <v>0</v>
      </c>
      <c r="BU92" s="2" t="n">
        <v>5371.202909090909</v>
      </c>
      <c r="BV92" s="2" t="n">
        <v>6183.682082644628</v>
      </c>
      <c r="BW92" s="2" t="n">
        <v>32412.53168454545</v>
      </c>
      <c r="BX92" s="2" t="n">
        <v>13174.72</v>
      </c>
      <c r="BY92" s="2" t="n">
        <v>552.26</v>
      </c>
      <c r="BZ92" s="2" t="n">
        <v>6385.97</v>
      </c>
      <c r="CA92" s="2" t="n">
        <v>13726.98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1270</v>
      </c>
      <c r="B93" t="inlineStr">
        <is>
          <t>Marii Konopnickiej 10, 10-168 Olsztyn</t>
        </is>
      </c>
      <c r="C93" t="inlineStr">
        <is>
          <t>Olsztyn Zachodni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10558.97</v>
      </c>
      <c r="L93" s="2" t="n">
        <v>878.9364842592593</v>
      </c>
      <c r="M93" s="2" t="n">
        <v>9776.824074074073</v>
      </c>
      <c r="N93" s="2" t="n">
        <v>2458.03</v>
      </c>
      <c r="O93" s="2" t="n">
        <v>7670.48</v>
      </c>
      <c r="P93" s="2" t="n">
        <v>430.46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6153.86</v>
      </c>
      <c r="AP93" s="2" t="n">
        <v>450.1434629629629</v>
      </c>
      <c r="AQ93" s="2" t="n">
        <v>5698.018518518518</v>
      </c>
      <c r="AR93" s="2" t="n">
        <v>1846.8</v>
      </c>
      <c r="AS93" s="2" t="n">
        <v>4040.35</v>
      </c>
      <c r="AT93" s="2" t="n">
        <v>266.71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16712.83</v>
      </c>
      <c r="BB93" s="2" t="n">
        <v>12408</v>
      </c>
      <c r="BC93" s="2">
        <f>F93+L93+R93+X93+AD93+AJ93+AP93+AV93+IF(BE93="",0,BE93)</f>
        <v/>
      </c>
      <c r="BD93" s="2" t="n">
        <v>191.0832</v>
      </c>
      <c r="BE93" s="2" t="n"/>
      <c r="BF93" s="2" t="n">
        <v>15474.84259259259</v>
      </c>
      <c r="BG93" s="2" t="n">
        <v>331.08</v>
      </c>
      <c r="BH93" s="2" t="n">
        <v>0</v>
      </c>
      <c r="BI93" s="2" t="n">
        <v>25931.19</v>
      </c>
      <c r="BJ93" s="2" t="n">
        <v>87.34537190082645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167.508</v>
      </c>
      <c r="BQ93" s="2" t="n">
        <v>0</v>
      </c>
      <c r="BR93" s="2" t="n">
        <v>26542.12337190083</v>
      </c>
      <c r="BS93" s="2" t="n">
        <v>812.479173553719</v>
      </c>
      <c r="BT93" s="2" t="n">
        <v>0</v>
      </c>
      <c r="BU93" s="2" t="n">
        <v>5437.418909090909</v>
      </c>
      <c r="BV93" s="2" t="n">
        <v>6249.898082644629</v>
      </c>
      <c r="BW93" s="2" t="n">
        <v>32792.02145454546</v>
      </c>
      <c r="BX93" s="2" t="n">
        <v>11710.83</v>
      </c>
      <c r="BY93" s="2" t="n">
        <v>697.17</v>
      </c>
      <c r="BZ93" s="2" t="n">
        <v>4304.83</v>
      </c>
      <c r="CA93" s="2" t="n">
        <v>12408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1271</v>
      </c>
      <c r="B94" t="inlineStr">
        <is>
          <t>Zygmunta Augusta 7, 85-082 Bydgoszcz</t>
        </is>
      </c>
      <c r="C94" t="inlineStr">
        <is>
          <t>Bydgoszcz</t>
        </is>
      </c>
      <c r="D94" t="inlineStr">
        <is>
          <t>FAA2000</t>
        </is>
      </c>
      <c r="E94" s="2" t="n">
        <v>6317.959999999999</v>
      </c>
      <c r="F94" s="2" t="n">
        <v>1000</v>
      </c>
      <c r="G94" s="2" t="n">
        <v>5849.962962962962</v>
      </c>
      <c r="H94" s="2" t="n">
        <v>1759.57</v>
      </c>
      <c r="I94" s="2" t="n">
        <v>4163.73</v>
      </c>
      <c r="J94" s="2" t="n">
        <v>394.66</v>
      </c>
      <c r="K94" s="2" t="n">
        <v>13394.41</v>
      </c>
      <c r="L94" s="2" t="n">
        <v>1114.960610185185</v>
      </c>
      <c r="M94" s="2" t="n">
        <v>12402.23148148148</v>
      </c>
      <c r="N94" s="2" t="n">
        <v>3633.53</v>
      </c>
      <c r="O94" s="2" t="n">
        <v>9080.889999999999</v>
      </c>
      <c r="P94" s="2" t="n">
        <v>679.99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15788.48</v>
      </c>
      <c r="AP94" s="2" t="n">
        <v>1154.898074074074</v>
      </c>
      <c r="AQ94" s="2" t="n">
        <v>14618.96296296296</v>
      </c>
      <c r="AR94" s="2" t="n">
        <v>4661.02</v>
      </c>
      <c r="AS94" s="2" t="n">
        <v>10496.96</v>
      </c>
      <c r="AT94" s="2" t="n">
        <v>630.5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35500.85</v>
      </c>
      <c r="BB94" s="2" t="n">
        <v>25446.73</v>
      </c>
      <c r="BC94" s="2">
        <f>F94+L94+R94+X94+AD94+AJ94+AP94+AV94+IF(BE94="",0,BE94)</f>
        <v/>
      </c>
      <c r="BD94" s="2" t="n">
        <v>391.879642</v>
      </c>
      <c r="BE94" s="2" t="n"/>
      <c r="BF94" s="2" t="n">
        <v>32871.1574074074</v>
      </c>
      <c r="BG94" s="2" t="n">
        <v>368.17</v>
      </c>
      <c r="BH94" s="2" t="n">
        <v>0</v>
      </c>
      <c r="BI94" s="2" t="n">
        <v>25931.19</v>
      </c>
      <c r="BJ94" s="2" t="n">
        <v>87.34537190082645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343.530855</v>
      </c>
      <c r="BQ94" s="2" t="n">
        <v>0</v>
      </c>
      <c r="BR94" s="2" t="n">
        <v>26755.23622690082</v>
      </c>
      <c r="BS94" s="2" t="n">
        <v>812.479173553719</v>
      </c>
      <c r="BT94" s="2" t="n">
        <v>0</v>
      </c>
      <c r="BU94" s="2" t="n">
        <v>5444.836909090909</v>
      </c>
      <c r="BV94" s="2" t="n">
        <v>6257.316082644628</v>
      </c>
      <c r="BW94" s="2" t="n">
        <v>33012.55230954545</v>
      </c>
      <c r="BX94" s="2" t="n">
        <v>23741.58</v>
      </c>
      <c r="BY94" s="2" t="n">
        <v>1705.15</v>
      </c>
      <c r="BZ94" s="2" t="n">
        <v>10054.12</v>
      </c>
      <c r="CA94" s="2" t="n">
        <v>25446.73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1272</v>
      </c>
      <c r="B95" t="inlineStr">
        <is>
          <t>Dworcowa 115, 88-110 Inowrocław</t>
        </is>
      </c>
      <c r="C95" t="inlineStr">
        <is>
          <t>Inowrocław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6761.009999999999</v>
      </c>
      <c r="L95" s="2" t="n">
        <v>562.7914805555555</v>
      </c>
      <c r="M95" s="2" t="n">
        <v>6260.194444444443</v>
      </c>
      <c r="N95" s="2" t="n">
        <v>1953.41</v>
      </c>
      <c r="O95" s="2" t="n">
        <v>4294.15</v>
      </c>
      <c r="P95" s="2" t="n">
        <v>513.45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7114.87</v>
      </c>
      <c r="AP95" s="2" t="n">
        <v>520.4395648148147</v>
      </c>
      <c r="AQ95" s="2" t="n">
        <v>6587.842592592592</v>
      </c>
      <c r="AR95" s="2" t="n">
        <v>2574.18</v>
      </c>
      <c r="AS95" s="2" t="n">
        <v>4365.98</v>
      </c>
      <c r="AT95" s="2" t="n">
        <v>174.71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13875.88</v>
      </c>
      <c r="BB95" s="2" t="n">
        <v>9348.289999999999</v>
      </c>
      <c r="BC95" s="2">
        <f>F95+L95+R95+X95+AD95+AJ95+AP95+AV95+IF(BE95="",0,BE95)</f>
        <v/>
      </c>
      <c r="BD95" s="2" t="n">
        <v>143.963666</v>
      </c>
      <c r="BE95" s="2" t="n"/>
      <c r="BF95" s="2" t="n">
        <v>12848.03703703704</v>
      </c>
      <c r="BG95" s="2" t="n">
        <v>669.73</v>
      </c>
      <c r="BH95" s="2" t="n">
        <v>0</v>
      </c>
      <c r="BI95" s="2" t="n">
        <v>25931.19</v>
      </c>
      <c r="BJ95" s="2" t="n">
        <v>87.34537190082645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126.201915</v>
      </c>
      <c r="BQ95" s="2" t="n">
        <v>0</v>
      </c>
      <c r="BR95" s="2" t="n">
        <v>26839.46728690082</v>
      </c>
      <c r="BS95" s="2" t="n">
        <v>812.479173553719</v>
      </c>
      <c r="BT95" s="2" t="n">
        <v>0</v>
      </c>
      <c r="BU95" s="2" t="n">
        <v>5505.148909090909</v>
      </c>
      <c r="BV95" s="2" t="n">
        <v>6317.628082644628</v>
      </c>
      <c r="BW95" s="2" t="n">
        <v>33157.09536954545</v>
      </c>
      <c r="BX95" s="2" t="n">
        <v>8660.129999999999</v>
      </c>
      <c r="BY95" s="2" t="n">
        <v>688.1600000000001</v>
      </c>
      <c r="BZ95" s="2" t="n">
        <v>4527.59</v>
      </c>
      <c r="CA95" s="2" t="n">
        <v>9348.289999999999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1273</v>
      </c>
      <c r="B96" t="inlineStr">
        <is>
          <t>Towarowa 5, 84-120 Władysławowo</t>
        </is>
      </c>
      <c r="C96" t="inlineStr">
        <is>
          <t>Władysławowo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504.5</v>
      </c>
      <c r="L96" s="2" t="n">
        <v>41.99495370370371</v>
      </c>
      <c r="M96" s="2" t="n">
        <v>467.1296296296296</v>
      </c>
      <c r="N96" s="2" t="n">
        <v>0</v>
      </c>
      <c r="O96" s="2" t="n">
        <v>504.5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9282.380000000001</v>
      </c>
      <c r="AP96" s="2" t="n">
        <v>5475</v>
      </c>
      <c r="AQ96" s="2" t="n">
        <v>8594.796296296297</v>
      </c>
      <c r="AR96" s="2" t="n">
        <v>0</v>
      </c>
      <c r="AS96" s="2" t="n">
        <v>8265.540000000001</v>
      </c>
      <c r="AT96" s="2" t="n">
        <v>1016.84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9786.880000000001</v>
      </c>
      <c r="BB96" s="2" t="n">
        <v>9786.880000000001</v>
      </c>
      <c r="BC96" s="2">
        <f>F96+L96+R96+X96+AD96+AJ96+AP96+AV96+IF(BE96="",0,BE96)</f>
        <v/>
      </c>
      <c r="BD96" s="2" t="n">
        <v>150.717952</v>
      </c>
      <c r="BE96" s="2" t="n"/>
      <c r="BF96" s="2" t="n">
        <v>9061.925925925927</v>
      </c>
      <c r="BG96" s="2" t="n">
        <v>0</v>
      </c>
      <c r="BH96" s="2" t="n">
        <v>0</v>
      </c>
      <c r="BI96" s="2" t="n">
        <v>25931.19</v>
      </c>
      <c r="BJ96" s="2" t="n">
        <v>87.34537190082645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132.12288</v>
      </c>
      <c r="BQ96" s="2" t="n">
        <v>0</v>
      </c>
      <c r="BR96" s="2" t="n">
        <v>26175.65825190082</v>
      </c>
      <c r="BS96" s="2" t="n">
        <v>812.479173553719</v>
      </c>
      <c r="BT96" s="2" t="n">
        <v>0</v>
      </c>
      <c r="BU96" s="2" t="n">
        <v>5371.202909090909</v>
      </c>
      <c r="BV96" s="2" t="n">
        <v>6183.682082644628</v>
      </c>
      <c r="BW96" s="2" t="n">
        <v>32359.34033454545</v>
      </c>
      <c r="BX96" s="2" t="n">
        <v>8770.040000000001</v>
      </c>
      <c r="BY96" s="2" t="n">
        <v>1016.84</v>
      </c>
      <c r="BZ96" s="2" t="n">
        <v>0</v>
      </c>
      <c r="CA96" s="2" t="n">
        <v>9786.880000000001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1274</v>
      </c>
      <c r="B97" t="inlineStr">
        <is>
          <t>Czersk</t>
        </is>
      </c>
      <c r="C97" t="inlineStr">
        <is>
          <t>Czersk</t>
        </is>
      </c>
      <c r="D97" t="inlineStr">
        <is>
          <t>FAA2000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2821.59</v>
      </c>
      <c r="AP97" s="2" t="n">
        <v>3900</v>
      </c>
      <c r="AQ97" s="2" t="n">
        <v>2612.583333333333</v>
      </c>
      <c r="AR97" s="2" t="n">
        <v>0</v>
      </c>
      <c r="AS97" s="2" t="n">
        <v>2550.93</v>
      </c>
      <c r="AT97" s="2" t="n">
        <v>270.66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2821.59</v>
      </c>
      <c r="BB97" s="2" t="n">
        <v>2821.59</v>
      </c>
      <c r="BC97" s="2">
        <f>F97+L97+R97+X97+AD97+AJ97+AP97+AV97+IF(BE97="",0,BE97)</f>
        <v/>
      </c>
      <c r="BD97" s="2" t="n">
        <v>43.45248599999999</v>
      </c>
      <c r="BE97" s="2" t="n"/>
      <c r="BF97" s="2" t="n">
        <v>2612.583333333333</v>
      </c>
      <c r="BG97" s="2" t="n">
        <v>0</v>
      </c>
      <c r="BH97" s="2" t="n">
        <v>0</v>
      </c>
      <c r="BI97" s="2" t="n">
        <v>25931.19</v>
      </c>
      <c r="BJ97" s="2" t="n">
        <v>87.34537190082645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38.09146499999999</v>
      </c>
      <c r="BQ97" s="2" t="n">
        <v>0</v>
      </c>
      <c r="BR97" s="2" t="n">
        <v>26081.62683690082</v>
      </c>
      <c r="BS97" s="2" t="n">
        <v>812.479173553719</v>
      </c>
      <c r="BT97" s="2" t="n">
        <v>0</v>
      </c>
      <c r="BU97" s="2" t="n">
        <v>5371.202909090909</v>
      </c>
      <c r="BV97" s="2" t="n">
        <v>6183.682082644628</v>
      </c>
      <c r="BW97" s="2" t="n">
        <v>32265.30891954545</v>
      </c>
      <c r="BX97" s="2" t="n">
        <v>2550.93</v>
      </c>
      <c r="BY97" s="2" t="n">
        <v>270.66</v>
      </c>
      <c r="BZ97" s="2" t="n">
        <v>0</v>
      </c>
      <c r="CA97" s="2" t="n">
        <v>2821.59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1275</v>
      </c>
      <c r="B98" t="inlineStr">
        <is>
          <t>Rzeszow Glowny</t>
        </is>
      </c>
      <c r="C98" t="inlineStr">
        <is>
          <t>Poznań Dębiec</t>
        </is>
      </c>
      <c r="D98" t="inlineStr">
        <is>
          <t>FAA2000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13091.02</v>
      </c>
      <c r="L98" s="2" t="n">
        <v>1089.706201851852</v>
      </c>
      <c r="M98" s="2" t="n">
        <v>12121.31481481481</v>
      </c>
      <c r="N98" s="2" t="n">
        <v>2040.24</v>
      </c>
      <c r="O98" s="2" t="n">
        <v>10555.83</v>
      </c>
      <c r="P98" s="2" t="n">
        <v>494.95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24325.57</v>
      </c>
      <c r="AP98" s="2" t="n">
        <v>1779.370398148148</v>
      </c>
      <c r="AQ98" s="2" t="n">
        <v>22523.67592592592</v>
      </c>
      <c r="AR98" s="2" t="n">
        <v>5049.35</v>
      </c>
      <c r="AS98" s="2" t="n">
        <v>18424.44</v>
      </c>
      <c r="AT98" s="2" t="n">
        <v>851.78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37416.59</v>
      </c>
      <c r="BB98" s="2" t="n">
        <v>30327</v>
      </c>
      <c r="BC98" s="2">
        <f>F98+L98+R98+X98+AD98+AJ98+AP98+AV98+IF(BE98="",0,BE98)</f>
        <v/>
      </c>
      <c r="BD98" s="2" t="n">
        <v>467.0358</v>
      </c>
      <c r="BE98" s="2" t="n"/>
      <c r="BF98" s="2" t="n">
        <v>34644.99074074074</v>
      </c>
      <c r="BG98" s="2" t="n">
        <v>415.49</v>
      </c>
      <c r="BH98" s="2" t="n">
        <v>0</v>
      </c>
      <c r="BI98" s="2" t="n">
        <v>25931.19</v>
      </c>
      <c r="BJ98" s="2" t="n">
        <v>87.34537190082645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409.4145</v>
      </c>
      <c r="BQ98" s="2" t="n">
        <v>0</v>
      </c>
      <c r="BR98" s="2" t="n">
        <v>26868.43987190082</v>
      </c>
      <c r="BS98" s="2" t="n">
        <v>812.479173553719</v>
      </c>
      <c r="BT98" s="2" t="n">
        <v>0</v>
      </c>
      <c r="BU98" s="2" t="n">
        <v>5454.300909090909</v>
      </c>
      <c r="BV98" s="2" t="n">
        <v>6266.780082644628</v>
      </c>
      <c r="BW98" s="2" t="n">
        <v>33135.21995454545</v>
      </c>
      <c r="BX98" s="2" t="n">
        <v>28980.27</v>
      </c>
      <c r="BY98" s="2" t="n">
        <v>1346.73</v>
      </c>
      <c r="BZ98" s="2" t="n">
        <v>7089.59</v>
      </c>
      <c r="CA98" s="2" t="n">
        <v>30327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1276</v>
      </c>
      <c r="B99" t="inlineStr">
        <is>
          <t>GDA-STR</t>
        </is>
      </c>
      <c r="C99" t="inlineStr">
        <is>
          <t>Gdańsk Strzyża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7401.74</v>
      </c>
      <c r="AP99" s="2" t="n">
        <v>0</v>
      </c>
      <c r="AQ99" s="2" t="n">
        <v>6853.462962962963</v>
      </c>
      <c r="AR99" s="2" t="n">
        <v>1158.29</v>
      </c>
      <c r="AS99" s="2" t="n">
        <v>6178.88</v>
      </c>
      <c r="AT99" s="2" t="n">
        <v>64.56999999999999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7401.74</v>
      </c>
      <c r="BB99" s="2" t="n">
        <v>6243.45</v>
      </c>
      <c r="BC99" s="2">
        <f>F99+L99+R99+X99+AD99+AJ99+AP99+AV99+IF(BE99="",0,BE99)</f>
        <v/>
      </c>
      <c r="BD99" s="2" t="n">
        <v>96.14913</v>
      </c>
      <c r="BE99" s="2" t="n"/>
      <c r="BF99" s="2" t="n">
        <v>6853.462962962963</v>
      </c>
      <c r="BG99" s="2" t="n">
        <v>0</v>
      </c>
      <c r="BH99" s="2" t="n">
        <v>0</v>
      </c>
      <c r="BI99" s="2" t="n">
        <v>25931.19</v>
      </c>
      <c r="BJ99" s="2" t="n">
        <v>87.34537190082645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84.286575</v>
      </c>
      <c r="BQ99" s="2" t="n">
        <v>0</v>
      </c>
      <c r="BR99" s="2" t="n">
        <v>26127.82194690082</v>
      </c>
      <c r="BS99" s="2" t="n">
        <v>812.479173553719</v>
      </c>
      <c r="BT99" s="2" t="n">
        <v>0</v>
      </c>
      <c r="BU99" s="2" t="n">
        <v>5371.202909090909</v>
      </c>
      <c r="BV99" s="2" t="n">
        <v>6183.682082644628</v>
      </c>
      <c r="BW99" s="2" t="n">
        <v>32311.50402954545</v>
      </c>
      <c r="BX99" s="2" t="n">
        <v>6178.88</v>
      </c>
      <c r="BY99" s="2" t="n">
        <v>64.56999999999999</v>
      </c>
      <c r="BZ99" s="2" t="n">
        <v>1158.29</v>
      </c>
      <c r="CA99" s="2" t="n">
        <v>6243.45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1277</v>
      </c>
      <c r="B100" t="inlineStr">
        <is>
          <t>Plac Konstytucji 1, 81-354 Gdynia</t>
        </is>
      </c>
      <c r="C100" t="inlineStr">
        <is>
          <t>Gdynia Główna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6198.84</v>
      </c>
      <c r="L100" s="2" t="n">
        <v>515.9960333333333</v>
      </c>
      <c r="M100" s="2" t="n">
        <v>5739.666666666666</v>
      </c>
      <c r="N100" s="2" t="n">
        <v>1961.99</v>
      </c>
      <c r="O100" s="2" t="n">
        <v>4124.35</v>
      </c>
      <c r="P100" s="2" t="n">
        <v>112.5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13491.38</v>
      </c>
      <c r="AP100" s="2" t="n">
        <v>986.869462962963</v>
      </c>
      <c r="AQ100" s="2" t="n">
        <v>12492.01851851852</v>
      </c>
      <c r="AR100" s="2" t="n">
        <v>3509.61</v>
      </c>
      <c r="AS100" s="2" t="n">
        <v>9331.17</v>
      </c>
      <c r="AT100" s="2" t="n">
        <v>650.6</v>
      </c>
      <c r="AU100" s="2" t="n">
        <v>16308.15</v>
      </c>
      <c r="AV100" s="2" t="n">
        <v>453.0041666666666</v>
      </c>
      <c r="AW100" s="2" t="n">
        <v>15100.13888888889</v>
      </c>
      <c r="AX100" s="2" t="n">
        <v>3055</v>
      </c>
      <c r="AY100" s="2" t="n">
        <v>12649.9</v>
      </c>
      <c r="AZ100" s="2" t="n">
        <v>603.25</v>
      </c>
      <c r="BA100" s="2" t="n">
        <v>35998.37</v>
      </c>
      <c r="BB100" s="2" t="n">
        <v>27471.77</v>
      </c>
      <c r="BC100" s="2">
        <f>F100+L100+R100+X100+AD100+AJ100+AP100+AV100+IF(BE100="",0,BE100)</f>
        <v/>
      </c>
      <c r="BD100" s="2" t="n">
        <v>423.0652580000001</v>
      </c>
      <c r="BE100" s="2" t="n"/>
      <c r="BF100" s="2" t="n">
        <v>33331.82407407407</v>
      </c>
      <c r="BG100" s="2" t="n">
        <v>937.59</v>
      </c>
      <c r="BH100" s="2" t="n">
        <v>0</v>
      </c>
      <c r="BI100" s="2" t="n">
        <v>25931.19</v>
      </c>
      <c r="BJ100" s="2" t="n">
        <v>87.34537190082645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370.868895</v>
      </c>
      <c r="BQ100" s="2" t="n">
        <v>0</v>
      </c>
      <c r="BR100" s="2" t="n">
        <v>27351.99426690082</v>
      </c>
      <c r="BS100" s="2" t="n">
        <v>812.479173553719</v>
      </c>
      <c r="BT100" s="2" t="n">
        <v>0</v>
      </c>
      <c r="BU100" s="2" t="n">
        <v>5558.720909090909</v>
      </c>
      <c r="BV100" s="2" t="n">
        <v>6371.200082644628</v>
      </c>
      <c r="BW100" s="2" t="n">
        <v>33723.19434954545</v>
      </c>
      <c r="BX100" s="2" t="n">
        <v>26105.42</v>
      </c>
      <c r="BY100" s="2" t="n">
        <v>1366.35</v>
      </c>
      <c r="BZ100" s="2" t="n">
        <v>8526.6</v>
      </c>
      <c r="CA100" s="2" t="n">
        <v>27471.77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1278</v>
      </c>
      <c r="B101" t="inlineStr">
        <is>
          <t>Plac Konstytucji 1, 81-354 Gdynia</t>
        </is>
      </c>
      <c r="C101" t="inlineStr">
        <is>
          <t>Gdynia Główna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8909.919999999998</v>
      </c>
      <c r="L101" s="2" t="n">
        <v>741.6683407407405</v>
      </c>
      <c r="M101" s="2" t="n">
        <v>8249.925925925923</v>
      </c>
      <c r="N101" s="2" t="n">
        <v>3031.39</v>
      </c>
      <c r="O101" s="2" t="n">
        <v>5800.48</v>
      </c>
      <c r="P101" s="2" t="n">
        <v>78.05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17591.76</v>
      </c>
      <c r="AP101" s="2" t="n">
        <v>1286.804666666666</v>
      </c>
      <c r="AQ101" s="2" t="n">
        <v>16288.66666666666</v>
      </c>
      <c r="AR101" s="2" t="n">
        <v>3967.69</v>
      </c>
      <c r="AS101" s="2" t="n">
        <v>12759.41</v>
      </c>
      <c r="AT101" s="2" t="n">
        <v>864.66</v>
      </c>
      <c r="AU101" s="2" t="n">
        <v>15923.9</v>
      </c>
      <c r="AV101" s="2" t="n">
        <v>442.3305555555555</v>
      </c>
      <c r="AW101" s="2" t="n">
        <v>14744.35185185185</v>
      </c>
      <c r="AX101" s="2" t="n">
        <v>2806.65</v>
      </c>
      <c r="AY101" s="2" t="n">
        <v>12331.4</v>
      </c>
      <c r="AZ101" s="2" t="n">
        <v>785.85</v>
      </c>
      <c r="BA101" s="2" t="n">
        <v>42425.57999999999</v>
      </c>
      <c r="BB101" s="2" t="n">
        <v>32619.85</v>
      </c>
      <c r="BC101" s="2">
        <f>F101+L101+R101+X101+AD101+AJ101+AP101+AV101+IF(BE101="",0,BE101)</f>
        <v/>
      </c>
      <c r="BD101" s="2" t="n">
        <v>502.34569</v>
      </c>
      <c r="BE101" s="2" t="n"/>
      <c r="BF101" s="2" t="n">
        <v>39282.94444444444</v>
      </c>
      <c r="BG101" s="2" t="n">
        <v>1174.62</v>
      </c>
      <c r="BH101" s="2" t="n">
        <v>0</v>
      </c>
      <c r="BI101" s="2" t="n">
        <v>25931.19</v>
      </c>
      <c r="BJ101" s="2" t="n">
        <v>87.34537190082645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440.367975</v>
      </c>
      <c r="BQ101" s="2" t="n">
        <v>0</v>
      </c>
      <c r="BR101" s="2" t="n">
        <v>27658.52334690082</v>
      </c>
      <c r="BS101" s="2" t="n">
        <v>812.479173553719</v>
      </c>
      <c r="BT101" s="2" t="n">
        <v>0</v>
      </c>
      <c r="BU101" s="2" t="n">
        <v>5606.126909090909</v>
      </c>
      <c r="BV101" s="2" t="n">
        <v>6418.606082644628</v>
      </c>
      <c r="BW101" s="2" t="n">
        <v>34077.12942954545</v>
      </c>
      <c r="BX101" s="2" t="n">
        <v>30891.29</v>
      </c>
      <c r="BY101" s="2" t="n">
        <v>1728.56</v>
      </c>
      <c r="BZ101" s="2" t="n">
        <v>9805.73</v>
      </c>
      <c r="CA101" s="2" t="n">
        <v>32619.85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1279</v>
      </c>
      <c r="B102" t="inlineStr">
        <is>
          <t>GDA-GL</t>
        </is>
      </c>
      <c r="C102" t="inlineStr">
        <is>
          <t>Gdańsk Brętowo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3449.67</v>
      </c>
      <c r="AP102" s="2" t="n">
        <v>0</v>
      </c>
      <c r="AQ102" s="2" t="n">
        <v>3194.138888888889</v>
      </c>
      <c r="AR102" s="2" t="n">
        <v>555.86</v>
      </c>
      <c r="AS102" s="2" t="n">
        <v>2835.16</v>
      </c>
      <c r="AT102" s="2" t="n">
        <v>58.65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3449.67</v>
      </c>
      <c r="BB102" s="2" t="n">
        <v>2893.81</v>
      </c>
      <c r="BC102" s="2">
        <f>F102+L102+R102+X102+AD102+AJ102+AP102+AV102+IF(BE102="",0,BE102)</f>
        <v/>
      </c>
      <c r="BD102" s="2" t="n">
        <v>44.564674</v>
      </c>
      <c r="BE102" s="2" t="n"/>
      <c r="BF102" s="2" t="n">
        <v>3194.138888888889</v>
      </c>
      <c r="BG102" s="2" t="n">
        <v>0</v>
      </c>
      <c r="BH102" s="2" t="n">
        <v>0</v>
      </c>
      <c r="BI102" s="2" t="n">
        <v>25931.19</v>
      </c>
      <c r="BJ102" s="2" t="n">
        <v>87.34537190082645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39.066435</v>
      </c>
      <c r="BQ102" s="2" t="n">
        <v>0</v>
      </c>
      <c r="BR102" s="2" t="n">
        <v>26082.60180690082</v>
      </c>
      <c r="BS102" s="2" t="n">
        <v>812.479173553719</v>
      </c>
      <c r="BT102" s="2" t="n">
        <v>0</v>
      </c>
      <c r="BU102" s="2" t="n">
        <v>5371.202909090909</v>
      </c>
      <c r="BV102" s="2" t="n">
        <v>6183.682082644628</v>
      </c>
      <c r="BW102" s="2" t="n">
        <v>32266.28388954545</v>
      </c>
      <c r="BX102" s="2" t="n">
        <v>2835.16</v>
      </c>
      <c r="BY102" s="2" t="n">
        <v>58.65</v>
      </c>
      <c r="BZ102" s="2" t="n">
        <v>555.86</v>
      </c>
      <c r="CA102" s="2" t="n">
        <v>2893.81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1280</v>
      </c>
      <c r="B103" t="inlineStr">
        <is>
          <t>GRODZW</t>
        </is>
      </c>
      <c r="C103" t="inlineStr">
        <is>
          <t>Gdańsk Jasień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7234.54</v>
      </c>
      <c r="AP103" s="2" t="n">
        <v>0</v>
      </c>
      <c r="AQ103" s="2" t="n">
        <v>6698.648148148148</v>
      </c>
      <c r="AR103" s="2" t="n">
        <v>1160.24</v>
      </c>
      <c r="AS103" s="2" t="n">
        <v>5976.74</v>
      </c>
      <c r="AT103" s="2" t="n">
        <v>97.56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7234.54</v>
      </c>
      <c r="BB103" s="2" t="n">
        <v>6074.3</v>
      </c>
      <c r="BC103" s="2">
        <f>F103+L103+R103+X103+AD103+AJ103+AP103+AV103+IF(BE103="",0,BE103)</f>
        <v/>
      </c>
      <c r="BD103" s="2" t="n">
        <v>93.54422000000001</v>
      </c>
      <c r="BE103" s="2" t="n"/>
      <c r="BF103" s="2" t="n">
        <v>6698.648148148148</v>
      </c>
      <c r="BG103" s="2" t="n">
        <v>0</v>
      </c>
      <c r="BH103" s="2" t="n">
        <v>0</v>
      </c>
      <c r="BI103" s="2" t="n">
        <v>25931.19</v>
      </c>
      <c r="BJ103" s="2" t="n">
        <v>87.34537190082645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82.00305</v>
      </c>
      <c r="BQ103" s="2" t="n">
        <v>0</v>
      </c>
      <c r="BR103" s="2" t="n">
        <v>26125.53842190082</v>
      </c>
      <c r="BS103" s="2" t="n">
        <v>812.479173553719</v>
      </c>
      <c r="BT103" s="2" t="n">
        <v>0</v>
      </c>
      <c r="BU103" s="2" t="n">
        <v>5371.202909090909</v>
      </c>
      <c r="BV103" s="2" t="n">
        <v>6183.682082644628</v>
      </c>
      <c r="BW103" s="2" t="n">
        <v>32309.22050454545</v>
      </c>
      <c r="BX103" s="2" t="n">
        <v>5976.74</v>
      </c>
      <c r="BY103" s="2" t="n">
        <v>97.56</v>
      </c>
      <c r="BZ103" s="2" t="n">
        <v>1160.24</v>
      </c>
      <c r="CA103" s="2" t="n">
        <v>6074.3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1281</v>
      </c>
      <c r="B104" t="inlineStr">
        <is>
          <t>GRANOW</t>
        </is>
      </c>
      <c r="C104" t="inlineStr">
        <is>
          <t>Gdańsk Kiełpinek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10002.95</v>
      </c>
      <c r="AP104" s="2" t="n">
        <v>0</v>
      </c>
      <c r="AQ104" s="2" t="n">
        <v>9261.990740740741</v>
      </c>
      <c r="AR104" s="2" t="n">
        <v>1701.28</v>
      </c>
      <c r="AS104" s="2" t="n">
        <v>7987.67</v>
      </c>
      <c r="AT104" s="2" t="n">
        <v>314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10002.95</v>
      </c>
      <c r="BB104" s="2" t="n">
        <v>8301.67</v>
      </c>
      <c r="BC104" s="2">
        <f>F104+L104+R104+X104+AD104+AJ104+AP104+AV104+IF(BE104="",0,BE104)</f>
        <v/>
      </c>
      <c r="BD104" s="2" t="n">
        <v>127.845718</v>
      </c>
      <c r="BE104" s="2" t="n"/>
      <c r="BF104" s="2" t="n">
        <v>9261.990740740741</v>
      </c>
      <c r="BG104" s="2" t="n">
        <v>0</v>
      </c>
      <c r="BH104" s="2" t="n">
        <v>0</v>
      </c>
      <c r="BI104" s="2" t="n">
        <v>25931.19</v>
      </c>
      <c r="BJ104" s="2" t="n">
        <v>87.34537190082645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112.072545</v>
      </c>
      <c r="BQ104" s="2" t="n">
        <v>0</v>
      </c>
      <c r="BR104" s="2" t="n">
        <v>26155.60791690082</v>
      </c>
      <c r="BS104" s="2" t="n">
        <v>812.479173553719</v>
      </c>
      <c r="BT104" s="2" t="n">
        <v>0</v>
      </c>
      <c r="BU104" s="2" t="n">
        <v>5371.202909090909</v>
      </c>
      <c r="BV104" s="2" t="n">
        <v>6183.682082644628</v>
      </c>
      <c r="BW104" s="2" t="n">
        <v>32339.28999954545</v>
      </c>
      <c r="BX104" s="2" t="n">
        <v>7987.67</v>
      </c>
      <c r="BY104" s="2" t="n">
        <v>314</v>
      </c>
      <c r="BZ104" s="2" t="n">
        <v>1701.28</v>
      </c>
      <c r="CA104" s="2" t="n">
        <v>8301.67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1282</v>
      </c>
      <c r="B105" t="inlineStr">
        <is>
          <t>STESZEW</t>
        </is>
      </c>
      <c r="C105" t="inlineStr">
        <is>
          <t>Gdańsk Port Lotniczy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27260.53</v>
      </c>
      <c r="AP105" s="2" t="n">
        <v>0</v>
      </c>
      <c r="AQ105" s="2" t="n">
        <v>25241.23148148148</v>
      </c>
      <c r="AR105" s="2" t="n">
        <v>3680.36</v>
      </c>
      <c r="AS105" s="2" t="n">
        <v>22873.03</v>
      </c>
      <c r="AT105" s="2" t="n">
        <v>707.14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27260.53</v>
      </c>
      <c r="BB105" s="2" t="n">
        <v>23580.17</v>
      </c>
      <c r="BC105" s="2">
        <f>F105+L105+R105+X105+AD105+AJ105+AP105+AV105+IF(BE105="",0,BE105)</f>
        <v/>
      </c>
      <c r="BD105" s="2" t="n">
        <v>363.134618</v>
      </c>
      <c r="BE105" s="2" t="n"/>
      <c r="BF105" s="2" t="n">
        <v>25241.23148148148</v>
      </c>
      <c r="BG105" s="2" t="n">
        <v>0</v>
      </c>
      <c r="BH105" s="2" t="n">
        <v>0</v>
      </c>
      <c r="BI105" s="2" t="n">
        <v>25931.19</v>
      </c>
      <c r="BJ105" s="2" t="n">
        <v>87.34537190082645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318.332295</v>
      </c>
      <c r="BQ105" s="2" t="n">
        <v>0</v>
      </c>
      <c r="BR105" s="2" t="n">
        <v>26361.86766690082</v>
      </c>
      <c r="BS105" s="2" t="n">
        <v>812.479173553719</v>
      </c>
      <c r="BT105" s="2" t="n">
        <v>0</v>
      </c>
      <c r="BU105" s="2" t="n">
        <v>5371.202909090909</v>
      </c>
      <c r="BV105" s="2" t="n">
        <v>6183.682082644628</v>
      </c>
      <c r="BW105" s="2" t="n">
        <v>32545.54974954545</v>
      </c>
      <c r="BX105" s="2" t="n">
        <v>22873.03</v>
      </c>
      <c r="BY105" s="2" t="n">
        <v>707.14</v>
      </c>
      <c r="BZ105" s="2" t="n">
        <v>3680.36</v>
      </c>
      <c r="CA105" s="2" t="n">
        <v>23580.17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1283</v>
      </c>
      <c r="B106" t="inlineStr">
        <is>
          <t>CZERWO</t>
        </is>
      </c>
      <c r="C106" t="inlineStr">
        <is>
          <t>Gdańsk Port Lotniczy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17840.08</v>
      </c>
      <c r="AP106" s="2" t="n">
        <v>0</v>
      </c>
      <c r="AQ106" s="2" t="n">
        <v>16518.59259259259</v>
      </c>
      <c r="AR106" s="2" t="n">
        <v>3512.95</v>
      </c>
      <c r="AS106" s="2" t="n">
        <v>13627.31</v>
      </c>
      <c r="AT106" s="2" t="n">
        <v>699.8200000000001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17840.08</v>
      </c>
      <c r="BB106" s="2" t="n">
        <v>14327.13</v>
      </c>
      <c r="BC106" s="2">
        <f>F106+L106+R106+X106+AD106+AJ106+AP106+AV106+IF(BE106="",0,BE106)</f>
        <v/>
      </c>
      <c r="BD106" s="2" t="n">
        <v>220.637802</v>
      </c>
      <c r="BE106" s="2" t="n"/>
      <c r="BF106" s="2" t="n">
        <v>16518.59259259259</v>
      </c>
      <c r="BG106" s="2" t="n">
        <v>0</v>
      </c>
      <c r="BH106" s="2" t="n">
        <v>0</v>
      </c>
      <c r="BI106" s="2" t="n">
        <v>25931.19</v>
      </c>
      <c r="BJ106" s="2" t="n">
        <v>87.34537190082645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193.416255</v>
      </c>
      <c r="BQ106" s="2" t="n">
        <v>0</v>
      </c>
      <c r="BR106" s="2" t="n">
        <v>26236.95162690082</v>
      </c>
      <c r="BS106" s="2" t="n">
        <v>812.479173553719</v>
      </c>
      <c r="BT106" s="2" t="n">
        <v>0</v>
      </c>
      <c r="BU106" s="2" t="n">
        <v>5371.202909090909</v>
      </c>
      <c r="BV106" s="2" t="n">
        <v>6183.682082644628</v>
      </c>
      <c r="BW106" s="2" t="n">
        <v>32420.63370954545</v>
      </c>
      <c r="BX106" s="2" t="n">
        <v>13627.31</v>
      </c>
      <c r="BY106" s="2" t="n">
        <v>699.8200000000001</v>
      </c>
      <c r="BZ106" s="2" t="n">
        <v>3512.95</v>
      </c>
      <c r="CA106" s="2" t="n">
        <v>14327.13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1284</v>
      </c>
      <c r="B107" t="inlineStr">
        <is>
          <t>OWINSK</t>
        </is>
      </c>
      <c r="C107" t="inlineStr">
        <is>
          <t>Gdańsk Rębiechowo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4862.169999999999</v>
      </c>
      <c r="AP107" s="2" t="n">
        <v>0</v>
      </c>
      <c r="AQ107" s="2" t="n">
        <v>4502.009259259258</v>
      </c>
      <c r="AR107" s="2" t="n">
        <v>633.73</v>
      </c>
      <c r="AS107" s="2" t="n">
        <v>4172.08</v>
      </c>
      <c r="AT107" s="2" t="n">
        <v>56.36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4862.169999999999</v>
      </c>
      <c r="BB107" s="2" t="n">
        <v>4228.44</v>
      </c>
      <c r="BC107" s="2">
        <f>F107+L107+R107+X107+AD107+AJ107+AP107+AV107+IF(BE107="",0,BE107)</f>
        <v/>
      </c>
      <c r="BD107" s="2" t="n">
        <v>65.117976</v>
      </c>
      <c r="BE107" s="2" t="n"/>
      <c r="BF107" s="2" t="n">
        <v>4502.009259259258</v>
      </c>
      <c r="BG107" s="2" t="n">
        <v>0</v>
      </c>
      <c r="BH107" s="2" t="n">
        <v>0</v>
      </c>
      <c r="BI107" s="2" t="n">
        <v>25931.19</v>
      </c>
      <c r="BJ107" s="2" t="n">
        <v>87.34537190082645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57.08393999999999</v>
      </c>
      <c r="BQ107" s="2" t="n">
        <v>0</v>
      </c>
      <c r="BR107" s="2" t="n">
        <v>26100.61931190082</v>
      </c>
      <c r="BS107" s="2" t="n">
        <v>812.479173553719</v>
      </c>
      <c r="BT107" s="2" t="n">
        <v>0</v>
      </c>
      <c r="BU107" s="2" t="n">
        <v>5371.202909090909</v>
      </c>
      <c r="BV107" s="2" t="n">
        <v>6183.682082644628</v>
      </c>
      <c r="BW107" s="2" t="n">
        <v>32284.30139454545</v>
      </c>
      <c r="BX107" s="2" t="n">
        <v>4172.08</v>
      </c>
      <c r="BY107" s="2" t="n">
        <v>56.36</v>
      </c>
      <c r="BZ107" s="2" t="n">
        <v>633.73</v>
      </c>
      <c r="CA107" s="2" t="n">
        <v>4228.44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1285</v>
      </c>
      <c r="B108" t="inlineStr">
        <is>
          <t>ZIELWZG</t>
        </is>
      </c>
      <c r="C108" t="inlineStr">
        <is>
          <t>Gdańsk Osowa</t>
        </is>
      </c>
      <c r="D108" t="inlineStr">
        <is>
          <t>ST|40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6138</v>
      </c>
      <c r="AP108" s="2" t="n">
        <v>0</v>
      </c>
      <c r="AQ108" s="2" t="n">
        <v>5683.333333333333</v>
      </c>
      <c r="AR108" s="2" t="n">
        <v>1520.28</v>
      </c>
      <c r="AS108" s="2" t="n">
        <v>4573.31</v>
      </c>
      <c r="AT108" s="2" t="n">
        <v>44.41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6138</v>
      </c>
      <c r="BB108" s="2" t="n">
        <v>4617.72</v>
      </c>
      <c r="BC108" s="2">
        <f>F108+L108+R108+X108+AD108+AJ108+AP108+AV108+IF(BE108="",0,BE108)</f>
        <v/>
      </c>
      <c r="BD108" s="2" t="n">
        <v>71.11288800000001</v>
      </c>
      <c r="BE108" s="2" t="n"/>
      <c r="BF108" s="2" t="n">
        <v>5683.333333333333</v>
      </c>
      <c r="BG108" s="2" t="n">
        <v>0</v>
      </c>
      <c r="BH108" s="2" t="n">
        <v>0</v>
      </c>
      <c r="BI108" s="2" t="n">
        <v>25931.19</v>
      </c>
      <c r="BJ108" s="2" t="n">
        <v>87.34537190082645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62.33922</v>
      </c>
      <c r="BQ108" s="2" t="n">
        <v>0</v>
      </c>
      <c r="BR108" s="2" t="n">
        <v>26105.87459190083</v>
      </c>
      <c r="BS108" s="2" t="n">
        <v>812.479173553719</v>
      </c>
      <c r="BT108" s="2" t="n">
        <v>0</v>
      </c>
      <c r="BU108" s="2" t="n">
        <v>5371.202909090909</v>
      </c>
      <c r="BV108" s="2" t="n">
        <v>6183.682082644628</v>
      </c>
      <c r="BW108" s="2" t="n">
        <v>32289.55667454545</v>
      </c>
      <c r="BX108" s="2" t="n">
        <v>4573.31</v>
      </c>
      <c r="BY108" s="2" t="n">
        <v>44.41</v>
      </c>
      <c r="BZ108" s="2" t="n">
        <v>1520.28</v>
      </c>
      <c r="CA108" s="2" t="n">
        <v>4617.72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1286</v>
      </c>
      <c r="B109" t="inlineStr">
        <is>
          <t>Dworcowa 2, 61-801 Poznań</t>
        </is>
      </c>
      <c r="C109" t="inlineStr">
        <is>
          <t>Poznań Główny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8588.52</v>
      </c>
      <c r="L109" s="2" t="n">
        <v>714.9147666666667</v>
      </c>
      <c r="M109" s="2" t="n">
        <v>7952.333333333333</v>
      </c>
      <c r="N109" s="2" t="n">
        <v>1079.21</v>
      </c>
      <c r="O109" s="2" t="n">
        <v>7175.38</v>
      </c>
      <c r="P109" s="2" t="n">
        <v>333.93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11041.66</v>
      </c>
      <c r="AD109" s="2" t="n">
        <v>705.439388888889</v>
      </c>
      <c r="AE109" s="2" t="n">
        <v>10223.75925925926</v>
      </c>
      <c r="AF109" s="2" t="n">
        <v>1307.66</v>
      </c>
      <c r="AG109" s="2" t="n">
        <v>9216.82</v>
      </c>
      <c r="AH109" s="2" t="n">
        <v>517.1799999999999</v>
      </c>
      <c r="AI109" s="2" t="n">
        <v>207.8</v>
      </c>
      <c r="AJ109" s="2" t="n">
        <v>14.43055555555556</v>
      </c>
      <c r="AK109" s="2" t="n">
        <v>192.4074074074074</v>
      </c>
      <c r="AL109" s="2" t="n">
        <v>0</v>
      </c>
      <c r="AM109" s="2" t="n">
        <v>207.8</v>
      </c>
      <c r="AN109" s="2" t="n">
        <v>0</v>
      </c>
      <c r="AO109" s="2" t="n">
        <v>3703.17</v>
      </c>
      <c r="AP109" s="2" t="n">
        <v>270.8800277777777</v>
      </c>
      <c r="AQ109" s="2" t="n">
        <v>3428.861111111111</v>
      </c>
      <c r="AR109" s="2" t="n">
        <v>394.61</v>
      </c>
      <c r="AS109" s="2" t="n">
        <v>3178.56</v>
      </c>
      <c r="AT109" s="2" t="n">
        <v>130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23541.15</v>
      </c>
      <c r="BB109" s="2" t="n">
        <v>20759.67</v>
      </c>
      <c r="BC109" s="2">
        <f>F109+L109+R109+X109+AD109+AJ109+AP109+AV109+IF(BE109="",0,BE109)</f>
        <v/>
      </c>
      <c r="BD109" s="2" t="n">
        <v>319.698918</v>
      </c>
      <c r="BE109" s="2" t="n"/>
      <c r="BF109" s="2" t="n">
        <v>21797.36111111111</v>
      </c>
      <c r="BG109" s="2" t="n">
        <v>458.58</v>
      </c>
      <c r="BH109" s="2" t="n">
        <v>0</v>
      </c>
      <c r="BI109" s="2" t="n">
        <v>25931.19</v>
      </c>
      <c r="BJ109" s="2" t="n">
        <v>87.34537190082645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280.255545</v>
      </c>
      <c r="BQ109" s="2" t="n">
        <v>0</v>
      </c>
      <c r="BR109" s="2" t="n">
        <v>26782.37091690083</v>
      </c>
      <c r="BS109" s="2" t="n">
        <v>812.479173553719</v>
      </c>
      <c r="BT109" s="2" t="n">
        <v>0</v>
      </c>
      <c r="BU109" s="2" t="n">
        <v>5462.918909090909</v>
      </c>
      <c r="BV109" s="2" t="n">
        <v>6275.398082644629</v>
      </c>
      <c r="BW109" s="2" t="n">
        <v>33057.76899954546</v>
      </c>
      <c r="BX109" s="2" t="n">
        <v>19778.56</v>
      </c>
      <c r="BY109" s="2" t="n">
        <v>981.1099999999999</v>
      </c>
      <c r="BZ109" s="2" t="n">
        <v>2781.48</v>
      </c>
      <c r="CA109" s="2" t="n">
        <v>20759.67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1287</v>
      </c>
      <c r="B110" t="inlineStr">
        <is>
          <t>Kościuszki 54, 82-500 Kwidzyn</t>
        </is>
      </c>
      <c r="C110" t="inlineStr">
        <is>
          <t>Kwidzyn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3419.86</v>
      </c>
      <c r="AP110" s="2" t="n">
        <v>4060</v>
      </c>
      <c r="AQ110" s="2" t="n">
        <v>3166.537037037036</v>
      </c>
      <c r="AR110" s="2" t="n">
        <v>0</v>
      </c>
      <c r="AS110" s="2" t="n">
        <v>3210.68</v>
      </c>
      <c r="AT110" s="2" t="n">
        <v>209.18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3419.86</v>
      </c>
      <c r="BB110" s="2" t="n">
        <v>3419.86</v>
      </c>
      <c r="BC110" s="2">
        <f>F110+L110+R110+X110+AD110+AJ110+AP110+AV110+IF(BE110="",0,BE110)</f>
        <v/>
      </c>
      <c r="BD110" s="2" t="n">
        <v>52.665844</v>
      </c>
      <c r="BE110" s="2" t="n"/>
      <c r="BF110" s="2" t="n">
        <v>3166.537037037036</v>
      </c>
      <c r="BG110" s="2" t="n">
        <v>0</v>
      </c>
      <c r="BH110" s="2" t="n">
        <v>0</v>
      </c>
      <c r="BI110" s="2" t="n">
        <v>25931.19</v>
      </c>
      <c r="BJ110" s="2" t="n">
        <v>87.34537190082645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46.16810999999999</v>
      </c>
      <c r="BQ110" s="2" t="n">
        <v>0</v>
      </c>
      <c r="BR110" s="2" t="n">
        <v>26089.70348190082</v>
      </c>
      <c r="BS110" s="2" t="n">
        <v>812.479173553719</v>
      </c>
      <c r="BT110" s="2" t="n">
        <v>0</v>
      </c>
      <c r="BU110" s="2" t="n">
        <v>5371.202909090909</v>
      </c>
      <c r="BV110" s="2" t="n">
        <v>6183.682082644628</v>
      </c>
      <c r="BW110" s="2" t="n">
        <v>32273.38556454545</v>
      </c>
      <c r="BX110" s="2" t="n">
        <v>3210.68</v>
      </c>
      <c r="BY110" s="2" t="n">
        <v>209.18</v>
      </c>
      <c r="BZ110" s="2" t="n">
        <v>0</v>
      </c>
      <c r="CA110" s="2" t="n">
        <v>3419.86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1288</v>
      </c>
      <c r="B111" t="inlineStr">
        <is>
          <t>Ks. Stefańskiego 6, 84-140 Jastarnia</t>
        </is>
      </c>
      <c r="C111" t="inlineStr">
        <is>
          <t>Jastania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8382.17</v>
      </c>
      <c r="AP111" s="2" t="n">
        <v>4494</v>
      </c>
      <c r="AQ111" s="2" t="n">
        <v>7761.268518518518</v>
      </c>
      <c r="AR111" s="2" t="n">
        <v>0</v>
      </c>
      <c r="AS111" s="2" t="n">
        <v>7702.68</v>
      </c>
      <c r="AT111" s="2" t="n">
        <v>679.49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8382.17</v>
      </c>
      <c r="BB111" s="2" t="n">
        <v>8382.17</v>
      </c>
      <c r="BC111" s="2">
        <f>F111+L111+R111+X111+AD111+AJ111+AP111+AV111+IF(BE111="",0,BE111)</f>
        <v/>
      </c>
      <c r="BD111" s="2" t="n">
        <v>129.085418</v>
      </c>
      <c r="BE111" s="2" t="n"/>
      <c r="BF111" s="2" t="n">
        <v>7761.268518518518</v>
      </c>
      <c r="BG111" s="2" t="n">
        <v>0</v>
      </c>
      <c r="BH111" s="2" t="n">
        <v>0</v>
      </c>
      <c r="BI111" s="2" t="n">
        <v>25931.19</v>
      </c>
      <c r="BJ111" s="2" t="n">
        <v>87.34537190082645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113.159295</v>
      </c>
      <c r="BQ111" s="2" t="n">
        <v>0</v>
      </c>
      <c r="BR111" s="2" t="n">
        <v>26156.69466690082</v>
      </c>
      <c r="BS111" s="2" t="n">
        <v>812.479173553719</v>
      </c>
      <c r="BT111" s="2" t="n">
        <v>0</v>
      </c>
      <c r="BU111" s="2" t="n">
        <v>5371.202909090909</v>
      </c>
      <c r="BV111" s="2" t="n">
        <v>6183.682082644628</v>
      </c>
      <c r="BW111" s="2" t="n">
        <v>32340.37674954545</v>
      </c>
      <c r="BX111" s="2" t="n">
        <v>7702.68</v>
      </c>
      <c r="BY111" s="2" t="n">
        <v>679.49</v>
      </c>
      <c r="BZ111" s="2" t="n">
        <v>0</v>
      </c>
      <c r="CA111" s="2" t="n">
        <v>8382.17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1289</v>
      </c>
      <c r="B112" t="inlineStr">
        <is>
          <t>Dworcowa 1, 84-150 Hel</t>
        </is>
      </c>
      <c r="C112" t="inlineStr">
        <is>
          <t>Hel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15041.02</v>
      </c>
      <c r="AP112" s="2" t="n">
        <v>4494</v>
      </c>
      <c r="AQ112" s="2" t="n">
        <v>13926.87037037037</v>
      </c>
      <c r="AR112" s="2" t="n">
        <v>0</v>
      </c>
      <c r="AS112" s="2" t="n">
        <v>12878.77</v>
      </c>
      <c r="AT112" s="2" t="n">
        <v>2162.25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15041.02</v>
      </c>
      <c r="BB112" s="2" t="n">
        <v>15041.02</v>
      </c>
      <c r="BC112" s="2">
        <f>F112+L112+R112+X112+AD112+AJ112+AP112+AV112+IF(BE112="",0,BE112)</f>
        <v/>
      </c>
      <c r="BD112" s="2" t="n">
        <v>231.631708</v>
      </c>
      <c r="BE112" s="2" t="n"/>
      <c r="BF112" s="2" t="n">
        <v>13926.87037037037</v>
      </c>
      <c r="BG112" s="2" t="n">
        <v>0</v>
      </c>
      <c r="BH112" s="2" t="n">
        <v>0</v>
      </c>
      <c r="BI112" s="2" t="n">
        <v>25931.19</v>
      </c>
      <c r="BJ112" s="2" t="n">
        <v>87.34537190082645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203.05377</v>
      </c>
      <c r="BQ112" s="2" t="n">
        <v>0</v>
      </c>
      <c r="BR112" s="2" t="n">
        <v>26246.58914190082</v>
      </c>
      <c r="BS112" s="2" t="n">
        <v>812.479173553719</v>
      </c>
      <c r="BT112" s="2" t="n">
        <v>0</v>
      </c>
      <c r="BU112" s="2" t="n">
        <v>5371.202909090909</v>
      </c>
      <c r="BV112" s="2" t="n">
        <v>6183.682082644628</v>
      </c>
      <c r="BW112" s="2" t="n">
        <v>32430.27122454545</v>
      </c>
      <c r="BX112" s="2" t="n">
        <v>12878.77</v>
      </c>
      <c r="BY112" s="2" t="n">
        <v>2162.25</v>
      </c>
      <c r="BZ112" s="2" t="n">
        <v>0</v>
      </c>
      <c r="CA112" s="2" t="n">
        <v>15041.02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1290</v>
      </c>
      <c r="B113" t="inlineStr">
        <is>
          <t>Kolumba 2, 70-035 Szczecin</t>
        </is>
      </c>
      <c r="C113" t="inlineStr">
        <is>
          <t>Szczecin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20538.14</v>
      </c>
      <c r="L113" s="2" t="n">
        <v>1709.609987037037</v>
      </c>
      <c r="M113" s="2" t="n">
        <v>19016.7962962963</v>
      </c>
      <c r="N113" s="2" t="n">
        <v>7763.9</v>
      </c>
      <c r="O113" s="2" t="n">
        <v>11835.41</v>
      </c>
      <c r="P113" s="2" t="n">
        <v>938.83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30858.12</v>
      </c>
      <c r="AP113" s="2" t="n">
        <v>2257.214333333333</v>
      </c>
      <c r="AQ113" s="2" t="n">
        <v>28572.33333333333</v>
      </c>
      <c r="AR113" s="2" t="n">
        <v>11034</v>
      </c>
      <c r="AS113" s="2" t="n">
        <v>17581.45</v>
      </c>
      <c r="AT113" s="2" t="n">
        <v>2242.67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51396.26</v>
      </c>
      <c r="BB113" s="2" t="n">
        <v>32598.36</v>
      </c>
      <c r="BC113" s="2">
        <f>F113+L113+R113+X113+AD113+AJ113+AP113+AV113+IF(BE113="",0,BE113)</f>
        <v/>
      </c>
      <c r="BD113" s="2" t="n">
        <v>502.0147440000001</v>
      </c>
      <c r="BE113" s="2" t="n"/>
      <c r="BF113" s="2" t="n">
        <v>47589.12962962963</v>
      </c>
      <c r="BG113" s="2" t="n">
        <v>458.58</v>
      </c>
      <c r="BH113" s="2" t="n">
        <v>0</v>
      </c>
      <c r="BI113" s="2" t="n">
        <v>25931.19</v>
      </c>
      <c r="BJ113" s="2" t="n">
        <v>87.34537190082645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440.07786</v>
      </c>
      <c r="BQ113" s="2" t="n">
        <v>0</v>
      </c>
      <c r="BR113" s="2" t="n">
        <v>26942.19323190083</v>
      </c>
      <c r="BS113" s="2" t="n">
        <v>812.479173553719</v>
      </c>
      <c r="BT113" s="2" t="n">
        <v>0</v>
      </c>
      <c r="BU113" s="2" t="n">
        <v>5462.918909090909</v>
      </c>
      <c r="BV113" s="2" t="n">
        <v>6275.398082644629</v>
      </c>
      <c r="BW113" s="2" t="n">
        <v>33217.59131454545</v>
      </c>
      <c r="BX113" s="2" t="n">
        <v>29416.86</v>
      </c>
      <c r="BY113" s="2" t="n">
        <v>3181.5</v>
      </c>
      <c r="BZ113" s="2" t="n">
        <v>18797.9</v>
      </c>
      <c r="CA113" s="2" t="n">
        <v>32598.36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1291</v>
      </c>
      <c r="B114" t="inlineStr">
        <is>
          <t>pl. Dworcowy 1, 82-300 Elbląg</t>
        </is>
      </c>
      <c r="C114" t="inlineStr">
        <is>
          <t>Elbląg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5201.95</v>
      </c>
      <c r="L114" s="2" t="n">
        <v>433.0141712962962</v>
      </c>
      <c r="M114" s="2" t="n">
        <v>4816.62037037037</v>
      </c>
      <c r="N114" s="2" t="n">
        <v>1241.7</v>
      </c>
      <c r="O114" s="2" t="n">
        <v>3826.67</v>
      </c>
      <c r="P114" s="2" t="n">
        <v>133.58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15357.82</v>
      </c>
      <c r="AP114" s="2" t="n">
        <v>1123.396092592593</v>
      </c>
      <c r="AQ114" s="2" t="n">
        <v>14220.2037037037</v>
      </c>
      <c r="AR114" s="2" t="n">
        <v>3413.96</v>
      </c>
      <c r="AS114" s="2" t="n">
        <v>11419.19</v>
      </c>
      <c r="AT114" s="2" t="n">
        <v>524.67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20559.77</v>
      </c>
      <c r="BB114" s="2" t="n">
        <v>15904.11</v>
      </c>
      <c r="BC114" s="2">
        <f>F114+L114+R114+X114+AD114+AJ114+AP114+AV114+IF(BE114="",0,BE114)</f>
        <v/>
      </c>
      <c r="BD114" s="2" t="n">
        <v>244.923294</v>
      </c>
      <c r="BE114" s="2" t="n"/>
      <c r="BF114" s="2" t="n">
        <v>19036.82407407407</v>
      </c>
      <c r="BG114" s="2" t="n">
        <v>458.58</v>
      </c>
      <c r="BH114" s="2" t="n">
        <v>0</v>
      </c>
      <c r="BI114" s="2" t="n">
        <v>25931.19</v>
      </c>
      <c r="BJ114" s="2" t="n">
        <v>87.34537190082645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214.705485</v>
      </c>
      <c r="BQ114" s="2" t="n">
        <v>0</v>
      </c>
      <c r="BR114" s="2" t="n">
        <v>26716.82085690082</v>
      </c>
      <c r="BS114" s="2" t="n">
        <v>812.479173553719</v>
      </c>
      <c r="BT114" s="2" t="n">
        <v>0</v>
      </c>
      <c r="BU114" s="2" t="n">
        <v>5462.918909090909</v>
      </c>
      <c r="BV114" s="2" t="n">
        <v>6275.398082644629</v>
      </c>
      <c r="BW114" s="2" t="n">
        <v>32992.21893954546</v>
      </c>
      <c r="BX114" s="2" t="n">
        <v>15245.86</v>
      </c>
      <c r="BY114" s="2" t="n">
        <v>658.25</v>
      </c>
      <c r="BZ114" s="2" t="n">
        <v>4655.66</v>
      </c>
      <c r="CA114" s="2" t="n">
        <v>15904.11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1292</v>
      </c>
      <c r="B115" t="inlineStr">
        <is>
          <t>Dworcowa 8A, 84-310 Lębork</t>
        </is>
      </c>
      <c r="C115" t="inlineStr">
        <is>
          <t>Lębork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2938.38</v>
      </c>
      <c r="L115" s="2" t="n">
        <v>244.5929277777778</v>
      </c>
      <c r="M115" s="2" t="n">
        <v>2720.722222222222</v>
      </c>
      <c r="N115" s="2" t="n">
        <v>1152.91</v>
      </c>
      <c r="O115" s="2" t="n">
        <v>1731.07</v>
      </c>
      <c r="P115" s="2" t="n">
        <v>54.4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7488.110000000001</v>
      </c>
      <c r="AP115" s="2" t="n">
        <v>4127</v>
      </c>
      <c r="AQ115" s="2" t="n">
        <v>6933.435185185185</v>
      </c>
      <c r="AR115" s="2" t="n">
        <v>3154.03</v>
      </c>
      <c r="AS115" s="2" t="n">
        <v>4066.06</v>
      </c>
      <c r="AT115" s="2" t="n">
        <v>268.02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10426.49</v>
      </c>
      <c r="BB115" s="2" t="n">
        <v>6119.55</v>
      </c>
      <c r="BC115" s="2">
        <f>F115+L115+R115+X115+AD115+AJ115+AP115+AV115+IF(BE115="",0,BE115)</f>
        <v/>
      </c>
      <c r="BD115" s="2" t="n">
        <v>94.24107000000001</v>
      </c>
      <c r="BE115" s="2" t="n"/>
      <c r="BF115" s="2" t="n">
        <v>9654.157407407407</v>
      </c>
      <c r="BG115" s="2" t="n">
        <v>0</v>
      </c>
      <c r="BH115" s="2" t="n">
        <v>0</v>
      </c>
      <c r="BI115" s="2" t="n">
        <v>25931.19</v>
      </c>
      <c r="BJ115" s="2" t="n">
        <v>87.34537190082645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82.61392499999999</v>
      </c>
      <c r="BQ115" s="2" t="n">
        <v>0</v>
      </c>
      <c r="BR115" s="2" t="n">
        <v>26126.14929690082</v>
      </c>
      <c r="BS115" s="2" t="n">
        <v>812.479173553719</v>
      </c>
      <c r="BT115" s="2" t="n">
        <v>0</v>
      </c>
      <c r="BU115" s="2" t="n">
        <v>5371.202909090909</v>
      </c>
      <c r="BV115" s="2" t="n">
        <v>6183.682082644628</v>
      </c>
      <c r="BW115" s="2" t="n">
        <v>32309.83137954545</v>
      </c>
      <c r="BX115" s="2" t="n">
        <v>5797.13</v>
      </c>
      <c r="BY115" s="2" t="n">
        <v>322.42</v>
      </c>
      <c r="BZ115" s="2" t="n">
        <v>4306.940000000001</v>
      </c>
      <c r="CA115" s="2" t="n">
        <v>6119.55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1293</v>
      </c>
      <c r="B116" t="inlineStr">
        <is>
          <t>Dworcowa 10, 84-100 Puck</t>
        </is>
      </c>
      <c r="C116" t="inlineStr">
        <is>
          <t>Puck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276.33</v>
      </c>
      <c r="L116" s="2" t="n">
        <v>23.00191388888889</v>
      </c>
      <c r="M116" s="2" t="n">
        <v>255.8611111111111</v>
      </c>
      <c r="N116" s="2" t="n">
        <v>108.66</v>
      </c>
      <c r="O116" s="2" t="n">
        <v>167.67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7581.139999999999</v>
      </c>
      <c r="AP116" s="2" t="n">
        <v>4227</v>
      </c>
      <c r="AQ116" s="2" t="n">
        <v>7019.574074074073</v>
      </c>
      <c r="AR116" s="2" t="n">
        <v>2303.41</v>
      </c>
      <c r="AS116" s="2" t="n">
        <v>4774.46</v>
      </c>
      <c r="AT116" s="2" t="n">
        <v>503.27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7857.469999999999</v>
      </c>
      <c r="BB116" s="2" t="n">
        <v>5445.4</v>
      </c>
      <c r="BC116" s="2">
        <f>F116+L116+R116+X116+AD116+AJ116+AP116+AV116+IF(BE116="",0,BE116)</f>
        <v/>
      </c>
      <c r="BD116" s="2" t="n">
        <v>83.85915999999999</v>
      </c>
      <c r="BE116" s="2" t="n"/>
      <c r="BF116" s="2" t="n">
        <v>7275.435185185184</v>
      </c>
      <c r="BG116" s="2" t="n">
        <v>0</v>
      </c>
      <c r="BH116" s="2" t="n">
        <v>0</v>
      </c>
      <c r="BI116" s="2" t="n">
        <v>25931.19</v>
      </c>
      <c r="BJ116" s="2" t="n">
        <v>87.34537190082645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73.51289999999999</v>
      </c>
      <c r="BQ116" s="2" t="n">
        <v>0</v>
      </c>
      <c r="BR116" s="2" t="n">
        <v>26117.04827190083</v>
      </c>
      <c r="BS116" s="2" t="n">
        <v>812.479173553719</v>
      </c>
      <c r="BT116" s="2" t="n">
        <v>0</v>
      </c>
      <c r="BU116" s="2" t="n">
        <v>5371.202909090909</v>
      </c>
      <c r="BV116" s="2" t="n">
        <v>6183.682082644628</v>
      </c>
      <c r="BW116" s="2" t="n">
        <v>32300.73035454545</v>
      </c>
      <c r="BX116" s="2" t="n">
        <v>4942.13</v>
      </c>
      <c r="BY116" s="2" t="n">
        <v>503.27</v>
      </c>
      <c r="BZ116" s="2" t="n">
        <v>2412.07</v>
      </c>
      <c r="CA116" s="2" t="n">
        <v>5445.4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1294</v>
      </c>
      <c r="B117" t="inlineStr">
        <is>
          <t>Plac Dworcowy 3, 49-300 Brzeg</t>
        </is>
      </c>
      <c r="C117" t="inlineStr">
        <is>
          <t>Brzeg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12517.06</v>
      </c>
      <c r="L117" s="2" t="n">
        <v>1041.929346296296</v>
      </c>
      <c r="M117" s="2" t="n">
        <v>11589.87037037037</v>
      </c>
      <c r="N117" s="2" t="n">
        <v>1642.18</v>
      </c>
      <c r="O117" s="2" t="n">
        <v>10621.68</v>
      </c>
      <c r="P117" s="2" t="n">
        <v>253.2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19975.17</v>
      </c>
      <c r="AP117" s="2" t="n">
        <v>1461.146694444444</v>
      </c>
      <c r="AQ117" s="2" t="n">
        <v>18495.52777777778</v>
      </c>
      <c r="AR117" s="2" t="n">
        <v>2537.06</v>
      </c>
      <c r="AS117" s="2" t="n">
        <v>16872.87</v>
      </c>
      <c r="AT117" s="2" t="n">
        <v>565.24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32492.23</v>
      </c>
      <c r="BB117" s="2" t="n">
        <v>28312.99</v>
      </c>
      <c r="BC117" s="2">
        <f>F117+L117+R117+X117+AD117+AJ117+AP117+AV117+IF(BE117="",0,BE117)</f>
        <v/>
      </c>
      <c r="BD117" s="2" t="n">
        <v>436.020046</v>
      </c>
      <c r="BE117" s="2" t="n"/>
      <c r="BF117" s="2" t="n">
        <v>30085.39814814815</v>
      </c>
      <c r="BG117" s="2" t="n">
        <v>0</v>
      </c>
      <c r="BH117" s="2" t="n">
        <v>0</v>
      </c>
      <c r="BI117" s="2" t="n">
        <v>25931.19</v>
      </c>
      <c r="BJ117" s="2" t="n">
        <v>87.34537190082645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382.225365</v>
      </c>
      <c r="BQ117" s="2" t="n">
        <v>0</v>
      </c>
      <c r="BR117" s="2" t="n">
        <v>26425.76073690082</v>
      </c>
      <c r="BS117" s="2" t="n">
        <v>812.479173553719</v>
      </c>
      <c r="BT117" s="2" t="n">
        <v>0</v>
      </c>
      <c r="BU117" s="2" t="n">
        <v>5371.202909090909</v>
      </c>
      <c r="BV117" s="2" t="n">
        <v>6183.682082644628</v>
      </c>
      <c r="BW117" s="2" t="n">
        <v>32609.44281954545</v>
      </c>
      <c r="BX117" s="2" t="n">
        <v>27494.55</v>
      </c>
      <c r="BY117" s="2" t="n">
        <v>818.4400000000001</v>
      </c>
      <c r="BZ117" s="2" t="n">
        <v>4179.24</v>
      </c>
      <c r="CA117" s="2" t="n">
        <v>28312.99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1295</v>
      </c>
      <c r="B118" t="inlineStr">
        <is>
          <t>Zygmunta Starego 1, 64-920 Piła</t>
        </is>
      </c>
      <c r="C118" t="inlineStr">
        <is>
          <t>Piła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5475.79</v>
      </c>
      <c r="L118" s="2" t="n">
        <v>455.8088157407407</v>
      </c>
      <c r="M118" s="2" t="n">
        <v>5070.175925925925</v>
      </c>
      <c r="N118" s="2" t="n">
        <v>1173.46</v>
      </c>
      <c r="O118" s="2" t="n">
        <v>4167.83</v>
      </c>
      <c r="P118" s="2" t="n">
        <v>134.5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3606.35</v>
      </c>
      <c r="AD118" s="2" t="n">
        <v>230.4056944444444</v>
      </c>
      <c r="AE118" s="2" t="n">
        <v>3339.212962962963</v>
      </c>
      <c r="AF118" s="2" t="n">
        <v>803.8</v>
      </c>
      <c r="AG118" s="2" t="n">
        <v>2546.23</v>
      </c>
      <c r="AH118" s="2" t="n">
        <v>256.32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10792.92</v>
      </c>
      <c r="AP118" s="2" t="n">
        <v>789.4821111111111</v>
      </c>
      <c r="AQ118" s="2" t="n">
        <v>9993.444444444443</v>
      </c>
      <c r="AR118" s="2" t="n">
        <v>3147.31</v>
      </c>
      <c r="AS118" s="2" t="n">
        <v>7069.36</v>
      </c>
      <c r="AT118" s="2" t="n">
        <v>576.25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19875.06</v>
      </c>
      <c r="BB118" s="2" t="n">
        <v>14750.49</v>
      </c>
      <c r="BC118" s="2">
        <f>F118+L118+R118+X118+AD118+AJ118+AP118+AV118+IF(BE118="",0,BE118)</f>
        <v/>
      </c>
      <c r="BD118" s="2" t="n">
        <v>227.157546</v>
      </c>
      <c r="BE118" s="2" t="n"/>
      <c r="BF118" s="2" t="n">
        <v>18402.83333333333</v>
      </c>
      <c r="BG118" s="2" t="n">
        <v>0</v>
      </c>
      <c r="BH118" s="2" t="n">
        <v>0</v>
      </c>
      <c r="BI118" s="2" t="n">
        <v>25931.19</v>
      </c>
      <c r="BJ118" s="2" t="n">
        <v>87.34537190082645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199.131615</v>
      </c>
      <c r="BQ118" s="2" t="n">
        <v>0</v>
      </c>
      <c r="BR118" s="2" t="n">
        <v>26242.66698690082</v>
      </c>
      <c r="BS118" s="2" t="n">
        <v>812.479173553719</v>
      </c>
      <c r="BT118" s="2" t="n">
        <v>0</v>
      </c>
      <c r="BU118" s="2" t="n">
        <v>5371.202909090909</v>
      </c>
      <c r="BV118" s="2" t="n">
        <v>6183.682082644628</v>
      </c>
      <c r="BW118" s="2" t="n">
        <v>32426.34906954545</v>
      </c>
      <c r="BX118" s="2" t="n">
        <v>13783.42</v>
      </c>
      <c r="BY118" s="2" t="n">
        <v>967.0699999999999</v>
      </c>
      <c r="BZ118" s="2" t="n">
        <v>5124.57</v>
      </c>
      <c r="CA118" s="2" t="n">
        <v>14750.49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1296</v>
      </c>
      <c r="B119" t="inlineStr">
        <is>
          <t>Dworcowa 2, 61-801 Poznań</t>
        </is>
      </c>
      <c r="C119" t="inlineStr">
        <is>
          <t>Poznań Główny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12872.93</v>
      </c>
      <c r="L119" s="2" t="n">
        <v>1071.552228703704</v>
      </c>
      <c r="M119" s="2" t="n">
        <v>11919.37962962963</v>
      </c>
      <c r="N119" s="2" t="n">
        <v>2120.07</v>
      </c>
      <c r="O119" s="2" t="n">
        <v>10151.88</v>
      </c>
      <c r="P119" s="2" t="n">
        <v>600.98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19137.69</v>
      </c>
      <c r="AD119" s="2" t="n">
        <v>1222.68575</v>
      </c>
      <c r="AE119" s="2" t="n">
        <v>17720.08333333333</v>
      </c>
      <c r="AF119" s="2" t="n">
        <v>3741.1</v>
      </c>
      <c r="AG119" s="2" t="n">
        <v>14216.24</v>
      </c>
      <c r="AH119" s="2" t="n">
        <v>1180.35</v>
      </c>
      <c r="AI119" s="2" t="n">
        <v>136.39</v>
      </c>
      <c r="AJ119" s="2" t="n">
        <v>9.471527777777775</v>
      </c>
      <c r="AK119" s="2" t="n">
        <v>126.287037037037</v>
      </c>
      <c r="AL119" s="2" t="n">
        <v>0</v>
      </c>
      <c r="AM119" s="2" t="n">
        <v>136.39</v>
      </c>
      <c r="AN119" s="2" t="n">
        <v>0</v>
      </c>
      <c r="AO119" s="2" t="n">
        <v>5988.29</v>
      </c>
      <c r="AP119" s="2" t="n">
        <v>438.032324074074</v>
      </c>
      <c r="AQ119" s="2" t="n">
        <v>5544.712962962963</v>
      </c>
      <c r="AR119" s="2" t="n">
        <v>821.54</v>
      </c>
      <c r="AS119" s="2" t="n">
        <v>4849.8</v>
      </c>
      <c r="AT119" s="2" t="n">
        <v>316.95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38135.3</v>
      </c>
      <c r="BB119" s="2" t="n">
        <v>31452.59</v>
      </c>
      <c r="BC119" s="2">
        <f>F119+L119+R119+X119+AD119+AJ119+AP119+AV119+IF(BE119="",0,BE119)</f>
        <v/>
      </c>
      <c r="BD119" s="2" t="n">
        <v>484.3698860000001</v>
      </c>
      <c r="BE119" s="2" t="n"/>
      <c r="BF119" s="2" t="n">
        <v>35310.46296296296</v>
      </c>
      <c r="BG119" s="2" t="n">
        <v>458.58</v>
      </c>
      <c r="BH119" s="2" t="n">
        <v>0</v>
      </c>
      <c r="BI119" s="2" t="n">
        <v>25931.19</v>
      </c>
      <c r="BJ119" s="2" t="n">
        <v>87.34537190082645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424.609965</v>
      </c>
      <c r="BQ119" s="2" t="n">
        <v>0</v>
      </c>
      <c r="BR119" s="2" t="n">
        <v>26926.72533690082</v>
      </c>
      <c r="BS119" s="2" t="n">
        <v>812.479173553719</v>
      </c>
      <c r="BT119" s="2" t="n">
        <v>0</v>
      </c>
      <c r="BU119" s="2" t="n">
        <v>5462.918909090909</v>
      </c>
      <c r="BV119" s="2" t="n">
        <v>6275.398082644629</v>
      </c>
      <c r="BW119" s="2" t="n">
        <v>33202.12341954545</v>
      </c>
      <c r="BX119" s="2" t="n">
        <v>29354.31</v>
      </c>
      <c r="BY119" s="2" t="n">
        <v>2098.28</v>
      </c>
      <c r="BZ119" s="2" t="n">
        <v>6682.71</v>
      </c>
      <c r="CA119" s="2" t="n">
        <v>31452.59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1297</v>
      </c>
      <c r="B120" t="inlineStr">
        <is>
          <t>Dworcowa 2, 61-801 Poznań</t>
        </is>
      </c>
      <c r="C120" t="inlineStr">
        <is>
          <t>Poznań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3801.58</v>
      </c>
      <c r="L120" s="2" t="n">
        <v>316.4463351851852</v>
      </c>
      <c r="M120" s="2" t="n">
        <v>3519.981481481481</v>
      </c>
      <c r="N120" s="2" t="n">
        <v>833.7</v>
      </c>
      <c r="O120" s="2" t="n">
        <v>2461.6</v>
      </c>
      <c r="P120" s="2" t="n">
        <v>506.28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5109.55</v>
      </c>
      <c r="AD120" s="2" t="n">
        <v>326.4434722222222</v>
      </c>
      <c r="AE120" s="2" t="n">
        <v>4731.064814814815</v>
      </c>
      <c r="AF120" s="2" t="n">
        <v>1195.63</v>
      </c>
      <c r="AG120" s="2" t="n">
        <v>3381.95</v>
      </c>
      <c r="AH120" s="2" t="n">
        <v>531.97</v>
      </c>
      <c r="AI120" s="2" t="n">
        <v>10.39</v>
      </c>
      <c r="AJ120" s="2" t="n">
        <v>0</v>
      </c>
      <c r="AK120" s="2" t="n">
        <v>9.62037037037037</v>
      </c>
      <c r="AL120" s="2" t="n">
        <v>0</v>
      </c>
      <c r="AM120" s="2" t="n">
        <v>0</v>
      </c>
      <c r="AN120" s="2" t="n">
        <v>10.39</v>
      </c>
      <c r="AO120" s="2" t="n">
        <v>1705.36</v>
      </c>
      <c r="AP120" s="2" t="n">
        <v>124.7439259259259</v>
      </c>
      <c r="AQ120" s="2" t="n">
        <v>1579.037037037037</v>
      </c>
      <c r="AR120" s="2" t="n">
        <v>426.98</v>
      </c>
      <c r="AS120" s="2" t="n">
        <v>1122.24</v>
      </c>
      <c r="AT120" s="2" t="n">
        <v>156.14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10626.88</v>
      </c>
      <c r="BB120" s="2" t="n">
        <v>8170.570000000001</v>
      </c>
      <c r="BC120" s="2">
        <f>F120+L120+R120+X120+AD120+AJ120+AP120+AV120+IF(BE120="",0,BE120)</f>
        <v/>
      </c>
      <c r="BD120" s="2" t="n">
        <v>125.826778</v>
      </c>
      <c r="BE120" s="2" t="n"/>
      <c r="BF120" s="2" t="n">
        <v>9839.703703703703</v>
      </c>
      <c r="BG120" s="2" t="n">
        <v>458.58</v>
      </c>
      <c r="BH120" s="2" t="n">
        <v>0</v>
      </c>
      <c r="BI120" s="2" t="n">
        <v>25931.19</v>
      </c>
      <c r="BJ120" s="2" t="n">
        <v>87.34537190082645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110.302695</v>
      </c>
      <c r="BQ120" s="2" t="n">
        <v>0</v>
      </c>
      <c r="BR120" s="2" t="n">
        <v>26612.41806690082</v>
      </c>
      <c r="BS120" s="2" t="n">
        <v>812.479173553719</v>
      </c>
      <c r="BT120" s="2" t="n">
        <v>0</v>
      </c>
      <c r="BU120" s="2" t="n">
        <v>5462.918909090909</v>
      </c>
      <c r="BV120" s="2" t="n">
        <v>6275.398082644629</v>
      </c>
      <c r="BW120" s="2" t="n">
        <v>32887.81614954546</v>
      </c>
      <c r="BX120" s="2" t="n">
        <v>6965.789999999999</v>
      </c>
      <c r="BY120" s="2" t="n">
        <v>1204.78</v>
      </c>
      <c r="BZ120" s="2" t="n">
        <v>2456.31</v>
      </c>
      <c r="CA120" s="2" t="n">
        <v>8170.57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1298</v>
      </c>
      <c r="B121" t="inlineStr">
        <is>
          <t>Kolumba 2, 70-035 Szczecin</t>
        </is>
      </c>
      <c r="C121" t="inlineStr">
        <is>
          <t>Szczecin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13063.56</v>
      </c>
      <c r="L121" s="2" t="n">
        <v>1087.420411111111</v>
      </c>
      <c r="M121" s="2" t="n">
        <v>12095.88888888889</v>
      </c>
      <c r="N121" s="2" t="n">
        <v>5465.86</v>
      </c>
      <c r="O121" s="2" t="n">
        <v>6767.01</v>
      </c>
      <c r="P121" s="2" t="n">
        <v>830.6900000000001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23367.72</v>
      </c>
      <c r="AP121" s="2" t="n">
        <v>1709.305444444444</v>
      </c>
      <c r="AQ121" s="2" t="n">
        <v>21636.77777777777</v>
      </c>
      <c r="AR121" s="2" t="n">
        <v>8589.209999999999</v>
      </c>
      <c r="AS121" s="2" t="n">
        <v>13543.05</v>
      </c>
      <c r="AT121" s="2" t="n">
        <v>1235.46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36431.28</v>
      </c>
      <c r="BB121" s="2" t="n">
        <v>22376.21</v>
      </c>
      <c r="BC121" s="2">
        <f>F121+L121+R121+X121+AD121+AJ121+AP121+AV121+IF(BE121="",0,BE121)</f>
        <v/>
      </c>
      <c r="BD121" s="2" t="n">
        <v>344.593634</v>
      </c>
      <c r="BE121" s="2" t="n"/>
      <c r="BF121" s="2" t="n">
        <v>33732.66666666666</v>
      </c>
      <c r="BG121" s="2" t="n">
        <v>458.58</v>
      </c>
      <c r="BH121" s="2" t="n">
        <v>0</v>
      </c>
      <c r="BI121" s="2" t="n">
        <v>25931.19</v>
      </c>
      <c r="BJ121" s="2" t="n">
        <v>87.34537190082645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302.078835</v>
      </c>
      <c r="BQ121" s="2" t="n">
        <v>0</v>
      </c>
      <c r="BR121" s="2" t="n">
        <v>26804.19420690083</v>
      </c>
      <c r="BS121" s="2" t="n">
        <v>812.479173553719</v>
      </c>
      <c r="BT121" s="2" t="n">
        <v>0</v>
      </c>
      <c r="BU121" s="2" t="n">
        <v>5462.918909090909</v>
      </c>
      <c r="BV121" s="2" t="n">
        <v>6275.398082644629</v>
      </c>
      <c r="BW121" s="2" t="n">
        <v>33079.59228954546</v>
      </c>
      <c r="BX121" s="2" t="n">
        <v>20310.06</v>
      </c>
      <c r="BY121" s="2" t="n">
        <v>2066.15</v>
      </c>
      <c r="BZ121" s="2" t="n">
        <v>14055.07</v>
      </c>
      <c r="CA121" s="2" t="n">
        <v>22376.21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t="n">
        <v>1299</v>
      </c>
      <c r="B122" t="inlineStr">
        <is>
          <t>Pawia 5a, 31-154 Kraków</t>
        </is>
      </c>
      <c r="C122" t="inlineStr">
        <is>
          <t>Kraków Główny</t>
        </is>
      </c>
      <c r="D122" t="inlineStr">
        <is>
          <t>FAA2000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17387.8</v>
      </c>
      <c r="L122" s="2" t="n">
        <v>1447.373351851852</v>
      </c>
      <c r="M122" s="2" t="n">
        <v>16099.81481481482</v>
      </c>
      <c r="N122" s="2" t="n">
        <v>4156.72</v>
      </c>
      <c r="O122" s="2" t="n">
        <v>12867.29</v>
      </c>
      <c r="P122" s="2" t="n">
        <v>363.79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11545.6</v>
      </c>
      <c r="X122" s="2" t="n">
        <v>750</v>
      </c>
      <c r="Y122" s="2" t="n">
        <v>10690.37037037037</v>
      </c>
      <c r="Z122" s="2" t="n">
        <v>1591.93</v>
      </c>
      <c r="AA122" s="2" t="n">
        <v>9707.73</v>
      </c>
      <c r="AB122" s="2" t="n">
        <v>245.94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8325.119999999999</v>
      </c>
      <c r="AP122" s="2" t="n">
        <v>608.9671111111111</v>
      </c>
      <c r="AQ122" s="2" t="n">
        <v>7708.444444444443</v>
      </c>
      <c r="AR122" s="2" t="n">
        <v>1251.59</v>
      </c>
      <c r="AS122" s="2" t="n">
        <v>6963.95</v>
      </c>
      <c r="AT122" s="2" t="n">
        <v>109.58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37258.52</v>
      </c>
      <c r="BB122" s="2" t="n">
        <v>30258.28</v>
      </c>
      <c r="BC122" s="2">
        <f>F122+L122+R122+X122+AD122+AJ122+AP122+AV122+IF(BE122="",0,BE122)</f>
        <v/>
      </c>
      <c r="BD122" s="2" t="n">
        <v>447.0655390000001</v>
      </c>
      <c r="BE122" s="2" t="n"/>
      <c r="BF122" s="2" t="n">
        <v>34498.62962962963</v>
      </c>
      <c r="BG122" s="2" t="n">
        <v>600</v>
      </c>
      <c r="BH122" s="2" t="n">
        <v>0</v>
      </c>
      <c r="BI122" s="2" t="n">
        <v>25931.19</v>
      </c>
      <c r="BJ122" s="2" t="n">
        <v>87.34537190082645</v>
      </c>
      <c r="BK122" s="2" t="n">
        <v>0</v>
      </c>
      <c r="BL122" s="2" t="n">
        <v>20</v>
      </c>
      <c r="BM122" s="2" t="n">
        <v>0</v>
      </c>
      <c r="BN122" s="2" t="n">
        <v>5</v>
      </c>
      <c r="BO122" s="2" t="n">
        <v>0</v>
      </c>
      <c r="BP122" s="2" t="n">
        <v>408.4867800000001</v>
      </c>
      <c r="BQ122" s="2" t="n">
        <v>0</v>
      </c>
      <c r="BR122" s="2" t="n">
        <v>27052.02215190082</v>
      </c>
      <c r="BS122" s="2" t="n">
        <v>812.479173553719</v>
      </c>
      <c r="BT122" s="2" t="n">
        <v>0</v>
      </c>
      <c r="BU122" s="2" t="n">
        <v>5491.202909090909</v>
      </c>
      <c r="BV122" s="2" t="n">
        <v>6303.682082644628</v>
      </c>
      <c r="BW122" s="2" t="n">
        <v>33355.70423454545</v>
      </c>
      <c r="BX122" s="2" t="n">
        <v>29538.97</v>
      </c>
      <c r="BY122" s="2" t="n">
        <v>719.3100000000001</v>
      </c>
      <c r="BZ122" s="2" t="n">
        <v>7000.240000000001</v>
      </c>
      <c r="CA122" s="2" t="n">
        <v>30258.28</v>
      </c>
      <c r="CB122" s="2">
        <f>(BC122+IF(BD122="",0,BD122))-BW122</f>
        <v/>
      </c>
      <c r="CC122" t="inlineStr">
        <is>
          <t>ALERT: profit/loss &lt;= -5000</t>
        </is>
      </c>
    </row>
    <row r="123">
      <c r="A123" s="3" t="inlineStr">
        <is>
          <t>PODSUMOWANIE</t>
        </is>
      </c>
      <c r="B123" s="3" t="n"/>
      <c r="C123" s="3" t="n"/>
      <c r="D123" s="3" t="n"/>
      <c r="E123" s="4">
        <f>SUM(E2:E122)</f>
        <v/>
      </c>
      <c r="F123" s="4">
        <f>SUM(F2:F122)</f>
        <v/>
      </c>
      <c r="G123" s="4">
        <f>SUM(G2:G122)</f>
        <v/>
      </c>
      <c r="H123" s="4">
        <f>SUM(H2:H122)</f>
        <v/>
      </c>
      <c r="I123" s="4">
        <f>SUM(I2:I122)</f>
        <v/>
      </c>
      <c r="J123" s="4">
        <f>SUM(J2:J122)</f>
        <v/>
      </c>
      <c r="K123" s="4">
        <f>SUM(K2:K122)</f>
        <v/>
      </c>
      <c r="L123" s="4">
        <f>SUM(L2:L122)</f>
        <v/>
      </c>
      <c r="M123" s="4">
        <f>SUM(M2:M122)</f>
        <v/>
      </c>
      <c r="N123" s="4">
        <f>SUM(N2:N122)</f>
        <v/>
      </c>
      <c r="O123" s="4">
        <f>SUM(O2:O122)</f>
        <v/>
      </c>
      <c r="P123" s="4">
        <f>SUM(P2:P122)</f>
        <v/>
      </c>
      <c r="Q123" s="4">
        <f>SUM(Q2:Q122)</f>
        <v/>
      </c>
      <c r="R123" s="4">
        <f>SUM(R2:R122)</f>
        <v/>
      </c>
      <c r="S123" s="4">
        <f>SUM(S2:S122)</f>
        <v/>
      </c>
      <c r="T123" s="4">
        <f>SUM(T2:T122)</f>
        <v/>
      </c>
      <c r="U123" s="4">
        <f>SUM(U2:U122)</f>
        <v/>
      </c>
      <c r="V123" s="4">
        <f>SUM(V2:V122)</f>
        <v/>
      </c>
      <c r="W123" s="4">
        <f>SUM(W2:W122)</f>
        <v/>
      </c>
      <c r="X123" s="4">
        <f>SUM(X2:X122)</f>
        <v/>
      </c>
      <c r="Y123" s="4">
        <f>SUM(Y2:Y122)</f>
        <v/>
      </c>
      <c r="Z123" s="4">
        <f>SUM(Z2:Z122)</f>
        <v/>
      </c>
      <c r="AA123" s="4">
        <f>SUM(AA2:AA122)</f>
        <v/>
      </c>
      <c r="AB123" s="4">
        <f>SUM(AB2:AB122)</f>
        <v/>
      </c>
      <c r="AC123" s="4">
        <f>SUM(AC2:AC122)</f>
        <v/>
      </c>
      <c r="AD123" s="4">
        <f>SUM(AD2:AD122)</f>
        <v/>
      </c>
      <c r="AE123" s="4">
        <f>SUM(AE2:AE122)</f>
        <v/>
      </c>
      <c r="AF123" s="4">
        <f>SUM(AF2:AF122)</f>
        <v/>
      </c>
      <c r="AG123" s="4">
        <f>SUM(AG2:AG122)</f>
        <v/>
      </c>
      <c r="AH123" s="4">
        <f>SUM(AH2:AH122)</f>
        <v/>
      </c>
      <c r="AI123" s="4">
        <f>SUM(AI2:AI122)</f>
        <v/>
      </c>
      <c r="AJ123" s="4">
        <f>SUM(AJ2:AJ122)</f>
        <v/>
      </c>
      <c r="AK123" s="4">
        <f>SUM(AK2:AK122)</f>
        <v/>
      </c>
      <c r="AL123" s="4">
        <f>SUM(AL2:AL122)</f>
        <v/>
      </c>
      <c r="AM123" s="4">
        <f>SUM(AM2:AM122)</f>
        <v/>
      </c>
      <c r="AN123" s="4">
        <f>SUM(AN2:AN122)</f>
        <v/>
      </c>
      <c r="AO123" s="4">
        <f>SUM(AO2:AO122)</f>
        <v/>
      </c>
      <c r="AP123" s="4">
        <f>SUM(AP2:AP122)</f>
        <v/>
      </c>
      <c r="AQ123" s="4">
        <f>SUM(AQ2:AQ122)</f>
        <v/>
      </c>
      <c r="AR123" s="4">
        <f>SUM(AR2:AR122)</f>
        <v/>
      </c>
      <c r="AS123" s="4">
        <f>SUM(AS2:AS122)</f>
        <v/>
      </c>
      <c r="AT123" s="4">
        <f>SUM(AT2:AT122)</f>
        <v/>
      </c>
      <c r="AU123" s="4">
        <f>SUM(AU2:AU122)</f>
        <v/>
      </c>
      <c r="AV123" s="4">
        <f>SUM(AV2:AV122)</f>
        <v/>
      </c>
      <c r="AW123" s="4">
        <f>SUM(AW2:AW122)</f>
        <v/>
      </c>
      <c r="AX123" s="4">
        <f>SUM(AX2:AX122)</f>
        <v/>
      </c>
      <c r="AY123" s="4">
        <f>SUM(AY2:AY122)</f>
        <v/>
      </c>
      <c r="AZ123" s="4">
        <f>SUM(AZ2:AZ122)</f>
        <v/>
      </c>
      <c r="BA123" s="4">
        <f>SUM(BA2:BA122)</f>
        <v/>
      </c>
      <c r="BB123" s="4">
        <f>SUM(BB2:BB122)</f>
        <v/>
      </c>
      <c r="BC123" s="4">
        <f>SUM(BC2:BC122)</f>
        <v/>
      </c>
      <c r="BD123" s="4">
        <f>SUM(BD2:BD122)</f>
        <v/>
      </c>
      <c r="BE123" s="4">
        <f>SUM(BE2:BE122)</f>
        <v/>
      </c>
      <c r="BF123" s="4">
        <f>SUM(BF2:BF122)</f>
        <v/>
      </c>
      <c r="BG123" s="4">
        <f>SUM(BG2:BG122)</f>
        <v/>
      </c>
      <c r="BH123" s="4">
        <f>SUM(BH2:BH122)</f>
        <v/>
      </c>
      <c r="BI123" s="4">
        <f>SUM(BI2:BI122)</f>
        <v/>
      </c>
      <c r="BJ123" s="4">
        <f>SUM(BJ2:BJ122)</f>
        <v/>
      </c>
      <c r="BK123" s="4">
        <f>SUM(BK2:BK122)</f>
        <v/>
      </c>
      <c r="BL123" s="4">
        <f>SUM(BL2:BL122)</f>
        <v/>
      </c>
      <c r="BM123" s="4">
        <f>SUM(BM2:BM122)</f>
        <v/>
      </c>
      <c r="BN123" s="4">
        <f>SUM(BN2:BN122)</f>
        <v/>
      </c>
      <c r="BO123" s="4">
        <f>SUM(BO2:BO122)</f>
        <v/>
      </c>
      <c r="BP123" s="4">
        <f>SUM(BP2:BP122)</f>
        <v/>
      </c>
      <c r="BQ123" s="4">
        <f>SUM(BQ2:BQ122)</f>
        <v/>
      </c>
      <c r="BR123" s="4">
        <f>SUM(BR2:BR122)</f>
        <v/>
      </c>
      <c r="BS123" s="4">
        <f>SUM(BS2:BS122)</f>
        <v/>
      </c>
      <c r="BT123" s="4">
        <f>SUM(BT2:BT122)</f>
        <v/>
      </c>
      <c r="BU123" s="4">
        <f>SUM(BU2:BU122)</f>
        <v/>
      </c>
      <c r="BV123" s="4">
        <f>SUM(BV2:BV122)</f>
        <v/>
      </c>
      <c r="BW123" s="4">
        <f>SUM(BW2:BW122)</f>
        <v/>
      </c>
      <c r="BX123" s="4">
        <f>SUM(BX2:BX122)</f>
        <v/>
      </c>
      <c r="BY123" s="4">
        <f>SUM(BY2:BY122)</f>
        <v/>
      </c>
      <c r="BZ123" s="4">
        <f>SUM(BZ2:BZ122)</f>
        <v/>
      </c>
      <c r="CA123" s="4">
        <f>SUM(CA2:CA122)</f>
        <v/>
      </c>
      <c r="CB123" s="4">
        <f>SUM(CB2:CB122)</f>
        <v/>
      </c>
      <c r="CC123" s="3" t="n"/>
    </row>
  </sheetData>
  <conditionalFormatting sqref="CB2:CB122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2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9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20" customWidth="1" min="59" max="59"/>
    <col width="19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16996.56</v>
      </c>
      <c r="L2" s="2" t="n">
        <v>1414.806244444445</v>
      </c>
      <c r="M2" s="2" t="n">
        <v>15737.55555555556</v>
      </c>
      <c r="N2" s="2" t="n">
        <v>0</v>
      </c>
      <c r="O2" s="2" t="n">
        <v>16393.81</v>
      </c>
      <c r="P2" s="2" t="n">
        <v>602.75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20810.28</v>
      </c>
      <c r="X2" s="2" t="n">
        <v>750</v>
      </c>
      <c r="Y2" s="2" t="n">
        <v>19268.77777777778</v>
      </c>
      <c r="Z2" s="2" t="n">
        <v>0</v>
      </c>
      <c r="AA2" s="2" t="n">
        <v>19845.04</v>
      </c>
      <c r="AB2" s="2" t="n">
        <v>965.24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10316.5</v>
      </c>
      <c r="AP2" s="2" t="n">
        <v>477.6157407407407</v>
      </c>
      <c r="AQ2" s="2" t="n">
        <v>9552.314814814814</v>
      </c>
      <c r="AR2" s="2" t="n">
        <v>0</v>
      </c>
      <c r="AS2" s="2" t="n">
        <v>9411.33</v>
      </c>
      <c r="AT2" s="2" t="n">
        <v>905.17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48123.34</v>
      </c>
      <c r="BB2" s="2" t="n">
        <v>48123.34</v>
      </c>
      <c r="BC2" s="2">
        <f>F2+L2+R2+X2+AD2+AJ2+AP2+AV2+IF(BE2="",0,BE2)</f>
        <v/>
      </c>
      <c r="BD2" s="2" t="n">
        <v>701.559904</v>
      </c>
      <c r="BE2" s="2" t="n"/>
      <c r="BF2" s="2" t="n">
        <v>44558.64814814815</v>
      </c>
      <c r="BG2" s="2" t="n">
        <v>1134.23</v>
      </c>
      <c r="BH2" s="2" t="n">
        <v>264</v>
      </c>
      <c r="BI2" s="2" t="n">
        <v>31296.94</v>
      </c>
      <c r="BJ2" s="2" t="n">
        <v>88.06198347107438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649.66509</v>
      </c>
      <c r="BQ2" s="2" t="n">
        <v>0</v>
      </c>
      <c r="BR2" s="2" t="n">
        <v>33457.89707347107</v>
      </c>
      <c r="BS2" s="2" t="n">
        <v>813.3618181818182</v>
      </c>
      <c r="BT2" s="2" t="n">
        <v>457.8512396694215</v>
      </c>
      <c r="BU2" s="2" t="n">
        <v>6815.889008264462</v>
      </c>
      <c r="BV2" s="2" t="n">
        <v>8087.102066115702</v>
      </c>
      <c r="BW2" s="2" t="n">
        <v>41544.99913958678</v>
      </c>
      <c r="BX2" s="2" t="n">
        <v>45650.18000000001</v>
      </c>
      <c r="BY2" s="2" t="n">
        <v>2473.16</v>
      </c>
      <c r="BZ2" s="2" t="n">
        <v>0</v>
      </c>
      <c r="CA2" s="2" t="n">
        <v>48123.34000000001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7.7</v>
      </c>
      <c r="F3" s="2" t="n">
        <v>0.4990740740740741</v>
      </c>
      <c r="G3" s="2" t="n">
        <v>7.12962962962963</v>
      </c>
      <c r="H3" s="2" t="n">
        <v>0</v>
      </c>
      <c r="I3" s="2" t="n">
        <v>7.7</v>
      </c>
      <c r="J3" s="2" t="n">
        <v>0</v>
      </c>
      <c r="K3" s="2" t="n">
        <v>2399.57</v>
      </c>
      <c r="L3" s="2" t="n">
        <v>199.7419842592593</v>
      </c>
      <c r="M3" s="2" t="n">
        <v>2221.824074074074</v>
      </c>
      <c r="N3" s="2" t="n">
        <v>0</v>
      </c>
      <c r="O3" s="2" t="n">
        <v>2239.59</v>
      </c>
      <c r="P3" s="2" t="n">
        <v>159.98</v>
      </c>
      <c r="Q3" s="2" t="n">
        <v>3520.88</v>
      </c>
      <c r="R3" s="2" t="n">
        <v>244.5055555555555</v>
      </c>
      <c r="S3" s="2" t="n">
        <v>3260.074074074073</v>
      </c>
      <c r="T3" s="2" t="n">
        <v>0</v>
      </c>
      <c r="U3" s="2" t="n">
        <v>3333.68</v>
      </c>
      <c r="V3" s="2" t="n">
        <v>187.2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0.3</v>
      </c>
      <c r="AD3" s="2" t="n">
        <v>0.01916666666666667</v>
      </c>
      <c r="AE3" s="2" t="n">
        <v>0.2777777777777777</v>
      </c>
      <c r="AF3" s="2" t="n">
        <v>0</v>
      </c>
      <c r="AG3" s="2" t="n">
        <v>0.3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10178.07</v>
      </c>
      <c r="AP3" s="2" t="n">
        <v>471.2069444444444</v>
      </c>
      <c r="AQ3" s="2" t="n">
        <v>9424.138888888889</v>
      </c>
      <c r="AR3" s="2" t="n">
        <v>0</v>
      </c>
      <c r="AS3" s="2" t="n">
        <v>9186.67</v>
      </c>
      <c r="AT3" s="2" t="n">
        <v>991.4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16106.52</v>
      </c>
      <c r="BB3" s="2" t="n">
        <v>16106.52</v>
      </c>
      <c r="BC3" s="2">
        <f>F3+L3+R3+X3+AD3+AJ3+AP3+AV3+IF(BE3="",0,BE3)</f>
        <v/>
      </c>
      <c r="BD3" s="2" t="n">
        <v>248.040408</v>
      </c>
      <c r="BE3" s="2" t="n"/>
      <c r="BF3" s="2" t="n">
        <v>14913.44444444444</v>
      </c>
      <c r="BG3" s="2" t="n">
        <v>0</v>
      </c>
      <c r="BH3" s="2" t="n">
        <v>0</v>
      </c>
      <c r="BI3" s="2" t="n">
        <v>31296.94</v>
      </c>
      <c r="BJ3" s="2" t="n">
        <v>88.06198347107438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217.43802</v>
      </c>
      <c r="BQ3" s="2" t="n">
        <v>0</v>
      </c>
      <c r="BR3" s="2" t="n">
        <v>31627.44000347107</v>
      </c>
      <c r="BS3" s="2" t="n">
        <v>813.3618181818182</v>
      </c>
      <c r="BT3" s="2" t="n">
        <v>457.8512396694215</v>
      </c>
      <c r="BU3" s="2" t="n">
        <v>6536.243008264463</v>
      </c>
      <c r="BV3" s="2" t="n">
        <v>7807.456066115703</v>
      </c>
      <c r="BW3" s="2" t="n">
        <v>39434.89606958678</v>
      </c>
      <c r="BX3" s="2" t="n">
        <v>14767.94</v>
      </c>
      <c r="BY3" s="2" t="n">
        <v>1338.58</v>
      </c>
      <c r="BZ3" s="2" t="n">
        <v>0</v>
      </c>
      <c r="CA3" s="2" t="n">
        <v>16106.52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6578.21</v>
      </c>
      <c r="L4" s="2" t="n">
        <v>547.5750731481482</v>
      </c>
      <c r="M4" s="2" t="n">
        <v>6090.935185185185</v>
      </c>
      <c r="N4" s="2" t="n">
        <v>0</v>
      </c>
      <c r="O4" s="2" t="n">
        <v>6476.68</v>
      </c>
      <c r="P4" s="2" t="n">
        <v>101.53</v>
      </c>
      <c r="Q4" s="2" t="n">
        <v>15784.99</v>
      </c>
      <c r="R4" s="2" t="n">
        <v>500</v>
      </c>
      <c r="S4" s="2" t="n">
        <v>14615.73148148148</v>
      </c>
      <c r="T4" s="2" t="n">
        <v>0</v>
      </c>
      <c r="U4" s="2" t="n">
        <v>14954.51</v>
      </c>
      <c r="V4" s="2" t="n">
        <v>830.48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5744.719999999999</v>
      </c>
      <c r="AP4" s="2" t="n">
        <v>265.9592592592592</v>
      </c>
      <c r="AQ4" s="2" t="n">
        <v>5319.185185185184</v>
      </c>
      <c r="AR4" s="2" t="n">
        <v>0</v>
      </c>
      <c r="AS4" s="2" t="n">
        <v>5483.36</v>
      </c>
      <c r="AT4" s="2" t="n">
        <v>261.36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28107.92</v>
      </c>
      <c r="BB4" s="2" t="n">
        <v>28107.92</v>
      </c>
      <c r="BC4" s="2">
        <f>F4+L4+R4+X4+AD4+AJ4+AP4+AV4+IF(BE4="",0,BE4)</f>
        <v/>
      </c>
      <c r="BD4" s="2" t="n">
        <v>432.861968</v>
      </c>
      <c r="BE4" s="2" t="n"/>
      <c r="BF4" s="2" t="n">
        <v>26025.85185185185</v>
      </c>
      <c r="BG4" s="2" t="n">
        <v>0</v>
      </c>
      <c r="BH4" s="2" t="n">
        <v>0</v>
      </c>
      <c r="BI4" s="2" t="n">
        <v>4038.314838709677</v>
      </c>
      <c r="BJ4" s="2" t="n">
        <v>88.06198347107438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379.45692</v>
      </c>
      <c r="BQ4" s="2" t="n">
        <v>0</v>
      </c>
      <c r="BR4" s="2" t="n">
        <v>4530.833742180751</v>
      </c>
      <c r="BS4" s="2" t="n">
        <v>813.3618181818182</v>
      </c>
      <c r="BT4" s="2" t="n">
        <v>457.8512396694215</v>
      </c>
      <c r="BU4" s="2" t="n">
        <v>1084.517976006398</v>
      </c>
      <c r="BV4" s="2" t="n">
        <v>2355.731033857638</v>
      </c>
      <c r="BW4" s="2" t="n">
        <v>6886.564776038389</v>
      </c>
      <c r="BX4" s="2" t="n">
        <v>26914.55</v>
      </c>
      <c r="BY4" s="2" t="n">
        <v>1193.37</v>
      </c>
      <c r="BZ4" s="2" t="n">
        <v>0</v>
      </c>
      <c r="CA4" s="2" t="n">
        <v>28107.92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23001.27</v>
      </c>
      <c r="L5" s="2" t="n">
        <v>1914.642752777778</v>
      </c>
      <c r="M5" s="2" t="n">
        <v>21297.47222222222</v>
      </c>
      <c r="N5" s="2" t="n">
        <v>0</v>
      </c>
      <c r="O5" s="2" t="n">
        <v>21484.59</v>
      </c>
      <c r="P5" s="2" t="n">
        <v>1516.68</v>
      </c>
      <c r="Q5" s="2" t="n">
        <v>3.05</v>
      </c>
      <c r="R5" s="2" t="n">
        <v>0.2118055555555555</v>
      </c>
      <c r="S5" s="2" t="n">
        <v>2.824074074074074</v>
      </c>
      <c r="T5" s="2" t="n">
        <v>0</v>
      </c>
      <c r="U5" s="2" t="n">
        <v>3.05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36438.26</v>
      </c>
      <c r="AD5" s="2" t="n">
        <v>2327.999944444445</v>
      </c>
      <c r="AE5" s="2" t="n">
        <v>33739.12962962963</v>
      </c>
      <c r="AF5" s="2" t="n">
        <v>0</v>
      </c>
      <c r="AG5" s="2" t="n">
        <v>33789.75</v>
      </c>
      <c r="AH5" s="2" t="n">
        <v>2648.51</v>
      </c>
      <c r="AI5" s="2" t="n">
        <v>625.99</v>
      </c>
      <c r="AJ5" s="2" t="n">
        <v>43.47152777777777</v>
      </c>
      <c r="AK5" s="2" t="n">
        <v>579.6203703703703</v>
      </c>
      <c r="AL5" s="2" t="n">
        <v>0</v>
      </c>
      <c r="AM5" s="2" t="n">
        <v>594.39</v>
      </c>
      <c r="AN5" s="2" t="n">
        <v>31.6</v>
      </c>
      <c r="AO5" s="2" t="n">
        <v>15313.19</v>
      </c>
      <c r="AP5" s="2" t="n">
        <v>708.9439814814815</v>
      </c>
      <c r="AQ5" s="2" t="n">
        <v>14178.87962962963</v>
      </c>
      <c r="AR5" s="2" t="n">
        <v>0</v>
      </c>
      <c r="AS5" s="2" t="n">
        <v>13754.41</v>
      </c>
      <c r="AT5" s="2" t="n">
        <v>1558.78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75381.75999999999</v>
      </c>
      <c r="BB5" s="2" t="n">
        <v>75381.75999999999</v>
      </c>
      <c r="BC5" s="2">
        <f>F5+L5+R5+X5+AD5+AJ5+AP5+AV5+IF(BE5="",0,BE5)</f>
        <v/>
      </c>
      <c r="BD5" s="2" t="n">
        <v>1160.879104</v>
      </c>
      <c r="BE5" s="2" t="n"/>
      <c r="BF5" s="2" t="n">
        <v>69797.92592592593</v>
      </c>
      <c r="BG5" s="2" t="n">
        <v>0</v>
      </c>
      <c r="BH5" s="2" t="n">
        <v>0</v>
      </c>
      <c r="BI5" s="2" t="n">
        <v>10095.78709677419</v>
      </c>
      <c r="BJ5" s="2" t="n">
        <v>88.06198347107438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1017.65376</v>
      </c>
      <c r="BQ5" s="2" t="n">
        <v>0</v>
      </c>
      <c r="BR5" s="2" t="n">
        <v>11226.50284024527</v>
      </c>
      <c r="BS5" s="2" t="n">
        <v>813.3618181818182</v>
      </c>
      <c r="BT5" s="2" t="n">
        <v>457.8512396694215</v>
      </c>
      <c r="BU5" s="2" t="n">
        <v>2296.012427619301</v>
      </c>
      <c r="BV5" s="2" t="n">
        <v>3567.225485470541</v>
      </c>
      <c r="BW5" s="2" t="n">
        <v>14793.72832571581</v>
      </c>
      <c r="BX5" s="2" t="n">
        <v>69626.19</v>
      </c>
      <c r="BY5" s="2" t="n">
        <v>5755.570000000001</v>
      </c>
      <c r="BZ5" s="2" t="n">
        <v>0</v>
      </c>
      <c r="CA5" s="2" t="n">
        <v>75381.76000000001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2044.54</v>
      </c>
      <c r="L6" s="2" t="n">
        <v>170.1890240740741</v>
      </c>
      <c r="M6" s="2" t="n">
        <v>1893.092592592592</v>
      </c>
      <c r="N6" s="2" t="n">
        <v>0</v>
      </c>
      <c r="O6" s="2" t="n">
        <v>1905.94</v>
      </c>
      <c r="P6" s="2" t="n">
        <v>138.6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8187.51</v>
      </c>
      <c r="AP6" s="2" t="n">
        <v>379.0513888888889</v>
      </c>
      <c r="AQ6" s="2" t="n">
        <v>7581.027777777777</v>
      </c>
      <c r="AR6" s="2" t="n">
        <v>0</v>
      </c>
      <c r="AS6" s="2" t="n">
        <v>7529.37</v>
      </c>
      <c r="AT6" s="2" t="n">
        <v>658.14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10232.05</v>
      </c>
      <c r="BB6" s="2" t="n">
        <v>10232.05</v>
      </c>
      <c r="BC6" s="2">
        <f>F6+L6+R6+X6+AD6+AJ6+AP6+AV6+IF(BE6="",0,BE6)</f>
        <v/>
      </c>
      <c r="BD6" s="2" t="n">
        <v>157.57357</v>
      </c>
      <c r="BE6" s="2" t="n"/>
      <c r="BF6" s="2" t="n">
        <v>9474.12037037037</v>
      </c>
      <c r="BG6" s="2" t="n">
        <v>0</v>
      </c>
      <c r="BH6" s="2" t="n">
        <v>0</v>
      </c>
      <c r="BI6" s="2" t="n">
        <v>6057.472258064516</v>
      </c>
      <c r="BJ6" s="2" t="n">
        <v>88.06198347107438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138.132675</v>
      </c>
      <c r="BQ6" s="2" t="n">
        <v>0</v>
      </c>
      <c r="BR6" s="2" t="n">
        <v>6308.66691653559</v>
      </c>
      <c r="BS6" s="2" t="n">
        <v>813.3618181818182</v>
      </c>
      <c r="BT6" s="2" t="n">
        <v>457.8512396694215</v>
      </c>
      <c r="BU6" s="2" t="n">
        <v>1488.349459877366</v>
      </c>
      <c r="BV6" s="2" t="n">
        <v>2759.562517728606</v>
      </c>
      <c r="BW6" s="2" t="n">
        <v>9068.229434264194</v>
      </c>
      <c r="BX6" s="2" t="n">
        <v>9435.309999999999</v>
      </c>
      <c r="BY6" s="2" t="n">
        <v>796.74</v>
      </c>
      <c r="BZ6" s="2" t="n">
        <v>0</v>
      </c>
      <c r="CA6" s="2" t="n">
        <v>10232.05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12939.18</v>
      </c>
      <c r="L7" s="2" t="n">
        <v>1077.066927777778</v>
      </c>
      <c r="M7" s="2" t="n">
        <v>11980.72222222222</v>
      </c>
      <c r="N7" s="2" t="n">
        <v>0</v>
      </c>
      <c r="O7" s="2" t="n">
        <v>10825.91</v>
      </c>
      <c r="P7" s="2" t="n">
        <v>2113.27</v>
      </c>
      <c r="Q7" s="2" t="n">
        <v>18.2</v>
      </c>
      <c r="R7" s="2" t="n">
        <v>1.263888888888889</v>
      </c>
      <c r="S7" s="2" t="n">
        <v>16.85185185185185</v>
      </c>
      <c r="T7" s="2" t="n">
        <v>0</v>
      </c>
      <c r="U7" s="2" t="n">
        <v>18.2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28960.92</v>
      </c>
      <c r="AP7" s="2" t="n">
        <v>1340.783333333333</v>
      </c>
      <c r="AQ7" s="2" t="n">
        <v>26815.66666666666</v>
      </c>
      <c r="AR7" s="2" t="n">
        <v>0</v>
      </c>
      <c r="AS7" s="2" t="n">
        <v>26797.96</v>
      </c>
      <c r="AT7" s="2" t="n">
        <v>2162.96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41918.3</v>
      </c>
      <c r="BB7" s="2" t="n">
        <v>41918.3</v>
      </c>
      <c r="BC7" s="2">
        <f>F7+L7+R7+X7+AD7+AJ7+AP7+AV7+IF(BE7="",0,BE7)</f>
        <v/>
      </c>
      <c r="BD7" s="2" t="n">
        <v>645.5418199999999</v>
      </c>
      <c r="BE7" s="2" t="n"/>
      <c r="BF7" s="2" t="n">
        <v>38813.24074074074</v>
      </c>
      <c r="BG7" s="2" t="n">
        <v>0</v>
      </c>
      <c r="BH7" s="2" t="n">
        <v>0</v>
      </c>
      <c r="BI7" s="2" t="n">
        <v>5047.893548387096</v>
      </c>
      <c r="BJ7" s="2" t="n">
        <v>88.06198347107438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565.89705</v>
      </c>
      <c r="BQ7" s="2" t="n">
        <v>0</v>
      </c>
      <c r="BR7" s="2" t="n">
        <v>5726.852581858171</v>
      </c>
      <c r="BS7" s="2" t="n">
        <v>813.3618181818182</v>
      </c>
      <c r="BT7" s="2" t="n">
        <v>457.8512396694215</v>
      </c>
      <c r="BU7" s="2" t="n">
        <v>1286.433717941882</v>
      </c>
      <c r="BV7" s="2" t="n">
        <v>2557.646775793122</v>
      </c>
      <c r="BW7" s="2" t="n">
        <v>8284.499357651293</v>
      </c>
      <c r="BX7" s="2" t="n">
        <v>37642.07</v>
      </c>
      <c r="BY7" s="2" t="n">
        <v>4276.23</v>
      </c>
      <c r="BZ7" s="2" t="n">
        <v>0</v>
      </c>
      <c r="CA7" s="2" t="n">
        <v>41918.3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11464.72</v>
      </c>
      <c r="L8" s="2" t="n">
        <v>954.3317851851853</v>
      </c>
      <c r="M8" s="2" t="n">
        <v>10615.48148148148</v>
      </c>
      <c r="N8" s="2" t="n">
        <v>0</v>
      </c>
      <c r="O8" s="2" t="n">
        <v>10754.76</v>
      </c>
      <c r="P8" s="2" t="n">
        <v>709.96</v>
      </c>
      <c r="Q8" s="2" t="n">
        <v>43.1</v>
      </c>
      <c r="R8" s="2" t="n">
        <v>2.993055555555555</v>
      </c>
      <c r="S8" s="2" t="n">
        <v>39.9074074074074</v>
      </c>
      <c r="T8" s="2" t="n">
        <v>0</v>
      </c>
      <c r="U8" s="2" t="n">
        <v>43.1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19375.84</v>
      </c>
      <c r="AP8" s="2" t="n">
        <v>897.0296296296297</v>
      </c>
      <c r="AQ8" s="2" t="n">
        <v>17940.59259259259</v>
      </c>
      <c r="AR8" s="2" t="n">
        <v>0</v>
      </c>
      <c r="AS8" s="2" t="n">
        <v>18448.88</v>
      </c>
      <c r="AT8" s="2" t="n">
        <v>926.96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30883.66</v>
      </c>
      <c r="BB8" s="2" t="n">
        <v>30883.66</v>
      </c>
      <c r="BC8" s="2">
        <f>F8+L8+R8+X8+AD8+AJ8+AP8+AV8+IF(BE8="",0,BE8)</f>
        <v/>
      </c>
      <c r="BD8" s="2" t="n">
        <v>475.6083640000001</v>
      </c>
      <c r="BE8" s="2" t="n"/>
      <c r="BF8" s="2" t="n">
        <v>28595.98148148148</v>
      </c>
      <c r="BG8" s="2" t="n">
        <v>0</v>
      </c>
      <c r="BH8" s="2" t="n">
        <v>0</v>
      </c>
      <c r="BI8" s="2" t="n">
        <v>31296.94</v>
      </c>
      <c r="BJ8" s="2" t="n">
        <v>88.06198347107438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416.9294100000001</v>
      </c>
      <c r="BQ8" s="2" t="n">
        <v>0</v>
      </c>
      <c r="BR8" s="2" t="n">
        <v>31826.93139347107</v>
      </c>
      <c r="BS8" s="2" t="n">
        <v>813.3618181818182</v>
      </c>
      <c r="BT8" s="2" t="n">
        <v>457.8512396694215</v>
      </c>
      <c r="BU8" s="2" t="n">
        <v>6536.243008264463</v>
      </c>
      <c r="BV8" s="2" t="n">
        <v>7807.456066115703</v>
      </c>
      <c r="BW8" s="2" t="n">
        <v>39634.38745958677</v>
      </c>
      <c r="BX8" s="2" t="n">
        <v>29246.74</v>
      </c>
      <c r="BY8" s="2" t="n">
        <v>1636.92</v>
      </c>
      <c r="BZ8" s="2" t="n">
        <v>0</v>
      </c>
      <c r="CA8" s="2" t="n">
        <v>30883.66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14.87</v>
      </c>
      <c r="F9" s="2" t="n">
        <v>0.9637962962962963</v>
      </c>
      <c r="G9" s="2" t="n">
        <v>13.76851851851852</v>
      </c>
      <c r="H9" s="2" t="n">
        <v>0</v>
      </c>
      <c r="I9" s="2" t="n">
        <v>14.87</v>
      </c>
      <c r="J9" s="2" t="n">
        <v>0</v>
      </c>
      <c r="K9" s="2" t="n">
        <v>8009.08</v>
      </c>
      <c r="L9" s="2" t="n">
        <v>666.6817518518518</v>
      </c>
      <c r="M9" s="2" t="n">
        <v>7415.814814814814</v>
      </c>
      <c r="N9" s="2" t="n">
        <v>0</v>
      </c>
      <c r="O9" s="2" t="n">
        <v>7293.13</v>
      </c>
      <c r="P9" s="2" t="n">
        <v>715.95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17237.88</v>
      </c>
      <c r="AP9" s="2" t="n">
        <v>798.0500000000001</v>
      </c>
      <c r="AQ9" s="2" t="n">
        <v>15961</v>
      </c>
      <c r="AR9" s="2" t="n">
        <v>0</v>
      </c>
      <c r="AS9" s="2" t="n">
        <v>16175.82</v>
      </c>
      <c r="AT9" s="2" t="n">
        <v>1062.06</v>
      </c>
      <c r="AU9" s="2" t="n">
        <v>234.65</v>
      </c>
      <c r="AV9" s="2" t="n">
        <v>9.342546296296293</v>
      </c>
      <c r="AW9" s="2" t="n">
        <v>217.2685185185185</v>
      </c>
      <c r="AX9" s="2" t="n">
        <v>0</v>
      </c>
      <c r="AY9" s="2" t="n">
        <v>226.95</v>
      </c>
      <c r="AZ9" s="2" t="n">
        <v>7.7</v>
      </c>
      <c r="BA9" s="2" t="n">
        <v>25496.48</v>
      </c>
      <c r="BB9" s="2" t="n">
        <v>25496.48</v>
      </c>
      <c r="BC9" s="2">
        <f>F9+L9+R9+X9+AD9+AJ9+AP9+AV9+IF(BE9="",0,BE9)</f>
        <v/>
      </c>
      <c r="BD9" s="2" t="n">
        <v>392.645792</v>
      </c>
      <c r="BE9" s="2" t="n"/>
      <c r="BF9" s="2" t="n">
        <v>23607.85185185185</v>
      </c>
      <c r="BG9" s="2" t="n">
        <v>0</v>
      </c>
      <c r="BH9" s="2" t="n">
        <v>0</v>
      </c>
      <c r="BI9" s="2" t="n">
        <v>31296.94</v>
      </c>
      <c r="BJ9" s="2" t="n">
        <v>88.06198347107438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344.20248</v>
      </c>
      <c r="BQ9" s="2" t="n">
        <v>0</v>
      </c>
      <c r="BR9" s="2" t="n">
        <v>31754.20446347107</v>
      </c>
      <c r="BS9" s="2" t="n">
        <v>813.3618181818182</v>
      </c>
      <c r="BT9" s="2" t="n">
        <v>457.8512396694215</v>
      </c>
      <c r="BU9" s="2" t="n">
        <v>6536.243008264463</v>
      </c>
      <c r="BV9" s="2" t="n">
        <v>7807.456066115703</v>
      </c>
      <c r="BW9" s="2" t="n">
        <v>39561.66052958678</v>
      </c>
      <c r="BX9" s="2" t="n">
        <v>23710.77</v>
      </c>
      <c r="BY9" s="2" t="n">
        <v>1785.71</v>
      </c>
      <c r="BZ9" s="2" t="n">
        <v>0</v>
      </c>
      <c r="CA9" s="2" t="n">
        <v>25496.48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3036.69</v>
      </c>
      <c r="L10" s="2" t="n">
        <v>252.776325</v>
      </c>
      <c r="M10" s="2" t="n">
        <v>2811.75</v>
      </c>
      <c r="N10" s="2" t="n">
        <v>0</v>
      </c>
      <c r="O10" s="2" t="n">
        <v>2908.69</v>
      </c>
      <c r="P10" s="2" t="n">
        <v>128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5794.110000000001</v>
      </c>
      <c r="AP10" s="2" t="n">
        <v>268.2458333333333</v>
      </c>
      <c r="AQ10" s="2" t="n">
        <v>5364.916666666667</v>
      </c>
      <c r="AR10" s="2" t="n">
        <v>0</v>
      </c>
      <c r="AS10" s="2" t="n">
        <v>5707.09</v>
      </c>
      <c r="AT10" s="2" t="n">
        <v>87.02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8830.800000000001</v>
      </c>
      <c r="BB10" s="2" t="n">
        <v>8830.800000000001</v>
      </c>
      <c r="BC10" s="2">
        <f>F10+L10+R10+X10+AD10+AJ10+AP10+AV10+IF(BE10="",0,BE10)</f>
        <v/>
      </c>
      <c r="BD10" s="2" t="n">
        <v>135.99432</v>
      </c>
      <c r="BE10" s="2" t="n"/>
      <c r="BF10" s="2" t="n">
        <v>8176.666666666667</v>
      </c>
      <c r="BG10" s="2" t="n">
        <v>0</v>
      </c>
      <c r="BH10" s="2" t="n">
        <v>0</v>
      </c>
      <c r="BI10" s="2" t="n">
        <v>12114.94451612903</v>
      </c>
      <c r="BJ10" s="2" t="n">
        <v>88.06198347107438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119.2158</v>
      </c>
      <c r="BQ10" s="2" t="n">
        <v>0</v>
      </c>
      <c r="BR10" s="2" t="n">
        <v>12347.22229960011</v>
      </c>
      <c r="BS10" s="2" t="n">
        <v>813.3618181818182</v>
      </c>
      <c r="BT10" s="2" t="n">
        <v>457.8512396694215</v>
      </c>
      <c r="BU10" s="2" t="n">
        <v>2699.843911490269</v>
      </c>
      <c r="BV10" s="2" t="n">
        <v>3971.056969341509</v>
      </c>
      <c r="BW10" s="2" t="n">
        <v>16318.27926894161</v>
      </c>
      <c r="BX10" s="2" t="n">
        <v>8615.780000000001</v>
      </c>
      <c r="BY10" s="2" t="n">
        <v>215.02</v>
      </c>
      <c r="BZ10" s="2" t="n">
        <v>0</v>
      </c>
      <c r="CA10" s="2" t="n">
        <v>8830.800000000001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1614.31</v>
      </c>
      <c r="L11" s="2" t="n">
        <v>134.3763601851852</v>
      </c>
      <c r="M11" s="2" t="n">
        <v>1494.731481481481</v>
      </c>
      <c r="N11" s="2" t="n">
        <v>0</v>
      </c>
      <c r="O11" s="2" t="n">
        <v>1490.81</v>
      </c>
      <c r="P11" s="2" t="n">
        <v>123.5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4531.48</v>
      </c>
      <c r="AP11" s="2" t="n">
        <v>209.7907407407407</v>
      </c>
      <c r="AQ11" s="2" t="n">
        <v>4195.814814814814</v>
      </c>
      <c r="AR11" s="2" t="n">
        <v>0</v>
      </c>
      <c r="AS11" s="2" t="n">
        <v>3998.56</v>
      </c>
      <c r="AT11" s="2" t="n">
        <v>532.92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6145.789999999999</v>
      </c>
      <c r="BB11" s="2" t="n">
        <v>6145.789999999999</v>
      </c>
      <c r="BC11" s="2">
        <f>F11+L11+R11+X11+AD11+AJ11+AP11+AV11+IF(BE11="",0,BE11)</f>
        <v/>
      </c>
      <c r="BD11" s="2" t="n">
        <v>94.64516599999999</v>
      </c>
      <c r="BE11" s="2" t="n"/>
      <c r="BF11" s="2" t="n">
        <v>5690.546296296296</v>
      </c>
      <c r="BG11" s="2" t="n">
        <v>0</v>
      </c>
      <c r="BH11" s="2" t="n">
        <v>0</v>
      </c>
      <c r="BI11" s="2" t="n">
        <v>31296.94</v>
      </c>
      <c r="BJ11" s="2" t="n">
        <v>88.06198347107438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82.96816499999998</v>
      </c>
      <c r="BQ11" s="2" t="n">
        <v>0</v>
      </c>
      <c r="BR11" s="2" t="n">
        <v>31492.97014847107</v>
      </c>
      <c r="BS11" s="2" t="n">
        <v>813.3618181818182</v>
      </c>
      <c r="BT11" s="2" t="n">
        <v>457.8512396694215</v>
      </c>
      <c r="BU11" s="2" t="n">
        <v>6536.243008264463</v>
      </c>
      <c r="BV11" s="2" t="n">
        <v>7807.456066115703</v>
      </c>
      <c r="BW11" s="2" t="n">
        <v>39300.42621458678</v>
      </c>
      <c r="BX11" s="2" t="n">
        <v>5489.37</v>
      </c>
      <c r="BY11" s="2" t="n">
        <v>656.42</v>
      </c>
      <c r="BZ11" s="2" t="n">
        <v>0</v>
      </c>
      <c r="CA11" s="2" t="n">
        <v>6145.79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3537.24</v>
      </c>
      <c r="AP12" s="2" t="n">
        <v>3500</v>
      </c>
      <c r="AQ12" s="2" t="n">
        <v>3275.222222222222</v>
      </c>
      <c r="AR12" s="2" t="n">
        <v>0</v>
      </c>
      <c r="AS12" s="2" t="n">
        <v>3096.23</v>
      </c>
      <c r="AT12" s="2" t="n">
        <v>441.01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3537.24</v>
      </c>
      <c r="BB12" s="2" t="n">
        <v>3537.24</v>
      </c>
      <c r="BC12" s="2">
        <f>F12+L12+R12+X12+AD12+AJ12+AP12+AV12+IF(BE12="",0,BE12)</f>
        <v/>
      </c>
      <c r="BD12" s="2" t="n">
        <v>54.473496</v>
      </c>
      <c r="BE12" s="2" t="n"/>
      <c r="BF12" s="2" t="n">
        <v>3275.222222222222</v>
      </c>
      <c r="BG12" s="2" t="n">
        <v>0</v>
      </c>
      <c r="BH12" s="2" t="n">
        <v>0</v>
      </c>
      <c r="BI12" s="2" t="n">
        <v>1009.578709677419</v>
      </c>
      <c r="BJ12" s="2" t="n">
        <v>88.06198347107438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47.75274</v>
      </c>
      <c r="BQ12" s="2" t="n">
        <v>0</v>
      </c>
      <c r="BR12" s="2" t="n">
        <v>1170.393433148494</v>
      </c>
      <c r="BS12" s="2" t="n">
        <v>813.3618181818182</v>
      </c>
      <c r="BT12" s="2" t="n">
        <v>457.8512396694215</v>
      </c>
      <c r="BU12" s="2" t="n">
        <v>478.7707501999466</v>
      </c>
      <c r="BV12" s="2" t="n">
        <v>1749.983808051186</v>
      </c>
      <c r="BW12" s="2" t="n">
        <v>2920.37724119968</v>
      </c>
      <c r="BX12" s="2" t="n">
        <v>3096.23</v>
      </c>
      <c r="BY12" s="2" t="n">
        <v>441.01</v>
      </c>
      <c r="BZ12" s="2" t="n">
        <v>0</v>
      </c>
      <c r="CA12" s="2" t="n">
        <v>3537.24</v>
      </c>
      <c r="CB12" s="2">
        <f>(BC12+IF(BD12="",0,BD12))-BW12</f>
        <v/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1963.31</v>
      </c>
      <c r="F13" s="2" t="n">
        <v>127.2515740740741</v>
      </c>
      <c r="G13" s="2" t="n">
        <v>1817.87962962963</v>
      </c>
      <c r="H13" s="2" t="n">
        <v>0</v>
      </c>
      <c r="I13" s="2" t="n">
        <v>1703.62</v>
      </c>
      <c r="J13" s="2" t="n">
        <v>259.69</v>
      </c>
      <c r="K13" s="2" t="n">
        <v>918.04</v>
      </c>
      <c r="L13" s="2" t="n">
        <v>76.41832962962962</v>
      </c>
      <c r="M13" s="2" t="n">
        <v>850.037037037037</v>
      </c>
      <c r="N13" s="2" t="n">
        <v>0</v>
      </c>
      <c r="O13" s="2" t="n">
        <v>768.59</v>
      </c>
      <c r="P13" s="2" t="n">
        <v>149.45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29.7</v>
      </c>
      <c r="AD13" s="2" t="n">
        <v>1.8975</v>
      </c>
      <c r="AE13" s="2" t="n">
        <v>27.5</v>
      </c>
      <c r="AF13" s="2" t="n">
        <v>0</v>
      </c>
      <c r="AG13" s="2" t="n">
        <v>29.7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6384.58</v>
      </c>
      <c r="AP13" s="2" t="n">
        <v>3740</v>
      </c>
      <c r="AQ13" s="2" t="n">
        <v>5911.648148148148</v>
      </c>
      <c r="AR13" s="2" t="n">
        <v>0</v>
      </c>
      <c r="AS13" s="2" t="n">
        <v>5951.6</v>
      </c>
      <c r="AT13" s="2" t="n">
        <v>432.98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9295.629999999999</v>
      </c>
      <c r="BB13" s="2" t="n">
        <v>9295.629999999999</v>
      </c>
      <c r="BC13" s="2">
        <f>F13+L13+R13+X13+AD13+AJ13+AP13+AV13+IF(BE13="",0,BE13)</f>
        <v/>
      </c>
      <c r="BD13" s="2" t="n">
        <v>143.152702</v>
      </c>
      <c r="BE13" s="2" t="n"/>
      <c r="BF13" s="2" t="n">
        <v>8607.064814814814</v>
      </c>
      <c r="BG13" s="2" t="n">
        <v>0</v>
      </c>
      <c r="BH13" s="2" t="n">
        <v>0</v>
      </c>
      <c r="BI13" s="2" t="n">
        <v>31296.94</v>
      </c>
      <c r="BJ13" s="2" t="n">
        <v>88.06198347107438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125.491005</v>
      </c>
      <c r="BQ13" s="2" t="n">
        <v>0</v>
      </c>
      <c r="BR13" s="2" t="n">
        <v>31535.49298847107</v>
      </c>
      <c r="BS13" s="2" t="n">
        <v>813.3618181818182</v>
      </c>
      <c r="BT13" s="2" t="n">
        <v>457.8512396694215</v>
      </c>
      <c r="BU13" s="2" t="n">
        <v>6536.243008264463</v>
      </c>
      <c r="BV13" s="2" t="n">
        <v>7807.456066115703</v>
      </c>
      <c r="BW13" s="2" t="n">
        <v>39342.94905458677</v>
      </c>
      <c r="BX13" s="2" t="n">
        <v>8453.51</v>
      </c>
      <c r="BY13" s="2" t="n">
        <v>842.12</v>
      </c>
      <c r="BZ13" s="2" t="n">
        <v>0</v>
      </c>
      <c r="CA13" s="2" t="n">
        <v>9295.630000000001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16482.6</v>
      </c>
      <c r="L14" s="2" t="n">
        <v>1372.023833333334</v>
      </c>
      <c r="M14" s="2" t="n">
        <v>15261.66666666667</v>
      </c>
      <c r="N14" s="2" t="n">
        <v>0</v>
      </c>
      <c r="O14" s="2" t="n">
        <v>15416.86</v>
      </c>
      <c r="P14" s="2" t="n">
        <v>1065.74</v>
      </c>
      <c r="Q14" s="2" t="n">
        <v>106.47</v>
      </c>
      <c r="R14" s="2" t="n">
        <v>7.393749999999999</v>
      </c>
      <c r="S14" s="2" t="n">
        <v>98.58333333333333</v>
      </c>
      <c r="T14" s="2" t="n">
        <v>0</v>
      </c>
      <c r="U14" s="2" t="n">
        <v>106.47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23</v>
      </c>
      <c r="AD14" s="2" t="n">
        <v>1.469444444444444</v>
      </c>
      <c r="AE14" s="2" t="n">
        <v>21.29629629629629</v>
      </c>
      <c r="AF14" s="2" t="n">
        <v>0</v>
      </c>
      <c r="AG14" s="2" t="n">
        <v>0</v>
      </c>
      <c r="AH14" s="2" t="n">
        <v>23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20589.58</v>
      </c>
      <c r="AP14" s="2" t="n">
        <v>4100</v>
      </c>
      <c r="AQ14" s="2" t="n">
        <v>19064.42592592593</v>
      </c>
      <c r="AR14" s="2" t="n">
        <v>0</v>
      </c>
      <c r="AS14" s="2" t="n">
        <v>18911.79</v>
      </c>
      <c r="AT14" s="2" t="n">
        <v>1677.79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37201.65000000001</v>
      </c>
      <c r="BB14" s="2" t="n">
        <v>37201.65000000001</v>
      </c>
      <c r="BC14" s="2">
        <f>F14+L14+R14+X14+AD14+AJ14+AP14+AV14+IF(BE14="",0,BE14)</f>
        <v/>
      </c>
      <c r="BD14" s="2" t="n">
        <v>572.9054100000001</v>
      </c>
      <c r="BE14" s="2" t="n"/>
      <c r="BF14" s="2" t="n">
        <v>34445.97222222223</v>
      </c>
      <c r="BG14" s="2" t="n">
        <v>0</v>
      </c>
      <c r="BH14" s="2" t="n">
        <v>0</v>
      </c>
      <c r="BI14" s="2" t="n">
        <v>31296.94</v>
      </c>
      <c r="BJ14" s="2" t="n">
        <v>88.06198347107438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502.222275</v>
      </c>
      <c r="BQ14" s="2" t="n">
        <v>0</v>
      </c>
      <c r="BR14" s="2" t="n">
        <v>31912.22425847107</v>
      </c>
      <c r="BS14" s="2" t="n">
        <v>813.3618181818182</v>
      </c>
      <c r="BT14" s="2" t="n">
        <v>457.8512396694215</v>
      </c>
      <c r="BU14" s="2" t="n">
        <v>6536.243008264463</v>
      </c>
      <c r="BV14" s="2" t="n">
        <v>7807.456066115703</v>
      </c>
      <c r="BW14" s="2" t="n">
        <v>39719.68032458678</v>
      </c>
      <c r="BX14" s="2" t="n">
        <v>34435.12</v>
      </c>
      <c r="BY14" s="2" t="n">
        <v>2766.53</v>
      </c>
      <c r="BZ14" s="2" t="n">
        <v>0</v>
      </c>
      <c r="CA14" s="2" t="n">
        <v>37201.65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241</v>
      </c>
      <c r="L15" s="2" t="n">
        <v>20.06101851851852</v>
      </c>
      <c r="M15" s="2" t="n">
        <v>223.1481481481481</v>
      </c>
      <c r="N15" s="2" t="n">
        <v>0</v>
      </c>
      <c r="O15" s="2" t="n">
        <v>81</v>
      </c>
      <c r="P15" s="2" t="n">
        <v>160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2221.98</v>
      </c>
      <c r="AP15" s="2" t="n">
        <v>3500</v>
      </c>
      <c r="AQ15" s="2" t="n">
        <v>2057.388888888889</v>
      </c>
      <c r="AR15" s="2" t="n">
        <v>0</v>
      </c>
      <c r="AS15" s="2" t="n">
        <v>2036.31</v>
      </c>
      <c r="AT15" s="2" t="n">
        <v>185.67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2462.98</v>
      </c>
      <c r="BB15" s="2" t="n">
        <v>2462.98</v>
      </c>
      <c r="BC15" s="2">
        <f>F15+L15+R15+X15+AD15+AJ15+AP15+AV15+IF(BE15="",0,BE15)</f>
        <v/>
      </c>
      <c r="BD15" s="2" t="n">
        <v>37.929892</v>
      </c>
      <c r="BE15" s="2" t="n"/>
      <c r="BF15" s="2" t="n">
        <v>2280.537037037037</v>
      </c>
      <c r="BG15" s="2" t="n">
        <v>0</v>
      </c>
      <c r="BH15" s="2" t="n">
        <v>0</v>
      </c>
      <c r="BI15" s="2" t="n">
        <v>31296.94</v>
      </c>
      <c r="BJ15" s="2" t="n">
        <v>88.06198347107438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33.25023</v>
      </c>
      <c r="BQ15" s="2" t="n">
        <v>0</v>
      </c>
      <c r="BR15" s="2" t="n">
        <v>31443.25221347107</v>
      </c>
      <c r="BS15" s="2" t="n">
        <v>813.3618181818182</v>
      </c>
      <c r="BT15" s="2" t="n">
        <v>457.8512396694215</v>
      </c>
      <c r="BU15" s="2" t="n">
        <v>6536.243008264463</v>
      </c>
      <c r="BV15" s="2" t="n">
        <v>7807.456066115703</v>
      </c>
      <c r="BW15" s="2" t="n">
        <v>39250.70827958678</v>
      </c>
      <c r="BX15" s="2" t="n">
        <v>2117.31</v>
      </c>
      <c r="BY15" s="2" t="n">
        <v>345.67</v>
      </c>
      <c r="BZ15" s="2" t="n">
        <v>0</v>
      </c>
      <c r="CA15" s="2" t="n">
        <v>2462.98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11322.6</v>
      </c>
      <c r="L16" s="2" t="n">
        <v>942.5016111111112</v>
      </c>
      <c r="M16" s="2" t="n">
        <v>10483.88888888889</v>
      </c>
      <c r="N16" s="2" t="n">
        <v>0</v>
      </c>
      <c r="O16" s="2" t="n">
        <v>10864.54</v>
      </c>
      <c r="P16" s="2" t="n">
        <v>458.06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35068.29</v>
      </c>
      <c r="X16" s="2" t="n">
        <v>750</v>
      </c>
      <c r="Y16" s="2" t="n">
        <v>32470.63888888889</v>
      </c>
      <c r="Z16" s="2" t="n">
        <v>0</v>
      </c>
      <c r="AA16" s="2" t="n">
        <v>34229.96</v>
      </c>
      <c r="AB16" s="2" t="n">
        <v>838.33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5185.36</v>
      </c>
      <c r="AP16" s="2" t="n">
        <v>4150</v>
      </c>
      <c r="AQ16" s="2" t="n">
        <v>4801.259259259258</v>
      </c>
      <c r="AR16" s="2" t="n">
        <v>0</v>
      </c>
      <c r="AS16" s="2" t="n">
        <v>4590.37</v>
      </c>
      <c r="AT16" s="2" t="n">
        <v>594.99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51576.25</v>
      </c>
      <c r="BB16" s="2" t="n">
        <v>51576.25</v>
      </c>
      <c r="BC16" s="2">
        <f>F16+L16+R16+X16+AD16+AJ16+AP16+AV16+IF(BE16="",0,BE16)</f>
        <v/>
      </c>
      <c r="BD16" s="2" t="n">
        <v>727.644499</v>
      </c>
      <c r="BE16" s="2" t="n"/>
      <c r="BF16" s="2" t="n">
        <v>47755.78703703703</v>
      </c>
      <c r="BG16" s="2" t="n">
        <v>1020</v>
      </c>
      <c r="BH16" s="2" t="n">
        <v>317.4</v>
      </c>
      <c r="BI16" s="2" t="n">
        <v>31296.94</v>
      </c>
      <c r="BJ16" s="2" t="n">
        <v>88.06198347107438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696.279375</v>
      </c>
      <c r="BQ16" s="2" t="n">
        <v>0</v>
      </c>
      <c r="BR16" s="2" t="n">
        <v>33443.68135847108</v>
      </c>
      <c r="BS16" s="2" t="n">
        <v>813.3618181818182</v>
      </c>
      <c r="BT16" s="2" t="n">
        <v>457.8512396694215</v>
      </c>
      <c r="BU16" s="2" t="n">
        <v>6803.723008264464</v>
      </c>
      <c r="BV16" s="2" t="n">
        <v>8074.936066115703</v>
      </c>
      <c r="BW16" s="2" t="n">
        <v>41518.61742458678</v>
      </c>
      <c r="BX16" s="2" t="n">
        <v>49684.87</v>
      </c>
      <c r="BY16" s="2" t="n">
        <v>1891.38</v>
      </c>
      <c r="BZ16" s="2" t="n">
        <v>0</v>
      </c>
      <c r="CA16" s="2" t="n">
        <v>51576.25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1224.24</v>
      </c>
      <c r="AP17" s="2" t="n">
        <v>3500</v>
      </c>
      <c r="AQ17" s="2" t="n">
        <v>1133.555555555555</v>
      </c>
      <c r="AR17" s="2" t="n">
        <v>0</v>
      </c>
      <c r="AS17" s="2" t="n">
        <v>1173.04</v>
      </c>
      <c r="AT17" s="2" t="n">
        <v>51.2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1224.24</v>
      </c>
      <c r="BB17" s="2" t="n">
        <v>1224.24</v>
      </c>
      <c r="BC17" s="2">
        <f>F17+L17+R17+X17+AD17+AJ17+AP17+AV17+IF(BE17="",0,BE17)</f>
        <v/>
      </c>
      <c r="BD17" s="2" t="n">
        <v>18.853296</v>
      </c>
      <c r="BE17" s="2" t="n"/>
      <c r="BF17" s="2" t="n">
        <v>1133.555555555555</v>
      </c>
      <c r="BG17" s="2" t="n">
        <v>0</v>
      </c>
      <c r="BH17" s="2" t="n">
        <v>0</v>
      </c>
      <c r="BI17" s="2" t="n">
        <v>31296.94</v>
      </c>
      <c r="BJ17" s="2" t="n">
        <v>88.06198347107438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16.52724</v>
      </c>
      <c r="BQ17" s="2" t="n">
        <v>0</v>
      </c>
      <c r="BR17" s="2" t="n">
        <v>31426.52922347107</v>
      </c>
      <c r="BS17" s="2" t="n">
        <v>813.3618181818182</v>
      </c>
      <c r="BT17" s="2" t="n">
        <v>457.8512396694215</v>
      </c>
      <c r="BU17" s="2" t="n">
        <v>6536.243008264463</v>
      </c>
      <c r="BV17" s="2" t="n">
        <v>7807.456066115703</v>
      </c>
      <c r="BW17" s="2" t="n">
        <v>39233.98528958677</v>
      </c>
      <c r="BX17" s="2" t="n">
        <v>1173.04</v>
      </c>
      <c r="BY17" s="2" t="n">
        <v>51.2</v>
      </c>
      <c r="BZ17" s="2" t="n">
        <v>0</v>
      </c>
      <c r="CA17" s="2" t="n">
        <v>1224.24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8211</v>
      </c>
      <c r="L18" s="2" t="n">
        <v>683.4897222222222</v>
      </c>
      <c r="M18" s="2" t="n">
        <v>7602.777777777777</v>
      </c>
      <c r="N18" s="2" t="n">
        <v>0</v>
      </c>
      <c r="O18" s="2" t="n">
        <v>7090.61</v>
      </c>
      <c r="P18" s="2" t="n">
        <v>1120.39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1821.68</v>
      </c>
      <c r="AP18" s="2" t="n">
        <v>4150</v>
      </c>
      <c r="AQ18" s="2" t="n">
        <v>1686.74074074074</v>
      </c>
      <c r="AR18" s="2" t="n">
        <v>0</v>
      </c>
      <c r="AS18" s="2" t="n">
        <v>1579.58</v>
      </c>
      <c r="AT18" s="2" t="n">
        <v>242.1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10032.68</v>
      </c>
      <c r="BB18" s="2" t="n">
        <v>10032.68</v>
      </c>
      <c r="BC18" s="2">
        <f>F18+L18+R18+X18+AD18+AJ18+AP18+AV18+IF(BE18="",0,BE18)</f>
        <v/>
      </c>
      <c r="BD18" s="2" t="n">
        <v>154.503272</v>
      </c>
      <c r="BE18" s="2" t="n"/>
      <c r="BF18" s="2" t="n">
        <v>9289.518518518518</v>
      </c>
      <c r="BG18" s="2" t="n">
        <v>0</v>
      </c>
      <c r="BH18" s="2" t="n">
        <v>0</v>
      </c>
      <c r="BI18" s="2" t="n">
        <v>31296.94</v>
      </c>
      <c r="BJ18" s="2" t="n">
        <v>88.06198347107438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135.44118</v>
      </c>
      <c r="BQ18" s="2" t="n">
        <v>0</v>
      </c>
      <c r="BR18" s="2" t="n">
        <v>31545.44316347107</v>
      </c>
      <c r="BS18" s="2" t="n">
        <v>813.3618181818182</v>
      </c>
      <c r="BT18" s="2" t="n">
        <v>457.8512396694215</v>
      </c>
      <c r="BU18" s="2" t="n">
        <v>6536.243008264463</v>
      </c>
      <c r="BV18" s="2" t="n">
        <v>7807.456066115703</v>
      </c>
      <c r="BW18" s="2" t="n">
        <v>39352.89922958678</v>
      </c>
      <c r="BX18" s="2" t="n">
        <v>8670.189999999999</v>
      </c>
      <c r="BY18" s="2" t="n">
        <v>1362.49</v>
      </c>
      <c r="BZ18" s="2" t="n">
        <v>0</v>
      </c>
      <c r="CA18" s="2" t="n">
        <v>10032.68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7179.280000000001</v>
      </c>
      <c r="L19" s="2" t="n">
        <v>597.6085851851852</v>
      </c>
      <c r="M19" s="2" t="n">
        <v>6647.481481481482</v>
      </c>
      <c r="N19" s="2" t="n">
        <v>0</v>
      </c>
      <c r="O19" s="2" t="n">
        <v>6831.02</v>
      </c>
      <c r="P19" s="2" t="n">
        <v>348.26</v>
      </c>
      <c r="Q19" s="2" t="n">
        <v>16093.61</v>
      </c>
      <c r="R19" s="2" t="n">
        <v>1117.611805555556</v>
      </c>
      <c r="S19" s="2" t="n">
        <v>14901.49074074074</v>
      </c>
      <c r="T19" s="2" t="n">
        <v>0</v>
      </c>
      <c r="U19" s="2" t="n">
        <v>15653.5</v>
      </c>
      <c r="V19" s="2" t="n">
        <v>440.11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7665.63</v>
      </c>
      <c r="AP19" s="2" t="n">
        <v>4150</v>
      </c>
      <c r="AQ19" s="2" t="n">
        <v>7097.805555555555</v>
      </c>
      <c r="AR19" s="2" t="n">
        <v>0</v>
      </c>
      <c r="AS19" s="2" t="n">
        <v>7402.57</v>
      </c>
      <c r="AT19" s="2" t="n">
        <v>263.06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30938.52</v>
      </c>
      <c r="BB19" s="2" t="n">
        <v>30938.52</v>
      </c>
      <c r="BC19" s="2">
        <f>F19+L19+R19+X19+AD19+AJ19+AP19+AV19+IF(BE19="",0,BE19)</f>
        <v/>
      </c>
      <c r="BD19" s="2" t="n">
        <v>476.453208</v>
      </c>
      <c r="BE19" s="2" t="n"/>
      <c r="BF19" s="2" t="n">
        <v>28646.77777777778</v>
      </c>
      <c r="BG19" s="2" t="n">
        <v>0</v>
      </c>
      <c r="BH19" s="2" t="n">
        <v>0</v>
      </c>
      <c r="BI19" s="2" t="n">
        <v>31296.94</v>
      </c>
      <c r="BJ19" s="2" t="n">
        <v>88.06198347107438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417.67002</v>
      </c>
      <c r="BQ19" s="2" t="n">
        <v>0</v>
      </c>
      <c r="BR19" s="2" t="n">
        <v>31827.67200347107</v>
      </c>
      <c r="BS19" s="2" t="n">
        <v>813.3618181818182</v>
      </c>
      <c r="BT19" s="2" t="n">
        <v>457.8512396694215</v>
      </c>
      <c r="BU19" s="2" t="n">
        <v>6536.243008264463</v>
      </c>
      <c r="BV19" s="2" t="n">
        <v>7807.456066115703</v>
      </c>
      <c r="BW19" s="2" t="n">
        <v>39635.12806958678</v>
      </c>
      <c r="BX19" s="2" t="n">
        <v>29887.09</v>
      </c>
      <c r="BY19" s="2" t="n">
        <v>1051.43</v>
      </c>
      <c r="BZ19" s="2" t="n">
        <v>0</v>
      </c>
      <c r="CA19" s="2" t="n">
        <v>30938.52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1119</v>
      </c>
      <c r="B20" t="inlineStr">
        <is>
          <t>Glogow</t>
        </is>
      </c>
      <c r="C20" t="inlineStr"/>
      <c r="D20" t="inlineStr"/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2390.94</v>
      </c>
      <c r="L20" s="2" t="n">
        <v>199.0236166666667</v>
      </c>
      <c r="M20" s="2" t="n">
        <v>2213.833333333333</v>
      </c>
      <c r="N20" s="2" t="n">
        <v>0</v>
      </c>
      <c r="O20" s="2" t="n">
        <v>2070.65</v>
      </c>
      <c r="P20" s="2" t="n">
        <v>320.29</v>
      </c>
      <c r="Q20" s="2" t="n">
        <v>6816.41</v>
      </c>
      <c r="R20" s="2" t="n">
        <v>473.3618055555555</v>
      </c>
      <c r="S20" s="2" t="n">
        <v>6311.49074074074</v>
      </c>
      <c r="T20" s="2" t="n">
        <v>0</v>
      </c>
      <c r="U20" s="2" t="n">
        <v>6387.72</v>
      </c>
      <c r="V20" s="2" t="n">
        <v>428.69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81.51000000000001</v>
      </c>
      <c r="AD20" s="2" t="n">
        <v>5.207583333333334</v>
      </c>
      <c r="AE20" s="2" t="n">
        <v>75.47222222222223</v>
      </c>
      <c r="AF20" s="2" t="n">
        <v>0</v>
      </c>
      <c r="AG20" s="2" t="n">
        <v>81.51000000000001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1587.67</v>
      </c>
      <c r="AP20" s="2" t="n">
        <v>4150</v>
      </c>
      <c r="AQ20" s="2" t="n">
        <v>1470.064814814815</v>
      </c>
      <c r="AR20" s="2" t="n">
        <v>0</v>
      </c>
      <c r="AS20" s="2" t="n">
        <v>1518.67</v>
      </c>
      <c r="AT20" s="2" t="n">
        <v>69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10876.53</v>
      </c>
      <c r="BB20" s="2" t="n">
        <v>10876.53</v>
      </c>
      <c r="BC20" s="2">
        <f>F20+L20+R20+X20+AD20+AJ20+AP20+AV20+IF(BE20="",0,BE20)</f>
        <v/>
      </c>
      <c r="BD20" s="2" t="n">
        <v>167.498562</v>
      </c>
      <c r="BE20" s="2" t="n"/>
      <c r="BF20" s="2" t="n">
        <v>10070.86111111111</v>
      </c>
      <c r="BG20" s="2" t="n">
        <v>0</v>
      </c>
      <c r="BH20" s="2" t="n">
        <v>0</v>
      </c>
      <c r="BI20" s="2" t="n">
        <v>31296.94</v>
      </c>
      <c r="BJ20" s="2" t="n">
        <v>88.06198347107438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146.833155</v>
      </c>
      <c r="BQ20" s="2" t="n">
        <v>0</v>
      </c>
      <c r="BR20" s="2" t="n">
        <v>31556.83513847107</v>
      </c>
      <c r="BS20" s="2" t="n">
        <v>813.3618181818182</v>
      </c>
      <c r="BT20" s="2" t="n">
        <v>457.8512396694215</v>
      </c>
      <c r="BU20" s="2" t="n">
        <v>6536.243008264463</v>
      </c>
      <c r="BV20" s="2" t="n">
        <v>7807.456066115703</v>
      </c>
      <c r="BW20" s="2" t="n">
        <v>39364.29120458678</v>
      </c>
      <c r="BX20" s="2" t="n">
        <v>10058.55</v>
      </c>
      <c r="BY20" s="2" t="n">
        <v>817.98</v>
      </c>
      <c r="BZ20" s="2" t="n">
        <v>0</v>
      </c>
      <c r="CA20" s="2" t="n">
        <v>10876.53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1120</v>
      </c>
      <c r="B21" t="inlineStr">
        <is>
          <t>Dworcowa 1, 47-220 Kędzierzyn-Koźle</t>
        </is>
      </c>
      <c r="C21" t="inlineStr">
        <is>
          <t>Kędzierzyn-Koźle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3004.85</v>
      </c>
      <c r="L21" s="2" t="n">
        <v>250.1259398148148</v>
      </c>
      <c r="M21" s="2" t="n">
        <v>2782.268518518518</v>
      </c>
      <c r="N21" s="2" t="n">
        <v>0</v>
      </c>
      <c r="O21" s="2" t="n">
        <v>2716.96</v>
      </c>
      <c r="P21" s="2" t="n">
        <v>287.89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22</v>
      </c>
      <c r="AD21" s="2" t="n">
        <v>1.405555555555556</v>
      </c>
      <c r="AE21" s="2" t="n">
        <v>20.37037037037037</v>
      </c>
      <c r="AF21" s="2" t="n">
        <v>0</v>
      </c>
      <c r="AG21" s="2" t="n">
        <v>22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4452.43</v>
      </c>
      <c r="AP21" s="2" t="n">
        <v>4150</v>
      </c>
      <c r="AQ21" s="2" t="n">
        <v>4122.62037037037</v>
      </c>
      <c r="AR21" s="2" t="n">
        <v>0</v>
      </c>
      <c r="AS21" s="2" t="n">
        <v>4200.51</v>
      </c>
      <c r="AT21" s="2" t="n">
        <v>251.92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7479.280000000001</v>
      </c>
      <c r="BB21" s="2" t="n">
        <v>7479.280000000001</v>
      </c>
      <c r="BC21" s="2">
        <f>F21+L21+R21+X21+AD21+AJ21+AP21+AV21+IF(BE21="",0,BE21)</f>
        <v/>
      </c>
      <c r="BD21" s="2" t="n">
        <v>115.180912</v>
      </c>
      <c r="BE21" s="2" t="n"/>
      <c r="BF21" s="2" t="n">
        <v>6925.259259259259</v>
      </c>
      <c r="BG21" s="2" t="n">
        <v>0</v>
      </c>
      <c r="BH21" s="2" t="n">
        <v>0</v>
      </c>
      <c r="BI21" s="2" t="n">
        <v>31296.94</v>
      </c>
      <c r="BJ21" s="2" t="n">
        <v>88.06198347107438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100.97028</v>
      </c>
      <c r="BQ21" s="2" t="n">
        <v>0</v>
      </c>
      <c r="BR21" s="2" t="n">
        <v>31510.97226347107</v>
      </c>
      <c r="BS21" s="2" t="n">
        <v>813.3618181818182</v>
      </c>
      <c r="BT21" s="2" t="n">
        <v>457.8512396694215</v>
      </c>
      <c r="BU21" s="2" t="n">
        <v>6536.243008264463</v>
      </c>
      <c r="BV21" s="2" t="n">
        <v>7807.456066115703</v>
      </c>
      <c r="BW21" s="2" t="n">
        <v>39318.42832958678</v>
      </c>
      <c r="BX21" s="2" t="n">
        <v>6939.47</v>
      </c>
      <c r="BY21" s="2" t="n">
        <v>539.8099999999999</v>
      </c>
      <c r="BZ21" s="2" t="n">
        <v>0</v>
      </c>
      <c r="CA21" s="2" t="n">
        <v>7479.280000000001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1121</v>
      </c>
      <c r="B22" t="inlineStr">
        <is>
          <t>pl. Dworcowy, 47-320 Gogolin</t>
        </is>
      </c>
      <c r="C22" t="inlineStr">
        <is>
          <t>Gogolin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3066.67</v>
      </c>
      <c r="L22" s="2" t="n">
        <v>255.2718824074074</v>
      </c>
      <c r="M22" s="2" t="n">
        <v>2839.509259259259</v>
      </c>
      <c r="N22" s="2" t="n">
        <v>0</v>
      </c>
      <c r="O22" s="2" t="n">
        <v>2894.22</v>
      </c>
      <c r="P22" s="2" t="n">
        <v>172.45</v>
      </c>
      <c r="Q22" s="2" t="n">
        <v>122.72</v>
      </c>
      <c r="R22" s="2" t="n">
        <v>8.52222222222222</v>
      </c>
      <c r="S22" s="2" t="n">
        <v>113.6296296296296</v>
      </c>
      <c r="T22" s="2" t="n">
        <v>0</v>
      </c>
      <c r="U22" s="2" t="n">
        <v>122.72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10117.73</v>
      </c>
      <c r="AP22" s="2" t="n">
        <v>8300</v>
      </c>
      <c r="AQ22" s="2" t="n">
        <v>9368.26851851852</v>
      </c>
      <c r="AR22" s="2" t="n">
        <v>0</v>
      </c>
      <c r="AS22" s="2" t="n">
        <v>9031.370000000001</v>
      </c>
      <c r="AT22" s="2" t="n">
        <v>1086.36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13307.12</v>
      </c>
      <c r="BB22" s="2" t="n">
        <v>13307.12</v>
      </c>
      <c r="BC22" s="2">
        <f>F22+L22+R22+X22+AD22+AJ22+AP22+AV22+IF(BE22="",0,BE22)</f>
        <v/>
      </c>
      <c r="BD22" s="2" t="n">
        <v>204.929648</v>
      </c>
      <c r="BE22" s="2" t="n"/>
      <c r="BF22" s="2" t="n">
        <v>12321.40740740741</v>
      </c>
      <c r="BG22" s="2" t="n">
        <v>0</v>
      </c>
      <c r="BH22" s="2" t="n">
        <v>0</v>
      </c>
      <c r="BI22" s="2" t="n">
        <v>31296.94</v>
      </c>
      <c r="BJ22" s="2" t="n">
        <v>88.06198347107438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179.64612</v>
      </c>
      <c r="BQ22" s="2" t="n">
        <v>0</v>
      </c>
      <c r="BR22" s="2" t="n">
        <v>31589.64810347107</v>
      </c>
      <c r="BS22" s="2" t="n">
        <v>813.3618181818182</v>
      </c>
      <c r="BT22" s="2" t="n">
        <v>457.8512396694215</v>
      </c>
      <c r="BU22" s="2" t="n">
        <v>6536.243008264463</v>
      </c>
      <c r="BV22" s="2" t="n">
        <v>7807.456066115703</v>
      </c>
      <c r="BW22" s="2" t="n">
        <v>39397.10416958678</v>
      </c>
      <c r="BX22" s="2" t="n">
        <v>12048.31</v>
      </c>
      <c r="BY22" s="2" t="n">
        <v>1258.81</v>
      </c>
      <c r="BZ22" s="2" t="n">
        <v>0</v>
      </c>
      <c r="CA22" s="2" t="n">
        <v>13307.12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1122</v>
      </c>
      <c r="B23" t="inlineStr">
        <is>
          <t>Elblag</t>
        </is>
      </c>
      <c r="C23" t="inlineStr">
        <is>
          <t>Gdańsk Główny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282.9</v>
      </c>
      <c r="L23" s="2" t="n">
        <v>23.54880555555555</v>
      </c>
      <c r="M23" s="2" t="n">
        <v>261.9444444444444</v>
      </c>
      <c r="N23" s="2" t="n">
        <v>0</v>
      </c>
      <c r="O23" s="2" t="n">
        <v>249.9</v>
      </c>
      <c r="P23" s="2" t="n">
        <v>33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790.14</v>
      </c>
      <c r="AP23" s="2" t="n">
        <v>3500</v>
      </c>
      <c r="AQ23" s="2" t="n">
        <v>731.6111111111111</v>
      </c>
      <c r="AR23" s="2" t="n">
        <v>0</v>
      </c>
      <c r="AS23" s="2" t="n">
        <v>764.84</v>
      </c>
      <c r="AT23" s="2" t="n">
        <v>25.3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1073.04</v>
      </c>
      <c r="BB23" s="2" t="n">
        <v>1073.04</v>
      </c>
      <c r="BC23" s="2">
        <f>F23+L23+R23+X23+AD23+AJ23+AP23+AV23+IF(BE23="",0,BE23)</f>
        <v/>
      </c>
      <c r="BD23" s="2" t="n">
        <v>16.524816</v>
      </c>
      <c r="BE23" s="2" t="n"/>
      <c r="BF23" s="2" t="n">
        <v>993.5555555555554</v>
      </c>
      <c r="BG23" s="2" t="n">
        <v>0</v>
      </c>
      <c r="BH23" s="2" t="n">
        <v>0</v>
      </c>
      <c r="BI23" s="2" t="n">
        <v>0</v>
      </c>
      <c r="BJ23" s="2" t="n">
        <v>88.06198347107438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14.48604</v>
      </c>
      <c r="BQ23" s="2" t="n">
        <v>0</v>
      </c>
      <c r="BR23" s="2" t="n">
        <v>127.5480234710744</v>
      </c>
      <c r="BS23" s="2" t="n">
        <v>813.3618181818182</v>
      </c>
      <c r="BT23" s="2" t="n">
        <v>457.8512396694215</v>
      </c>
      <c r="BU23" s="2" t="n">
        <v>276.8550082644628</v>
      </c>
      <c r="BV23" s="2" t="n">
        <v>1548.068066115703</v>
      </c>
      <c r="BW23" s="2" t="n">
        <v>1675.616089586777</v>
      </c>
      <c r="BX23" s="2" t="n">
        <v>1014.74</v>
      </c>
      <c r="BY23" s="2" t="n">
        <v>58.3</v>
      </c>
      <c r="BZ23" s="2" t="n">
        <v>0</v>
      </c>
      <c r="CA23" s="2" t="n">
        <v>1073.04</v>
      </c>
      <c r="CB23" s="2">
        <f>(BC23+IF(BD23="",0,BD23))-BW23</f>
        <v/>
      </c>
    </row>
    <row r="24">
      <c r="A24" t="n">
        <v>1123</v>
      </c>
      <c r="B24" t="inlineStr">
        <is>
          <t>Dmowskiego 1, 80-264 Gdańsk</t>
        </is>
      </c>
      <c r="C24" t="inlineStr">
        <is>
          <t>Gdańsk Wrzeszcz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8223.960000000001</v>
      </c>
      <c r="L24" s="2" t="n">
        <v>684.5685222222223</v>
      </c>
      <c r="M24" s="2" t="n">
        <v>7614.777777777778</v>
      </c>
      <c r="N24" s="2" t="n">
        <v>0</v>
      </c>
      <c r="O24" s="2" t="n">
        <v>7916.47</v>
      </c>
      <c r="P24" s="2" t="n">
        <v>307.49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12632.54</v>
      </c>
      <c r="AP24" s="2" t="n">
        <v>3500</v>
      </c>
      <c r="AQ24" s="2" t="n">
        <v>11696.7962962963</v>
      </c>
      <c r="AR24" s="2" t="n">
        <v>0</v>
      </c>
      <c r="AS24" s="2" t="n">
        <v>11905.94</v>
      </c>
      <c r="AT24" s="2" t="n">
        <v>726.6</v>
      </c>
      <c r="AU24" s="2" t="n">
        <v>5559.2</v>
      </c>
      <c r="AV24" s="2" t="n">
        <v>442.6770370370369</v>
      </c>
      <c r="AW24" s="2" t="n">
        <v>5147.407407407407</v>
      </c>
      <c r="AX24" s="2" t="n">
        <v>0</v>
      </c>
      <c r="AY24" s="2" t="n">
        <v>5165.95</v>
      </c>
      <c r="AZ24" s="2" t="n">
        <v>393.25</v>
      </c>
      <c r="BA24" s="2" t="n">
        <v>26415.7</v>
      </c>
      <c r="BB24" s="2" t="n">
        <v>26415.7</v>
      </c>
      <c r="BC24" s="2">
        <f>F24+L24+R24+X24+AD24+AJ24+AP24+AV24+IF(BE24="",0,BE24)</f>
        <v/>
      </c>
      <c r="BD24" s="2" t="n">
        <v>406.80178</v>
      </c>
      <c r="BE24" s="2" t="n"/>
      <c r="BF24" s="2" t="n">
        <v>24458.98148148148</v>
      </c>
      <c r="BG24" s="2" t="n">
        <v>0</v>
      </c>
      <c r="BH24" s="2" t="n">
        <v>0</v>
      </c>
      <c r="BI24" s="2" t="n">
        <v>31296.94</v>
      </c>
      <c r="BJ24" s="2" t="n">
        <v>88.06198347107438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356.61195</v>
      </c>
      <c r="BQ24" s="2" t="n">
        <v>0</v>
      </c>
      <c r="BR24" s="2" t="n">
        <v>31766.61393347107</v>
      </c>
      <c r="BS24" s="2" t="n">
        <v>813.3618181818182</v>
      </c>
      <c r="BT24" s="2" t="n">
        <v>457.8512396694215</v>
      </c>
      <c r="BU24" s="2" t="n">
        <v>6536.243008264463</v>
      </c>
      <c r="BV24" s="2" t="n">
        <v>7807.456066115703</v>
      </c>
      <c r="BW24" s="2" t="n">
        <v>39574.06999958678</v>
      </c>
      <c r="BX24" s="2" t="n">
        <v>24988.36</v>
      </c>
      <c r="BY24" s="2" t="n">
        <v>1427.34</v>
      </c>
      <c r="BZ24" s="2" t="n">
        <v>0</v>
      </c>
      <c r="CA24" s="2" t="n">
        <v>26415.7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1124</v>
      </c>
      <c r="B25" t="inlineStr">
        <is>
          <t>Zwierzyn (Strzelce Krajenskie)</t>
        </is>
      </c>
      <c r="C25" t="inlineStr"/>
      <c r="D25" t="inlineStr"/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65.25</v>
      </c>
      <c r="L25" s="2" t="n">
        <v>5.431458333333333</v>
      </c>
      <c r="M25" s="2" t="n">
        <v>60.41666666666666</v>
      </c>
      <c r="N25" s="2" t="n">
        <v>0</v>
      </c>
      <c r="O25" s="2" t="n">
        <v>65.25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2113.56</v>
      </c>
      <c r="AP25" s="2" t="n">
        <v>4200</v>
      </c>
      <c r="AQ25" s="2" t="n">
        <v>1957</v>
      </c>
      <c r="AR25" s="2" t="n">
        <v>0</v>
      </c>
      <c r="AS25" s="2" t="n">
        <v>1988.46</v>
      </c>
      <c r="AT25" s="2" t="n">
        <v>125.1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2178.81</v>
      </c>
      <c r="BB25" s="2" t="n">
        <v>2178.81</v>
      </c>
      <c r="BC25" s="2">
        <f>F25+L25+R25+X25+AD25+AJ25+AP25+AV25+IF(BE25="",0,BE25)</f>
        <v/>
      </c>
      <c r="BD25" s="2" t="n">
        <v>33.553674</v>
      </c>
      <c r="BE25" s="2" t="n"/>
      <c r="BF25" s="2" t="n">
        <v>2017.416666666667</v>
      </c>
      <c r="BG25" s="2" t="n">
        <v>0</v>
      </c>
      <c r="BH25" s="2" t="n">
        <v>0</v>
      </c>
      <c r="BI25" s="2" t="n">
        <v>31296.94</v>
      </c>
      <c r="BJ25" s="2" t="n">
        <v>88.06198347107438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29.413935</v>
      </c>
      <c r="BQ25" s="2" t="n">
        <v>0</v>
      </c>
      <c r="BR25" s="2" t="n">
        <v>31439.41591847107</v>
      </c>
      <c r="BS25" s="2" t="n">
        <v>813.3618181818182</v>
      </c>
      <c r="BT25" s="2" t="n">
        <v>457.8512396694215</v>
      </c>
      <c r="BU25" s="2" t="n">
        <v>6536.243008264463</v>
      </c>
      <c r="BV25" s="2" t="n">
        <v>7807.456066115703</v>
      </c>
      <c r="BW25" s="2" t="n">
        <v>39246.87198458677</v>
      </c>
      <c r="BX25" s="2" t="n">
        <v>2053.71</v>
      </c>
      <c r="BY25" s="2" t="n">
        <v>125.1</v>
      </c>
      <c r="BZ25" s="2" t="n">
        <v>0</v>
      </c>
      <c r="CA25" s="2" t="n">
        <v>2178.81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1125</v>
      </c>
      <c r="B26" t="inlineStr">
        <is>
          <t>Czestochowa</t>
        </is>
      </c>
      <c r="C26" t="inlineStr">
        <is>
          <t>Koluszki</t>
        </is>
      </c>
      <c r="D26" t="inlineStr">
        <is>
          <t>BB8</t>
        </is>
      </c>
      <c r="E26" s="2" t="n">
        <v>7.9</v>
      </c>
      <c r="F26" s="2" t="n">
        <v>0.5120370370370371</v>
      </c>
      <c r="G26" s="2" t="n">
        <v>7.314814814814815</v>
      </c>
      <c r="H26" s="2" t="n">
        <v>0</v>
      </c>
      <c r="I26" s="2" t="n">
        <v>7.9</v>
      </c>
      <c r="J26" s="2" t="n">
        <v>0</v>
      </c>
      <c r="K26" s="2" t="n">
        <v>1721.4</v>
      </c>
      <c r="L26" s="2" t="n">
        <v>143.2906111111111</v>
      </c>
      <c r="M26" s="2" t="n">
        <v>1593.888888888889</v>
      </c>
      <c r="N26" s="2" t="n">
        <v>0</v>
      </c>
      <c r="O26" s="2" t="n">
        <v>1640.14</v>
      </c>
      <c r="P26" s="2" t="n">
        <v>81.26000000000001</v>
      </c>
      <c r="Q26" s="2" t="n">
        <v>33.7</v>
      </c>
      <c r="R26" s="2" t="n">
        <v>0</v>
      </c>
      <c r="S26" s="2" t="n">
        <v>31.20370370370371</v>
      </c>
      <c r="T26" s="2" t="n">
        <v>0</v>
      </c>
      <c r="U26" s="2" t="n">
        <v>33.7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126.76</v>
      </c>
      <c r="AJ26" s="2" t="n">
        <v>8.802777777777775</v>
      </c>
      <c r="AK26" s="2" t="n">
        <v>117.3703703703704</v>
      </c>
      <c r="AL26" s="2" t="n">
        <v>0</v>
      </c>
      <c r="AM26" s="2" t="n">
        <v>111.96</v>
      </c>
      <c r="AN26" s="2" t="n">
        <v>14.8</v>
      </c>
      <c r="AO26" s="2" t="n">
        <v>2305.86</v>
      </c>
      <c r="AP26" s="2" t="n">
        <v>4200</v>
      </c>
      <c r="AQ26" s="2" t="n">
        <v>2135.055555555556</v>
      </c>
      <c r="AR26" s="2" t="n">
        <v>0</v>
      </c>
      <c r="AS26" s="2" t="n">
        <v>2004.77</v>
      </c>
      <c r="AT26" s="2" t="n">
        <v>301.09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4195.620000000001</v>
      </c>
      <c r="BB26" s="2" t="n">
        <v>4195.620000000001</v>
      </c>
      <c r="BC26" s="2">
        <f>F26+L26+R26+X26+AD26+AJ26+AP26+AV26+IF(BE26="",0,BE26)</f>
        <v/>
      </c>
      <c r="BD26" s="2" t="n">
        <v>64.612548</v>
      </c>
      <c r="BE26" s="2" t="n"/>
      <c r="BF26" s="2" t="n">
        <v>3884.833333333333</v>
      </c>
      <c r="BG26" s="2" t="n">
        <v>0</v>
      </c>
      <c r="BH26" s="2" t="n">
        <v>0</v>
      </c>
      <c r="BI26" s="2" t="n">
        <v>31296.94</v>
      </c>
      <c r="BJ26" s="2" t="n">
        <v>88.06198347107438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56.64087</v>
      </c>
      <c r="BQ26" s="2" t="n">
        <v>0</v>
      </c>
      <c r="BR26" s="2" t="n">
        <v>31466.64285347107</v>
      </c>
      <c r="BS26" s="2" t="n">
        <v>813.3618181818182</v>
      </c>
      <c r="BT26" s="2" t="n">
        <v>457.8512396694215</v>
      </c>
      <c r="BU26" s="2" t="n">
        <v>6536.243008264463</v>
      </c>
      <c r="BV26" s="2" t="n">
        <v>7807.456066115703</v>
      </c>
      <c r="BW26" s="2" t="n">
        <v>39274.09891958677</v>
      </c>
      <c r="BX26" s="2" t="n">
        <v>3798.47</v>
      </c>
      <c r="BY26" s="2" t="n">
        <v>397.15</v>
      </c>
      <c r="BZ26" s="2" t="n">
        <v>0</v>
      </c>
      <c r="CA26" s="2" t="n">
        <v>4195.62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1126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28822.31</v>
      </c>
      <c r="L27" s="2" t="n">
        <v>2399.190434259259</v>
      </c>
      <c r="M27" s="2" t="n">
        <v>26687.32407407407</v>
      </c>
      <c r="N27" s="2" t="n">
        <v>0</v>
      </c>
      <c r="O27" s="2" t="n">
        <v>27320.77</v>
      </c>
      <c r="P27" s="2" t="n">
        <v>1501.54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1360.4</v>
      </c>
      <c r="AJ27" s="2" t="n">
        <v>94.47222222222221</v>
      </c>
      <c r="AK27" s="2" t="n">
        <v>1259.62962962963</v>
      </c>
      <c r="AL27" s="2" t="n">
        <v>0</v>
      </c>
      <c r="AM27" s="2" t="n">
        <v>1228.28</v>
      </c>
      <c r="AN27" s="2" t="n">
        <v>132.12</v>
      </c>
      <c r="AO27" s="2" t="n">
        <v>1023.94</v>
      </c>
      <c r="AP27" s="2" t="n">
        <v>74.8993148148148</v>
      </c>
      <c r="AQ27" s="2" t="n">
        <v>948.0925925925925</v>
      </c>
      <c r="AR27" s="2" t="n">
        <v>0</v>
      </c>
      <c r="AS27" s="2" t="n">
        <v>891.17</v>
      </c>
      <c r="AT27" s="2" t="n">
        <v>132.77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31206.65</v>
      </c>
      <c r="BB27" s="2" t="n">
        <v>31206.65</v>
      </c>
      <c r="BC27" s="2">
        <f>F27+L27+R27+X27+AD27+AJ27+AP27+AV27+IF(BE27="",0,BE27)</f>
        <v/>
      </c>
      <c r="BD27" s="2" t="n">
        <v>480.58241</v>
      </c>
      <c r="BE27" s="2" t="n"/>
      <c r="BF27" s="2" t="n">
        <v>28895.04629629629</v>
      </c>
      <c r="BG27" s="2" t="n">
        <v>857.64</v>
      </c>
      <c r="BH27" s="2" t="n">
        <v>263.52</v>
      </c>
      <c r="BI27" s="2" t="n">
        <v>31296.94</v>
      </c>
      <c r="BJ27" s="2" t="n">
        <v>88.06198347107438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421.289775</v>
      </c>
      <c r="BQ27" s="2" t="n">
        <v>0</v>
      </c>
      <c r="BR27" s="2" t="n">
        <v>32952.45175847107</v>
      </c>
      <c r="BS27" s="2" t="n">
        <v>813.3618181818182</v>
      </c>
      <c r="BT27" s="2" t="n">
        <v>457.8512396694215</v>
      </c>
      <c r="BU27" s="2" t="n">
        <v>6760.475008264462</v>
      </c>
      <c r="BV27" s="2" t="n">
        <v>8031.688066115702</v>
      </c>
      <c r="BW27" s="2" t="n">
        <v>40984.13982458677</v>
      </c>
      <c r="BX27" s="2" t="n">
        <v>29440.22</v>
      </c>
      <c r="BY27" s="2" t="n">
        <v>1766.43</v>
      </c>
      <c r="BZ27" s="2" t="n">
        <v>0</v>
      </c>
      <c r="CA27" s="2" t="n">
        <v>31206.65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1127</v>
      </c>
      <c r="B28" t="inlineStr">
        <is>
          <t>Warszawa Centralna</t>
        </is>
      </c>
      <c r="C28" t="inlineStr">
        <is>
          <t>Warszawa Centralna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27817.32</v>
      </c>
      <c r="L28" s="2" t="n">
        <v>2315.534322222222</v>
      </c>
      <c r="M28" s="2" t="n">
        <v>25756.77777777778</v>
      </c>
      <c r="N28" s="2" t="n">
        <v>0</v>
      </c>
      <c r="O28" s="2" t="n">
        <v>25715.03</v>
      </c>
      <c r="P28" s="2" t="n">
        <v>2102.29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763.83</v>
      </c>
      <c r="AJ28" s="2" t="n">
        <v>53.04375</v>
      </c>
      <c r="AK28" s="2" t="n">
        <v>707.25</v>
      </c>
      <c r="AL28" s="2" t="n">
        <v>0</v>
      </c>
      <c r="AM28" s="2" t="n">
        <v>763.83</v>
      </c>
      <c r="AN28" s="2" t="n">
        <v>0</v>
      </c>
      <c r="AO28" s="2" t="n">
        <v>1669.56</v>
      </c>
      <c r="AP28" s="2" t="n">
        <v>122.1252222222222</v>
      </c>
      <c r="AQ28" s="2" t="n">
        <v>1545.888888888889</v>
      </c>
      <c r="AR28" s="2" t="n">
        <v>0</v>
      </c>
      <c r="AS28" s="2" t="n">
        <v>1577.13</v>
      </c>
      <c r="AT28" s="2" t="n">
        <v>92.43000000000001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30250.71</v>
      </c>
      <c r="BB28" s="2" t="n">
        <v>30250.71</v>
      </c>
      <c r="BC28" s="2">
        <f>F28+L28+R28+X28+AD28+AJ28+AP28+AV28+IF(BE28="",0,BE28)</f>
        <v/>
      </c>
      <c r="BD28" s="2" t="n">
        <v>465.860934</v>
      </c>
      <c r="BE28" s="2" t="n"/>
      <c r="BF28" s="2" t="n">
        <v>28009.91666666667</v>
      </c>
      <c r="BG28" s="2" t="n">
        <v>857.64</v>
      </c>
      <c r="BH28" s="2" t="n">
        <v>263.52</v>
      </c>
      <c r="BI28" s="2" t="n">
        <v>31296.94</v>
      </c>
      <c r="BJ28" s="2" t="n">
        <v>88.06198347107438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408.384585</v>
      </c>
      <c r="BQ28" s="2" t="n">
        <v>0</v>
      </c>
      <c r="BR28" s="2" t="n">
        <v>32939.54656847107</v>
      </c>
      <c r="BS28" s="2" t="n">
        <v>813.3618181818182</v>
      </c>
      <c r="BT28" s="2" t="n">
        <v>457.8512396694215</v>
      </c>
      <c r="BU28" s="2" t="n">
        <v>6760.475008264462</v>
      </c>
      <c r="BV28" s="2" t="n">
        <v>8031.688066115702</v>
      </c>
      <c r="BW28" s="2" t="n">
        <v>40971.23463458678</v>
      </c>
      <c r="BX28" s="2" t="n">
        <v>28055.99</v>
      </c>
      <c r="BY28" s="2" t="n">
        <v>2194.72</v>
      </c>
      <c r="BZ28" s="2" t="n">
        <v>0</v>
      </c>
      <c r="CA28" s="2" t="n">
        <v>30250.71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1128</v>
      </c>
      <c r="B29" t="inlineStr">
        <is>
          <t>Wojska Polskiego 109, 64-761 Krzyż Wielkopolski</t>
        </is>
      </c>
      <c r="C29" t="inlineStr">
        <is>
          <t>Krzyż Wielkopolski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3087.75</v>
      </c>
      <c r="L29" s="2" t="n">
        <v>257.0265972222222</v>
      </c>
      <c r="M29" s="2" t="n">
        <v>2859.027777777777</v>
      </c>
      <c r="N29" s="2" t="n">
        <v>0</v>
      </c>
      <c r="O29" s="2" t="n">
        <v>2690.75</v>
      </c>
      <c r="P29" s="2" t="n">
        <v>397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416.14</v>
      </c>
      <c r="AD29" s="2" t="n">
        <v>26.58672222222222</v>
      </c>
      <c r="AE29" s="2" t="n">
        <v>385.3148148148148</v>
      </c>
      <c r="AF29" s="2" t="n">
        <v>0</v>
      </c>
      <c r="AG29" s="2" t="n">
        <v>413.09</v>
      </c>
      <c r="AH29" s="2" t="n">
        <v>3.05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2383.92</v>
      </c>
      <c r="AP29" s="2" t="n">
        <v>174.3793333333333</v>
      </c>
      <c r="AQ29" s="2" t="n">
        <v>2207.333333333333</v>
      </c>
      <c r="AR29" s="2" t="n">
        <v>0</v>
      </c>
      <c r="AS29" s="2" t="n">
        <v>2147.32</v>
      </c>
      <c r="AT29" s="2" t="n">
        <v>236.6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5887.809999999999</v>
      </c>
      <c r="BB29" s="2" t="n">
        <v>5887.809999999999</v>
      </c>
      <c r="BC29" s="2">
        <f>F29+L29+R29+X29+AD29+AJ29+AP29+AV29+IF(BE29="",0,BE29)</f>
        <v/>
      </c>
      <c r="BD29" s="2" t="n">
        <v>90.672274</v>
      </c>
      <c r="BE29" s="2" t="n"/>
      <c r="BF29" s="2" t="n">
        <v>5451.675925925925</v>
      </c>
      <c r="BG29" s="2" t="n">
        <v>500</v>
      </c>
      <c r="BH29" s="2" t="n">
        <v>332</v>
      </c>
      <c r="BI29" s="2" t="n">
        <v>31296.94</v>
      </c>
      <c r="BJ29" s="2" t="n">
        <v>88.06198347107438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79.485435</v>
      </c>
      <c r="BQ29" s="2" t="n">
        <v>0</v>
      </c>
      <c r="BR29" s="2" t="n">
        <v>32321.48741847107</v>
      </c>
      <c r="BS29" s="2" t="n">
        <v>813.3618181818182</v>
      </c>
      <c r="BT29" s="2" t="n">
        <v>457.8512396694215</v>
      </c>
      <c r="BU29" s="2" t="n">
        <v>6702.643008264463</v>
      </c>
      <c r="BV29" s="2" t="n">
        <v>7973.856066115703</v>
      </c>
      <c r="BW29" s="2" t="n">
        <v>40295.34348458677</v>
      </c>
      <c r="BX29" s="2" t="n">
        <v>5251.16</v>
      </c>
      <c r="BY29" s="2" t="n">
        <v>636.65</v>
      </c>
      <c r="BZ29" s="2" t="n">
        <v>0</v>
      </c>
      <c r="CA29" s="2" t="n">
        <v>5887.809999999999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1203</v>
      </c>
      <c r="B30" t="inlineStr">
        <is>
          <t>Piłsudskiego 105, 50-085 Wrocław</t>
        </is>
      </c>
      <c r="C30" t="inlineStr">
        <is>
          <t>Wrocław Główny</t>
        </is>
      </c>
      <c r="D30" t="inlineStr">
        <is>
          <t>FAA2000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29835.53</v>
      </c>
      <c r="L30" s="2" t="n">
        <v>2483.531617592592</v>
      </c>
      <c r="M30" s="2" t="n">
        <v>27625.49074074074</v>
      </c>
      <c r="N30" s="2" t="n">
        <v>4296.14</v>
      </c>
      <c r="O30" s="2" t="n">
        <v>24562.11</v>
      </c>
      <c r="P30" s="2" t="n">
        <v>977.28</v>
      </c>
      <c r="Q30" s="2" t="n">
        <v>24145.67</v>
      </c>
      <c r="R30" s="2" t="n">
        <v>1600</v>
      </c>
      <c r="S30" s="2" t="n">
        <v>22357.10185185185</v>
      </c>
      <c r="T30" s="2" t="n">
        <v>5244.96</v>
      </c>
      <c r="U30" s="2" t="n">
        <v>17885.63</v>
      </c>
      <c r="V30" s="2" t="n">
        <v>1015.08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16311.91</v>
      </c>
      <c r="AP30" s="2" t="n">
        <v>1193.186009259259</v>
      </c>
      <c r="AQ30" s="2" t="n">
        <v>15103.62037037037</v>
      </c>
      <c r="AR30" s="2" t="n">
        <v>2965.8</v>
      </c>
      <c r="AS30" s="2" t="n">
        <v>12538.43</v>
      </c>
      <c r="AT30" s="2" t="n">
        <v>807.6799999999999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70293.11</v>
      </c>
      <c r="BB30" s="2" t="n">
        <v>57786.21000000001</v>
      </c>
      <c r="BC30" s="2">
        <f>F30+L30+R30+X30+AD30+AJ30+AP30+AV30+IF(BE30="",0,BE30)</f>
        <v/>
      </c>
      <c r="BD30" s="2" t="n">
        <v>889.9076340000001</v>
      </c>
      <c r="BE30" s="2" t="n"/>
      <c r="BF30" s="2" t="n">
        <v>65086.21296296295</v>
      </c>
      <c r="BG30" s="2" t="n">
        <v>0</v>
      </c>
      <c r="BH30" s="2" t="n">
        <v>0</v>
      </c>
      <c r="BI30" s="2" t="n">
        <v>31296.94</v>
      </c>
      <c r="BJ30" s="2" t="n">
        <v>88.06198347107438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780.1138350000001</v>
      </c>
      <c r="BQ30" s="2" t="n">
        <v>0</v>
      </c>
      <c r="BR30" s="2" t="n">
        <v>32190.11581847107</v>
      </c>
      <c r="BS30" s="2" t="n">
        <v>813.3618181818182</v>
      </c>
      <c r="BT30" s="2" t="n">
        <v>457.8512396694215</v>
      </c>
      <c r="BU30" s="2" t="n">
        <v>6536.243008264463</v>
      </c>
      <c r="BV30" s="2" t="n">
        <v>7807.456066115703</v>
      </c>
      <c r="BW30" s="2" t="n">
        <v>39997.57188458677</v>
      </c>
      <c r="BX30" s="2" t="n">
        <v>54986.17000000001</v>
      </c>
      <c r="BY30" s="2" t="n">
        <v>2800.04</v>
      </c>
      <c r="BZ30" s="2" t="n">
        <v>12506.9</v>
      </c>
      <c r="CA30" s="2" t="n">
        <v>57786.21000000001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1204</v>
      </c>
      <c r="B31" t="inlineStr">
        <is>
          <t>Piłsudskiego 105, 50-085 Wrocław</t>
        </is>
      </c>
      <c r="C31" t="inlineStr">
        <is>
          <t>Wrocław Główny</t>
        </is>
      </c>
      <c r="D31" t="inlineStr">
        <is>
          <t>FAA2000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11828.04</v>
      </c>
      <c r="L31" s="2" t="n">
        <v>984.574811111111</v>
      </c>
      <c r="M31" s="2" t="n">
        <v>10951.88888888889</v>
      </c>
      <c r="N31" s="2" t="n">
        <v>1710.89</v>
      </c>
      <c r="O31" s="2" t="n">
        <v>9636.82</v>
      </c>
      <c r="P31" s="2" t="n">
        <v>480.33</v>
      </c>
      <c r="Q31" s="2" t="n">
        <v>21733.9</v>
      </c>
      <c r="R31" s="2" t="n">
        <v>1600</v>
      </c>
      <c r="S31" s="2" t="n">
        <v>20123.98148148148</v>
      </c>
      <c r="T31" s="2" t="n">
        <v>2212.44</v>
      </c>
      <c r="U31" s="2" t="n">
        <v>18950.09</v>
      </c>
      <c r="V31" s="2" t="n">
        <v>571.37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8965.449999999999</v>
      </c>
      <c r="AP31" s="2" t="n">
        <v>655.8060648148147</v>
      </c>
      <c r="AQ31" s="2" t="n">
        <v>8301.342592592591</v>
      </c>
      <c r="AR31" s="2" t="n">
        <v>616.58</v>
      </c>
      <c r="AS31" s="2" t="n">
        <v>8215.65</v>
      </c>
      <c r="AT31" s="2" t="n">
        <v>133.22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42527.38999999999</v>
      </c>
      <c r="BB31" s="2" t="n">
        <v>37987.48</v>
      </c>
      <c r="BC31" s="2">
        <f>F31+L31+R31+X31+AD31+AJ31+AP31+AV31+IF(BE31="",0,BE31)</f>
        <v/>
      </c>
      <c r="BD31" s="2" t="n">
        <v>585.007192</v>
      </c>
      <c r="BE31" s="2" t="n"/>
      <c r="BF31" s="2" t="n">
        <v>39377.21296296296</v>
      </c>
      <c r="BG31" s="2" t="n">
        <v>630.3666666666667</v>
      </c>
      <c r="BH31" s="2" t="n">
        <v>86.66666666666667</v>
      </c>
      <c r="BI31" s="2" t="n">
        <v>31296.94</v>
      </c>
      <c r="BJ31" s="2" t="n">
        <v>88.06198347107438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512.83098</v>
      </c>
      <c r="BQ31" s="2" t="n">
        <v>0</v>
      </c>
      <c r="BR31" s="2" t="n">
        <v>32639.8662968044</v>
      </c>
      <c r="BS31" s="2" t="n">
        <v>813.3618181818182</v>
      </c>
      <c r="BT31" s="2" t="n">
        <v>457.8512396694215</v>
      </c>
      <c r="BU31" s="2" t="n">
        <v>6679.64967493113</v>
      </c>
      <c r="BV31" s="2" t="n">
        <v>7950.86273278237</v>
      </c>
      <c r="BW31" s="2" t="n">
        <v>40590.72902958677</v>
      </c>
      <c r="BX31" s="2" t="n">
        <v>36802.56</v>
      </c>
      <c r="BY31" s="2" t="n">
        <v>1184.92</v>
      </c>
      <c r="BZ31" s="2" t="n">
        <v>4539.91</v>
      </c>
      <c r="CA31" s="2" t="n">
        <v>37987.48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1205</v>
      </c>
      <c r="B32" t="inlineStr">
        <is>
          <t>Wroclaw</t>
        </is>
      </c>
      <c r="C32" t="inlineStr">
        <is>
          <t>Ciechocinek</t>
        </is>
      </c>
      <c r="D32" t="inlineStr">
        <is>
          <t>ST|40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22700.59</v>
      </c>
      <c r="L32" s="2" t="n">
        <v>1889.613926851852</v>
      </c>
      <c r="M32" s="2" t="n">
        <v>21019.06481481481</v>
      </c>
      <c r="N32" s="2" t="n">
        <v>5080.71</v>
      </c>
      <c r="O32" s="2" t="n">
        <v>16273.23</v>
      </c>
      <c r="P32" s="2" t="n">
        <v>1346.65</v>
      </c>
      <c r="Q32" s="2" t="n">
        <v>42977.53</v>
      </c>
      <c r="R32" s="2" t="n">
        <v>1600</v>
      </c>
      <c r="S32" s="2" t="n">
        <v>39794.00925925926</v>
      </c>
      <c r="T32" s="2" t="n">
        <v>8141.67</v>
      </c>
      <c r="U32" s="2" t="n">
        <v>33517.16</v>
      </c>
      <c r="V32" s="2" t="n">
        <v>1318.7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11394.41</v>
      </c>
      <c r="AP32" s="2" t="n">
        <v>833.4799907407407</v>
      </c>
      <c r="AQ32" s="2" t="n">
        <v>10550.37962962963</v>
      </c>
      <c r="AR32" s="2" t="n">
        <v>2428.98</v>
      </c>
      <c r="AS32" s="2" t="n">
        <v>8449.450000000001</v>
      </c>
      <c r="AT32" s="2" t="n">
        <v>515.98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77072.53</v>
      </c>
      <c r="BB32" s="2" t="n">
        <v>61421.17000000001</v>
      </c>
      <c r="BC32" s="2">
        <f>F32+L32+R32+X32+AD32+AJ32+AP32+AV32+IF(BE32="",0,BE32)</f>
        <v/>
      </c>
      <c r="BD32" s="2" t="n">
        <v>945.8860180000001</v>
      </c>
      <c r="BE32" s="2" t="n"/>
      <c r="BF32" s="2" t="n">
        <v>71363.45370370371</v>
      </c>
      <c r="BG32" s="2" t="n">
        <v>630.3666666666667</v>
      </c>
      <c r="BH32" s="2" t="n">
        <v>86.66666666666667</v>
      </c>
      <c r="BI32" s="2" t="n">
        <v>31296.94</v>
      </c>
      <c r="BJ32" s="2" t="n">
        <v>88.06198347107438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829.185795</v>
      </c>
      <c r="BQ32" s="2" t="n">
        <v>0</v>
      </c>
      <c r="BR32" s="2" t="n">
        <v>32956.22111180441</v>
      </c>
      <c r="BS32" s="2" t="n">
        <v>813.3618181818182</v>
      </c>
      <c r="BT32" s="2" t="n">
        <v>457.8512396694215</v>
      </c>
      <c r="BU32" s="2" t="n">
        <v>6679.64967493113</v>
      </c>
      <c r="BV32" s="2" t="n">
        <v>7950.86273278237</v>
      </c>
      <c r="BW32" s="2" t="n">
        <v>40907.08384458678</v>
      </c>
      <c r="BX32" s="2" t="n">
        <v>58239.84</v>
      </c>
      <c r="BY32" s="2" t="n">
        <v>3181.33</v>
      </c>
      <c r="BZ32" s="2" t="n">
        <v>15651.36</v>
      </c>
      <c r="CA32" s="2" t="n">
        <v>61421.17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1206</v>
      </c>
      <c r="B33" t="inlineStr">
        <is>
          <t>Piłsudskiego 105, 50-085 Wrocław</t>
        </is>
      </c>
      <c r="C33" t="inlineStr">
        <is>
          <t>Wrocław Główny</t>
        </is>
      </c>
      <c r="D33" t="inlineStr">
        <is>
          <t>FAA2000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6381.6</v>
      </c>
      <c r="L33" s="2" t="n">
        <v>531.2091111111112</v>
      </c>
      <c r="M33" s="2" t="n">
        <v>5908.888888888889</v>
      </c>
      <c r="N33" s="2" t="n">
        <v>1261.49</v>
      </c>
      <c r="O33" s="2" t="n">
        <v>4972.76</v>
      </c>
      <c r="P33" s="2" t="n">
        <v>147.35</v>
      </c>
      <c r="Q33" s="2" t="n">
        <v>13055.62</v>
      </c>
      <c r="R33" s="2" t="n">
        <v>1600</v>
      </c>
      <c r="S33" s="2" t="n">
        <v>12088.53703703703</v>
      </c>
      <c r="T33" s="2" t="n">
        <v>2147.54</v>
      </c>
      <c r="U33" s="2" t="n">
        <v>10544.74</v>
      </c>
      <c r="V33" s="2" t="n">
        <v>363.34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4690.200000000001</v>
      </c>
      <c r="AP33" s="2" t="n">
        <v>343.0794444444445</v>
      </c>
      <c r="AQ33" s="2" t="n">
        <v>4342.777777777778</v>
      </c>
      <c r="AR33" s="2" t="n">
        <v>426.59</v>
      </c>
      <c r="AS33" s="2" t="n">
        <v>4115.31</v>
      </c>
      <c r="AT33" s="2" t="n">
        <v>148.3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24127.42</v>
      </c>
      <c r="BB33" s="2" t="n">
        <v>20291.8</v>
      </c>
      <c r="BC33" s="2">
        <f>F33+L33+R33+X33+AD33+AJ33+AP33+AV33+IF(BE33="",0,BE33)</f>
        <v/>
      </c>
      <c r="BD33" s="2" t="n">
        <v>312.4937200000001</v>
      </c>
      <c r="BE33" s="2" t="n"/>
      <c r="BF33" s="2" t="n">
        <v>22340.2037037037</v>
      </c>
      <c r="BG33" s="2" t="n">
        <v>630.3666666666667</v>
      </c>
      <c r="BH33" s="2" t="n">
        <v>86.66666666666667</v>
      </c>
      <c r="BI33" s="2" t="n">
        <v>31296.94</v>
      </c>
      <c r="BJ33" s="2" t="n">
        <v>88.06198347107438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273.9393</v>
      </c>
      <c r="BQ33" s="2" t="n">
        <v>0</v>
      </c>
      <c r="BR33" s="2" t="n">
        <v>32400.97461680441</v>
      </c>
      <c r="BS33" s="2" t="n">
        <v>813.3618181818182</v>
      </c>
      <c r="BT33" s="2" t="n">
        <v>457.8512396694215</v>
      </c>
      <c r="BU33" s="2" t="n">
        <v>6679.64967493113</v>
      </c>
      <c r="BV33" s="2" t="n">
        <v>7950.86273278237</v>
      </c>
      <c r="BW33" s="2" t="n">
        <v>40351.83734958678</v>
      </c>
      <c r="BX33" s="2" t="n">
        <v>19632.81</v>
      </c>
      <c r="BY33" s="2" t="n">
        <v>658.99</v>
      </c>
      <c r="BZ33" s="2" t="n">
        <v>3835.62</v>
      </c>
      <c r="CA33" s="2" t="n">
        <v>20291.8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1207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3884.82</v>
      </c>
      <c r="L34" s="2" t="n">
        <v>323.3752944444445</v>
      </c>
      <c r="M34" s="2" t="n">
        <v>3597.055555555556</v>
      </c>
      <c r="N34" s="2" t="n">
        <v>757.0599999999999</v>
      </c>
      <c r="O34" s="2" t="n">
        <v>2885.36</v>
      </c>
      <c r="P34" s="2" t="n">
        <v>242.4</v>
      </c>
      <c r="Q34" s="2" t="n">
        <v>7099.110000000001</v>
      </c>
      <c r="R34" s="2" t="n">
        <v>1600</v>
      </c>
      <c r="S34" s="2" t="n">
        <v>6573.25</v>
      </c>
      <c r="T34" s="2" t="n">
        <v>1069.83</v>
      </c>
      <c r="U34" s="2" t="n">
        <v>5710.55</v>
      </c>
      <c r="V34" s="2" t="n">
        <v>318.73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2714.31</v>
      </c>
      <c r="AP34" s="2" t="n">
        <v>198.54675</v>
      </c>
      <c r="AQ34" s="2" t="n">
        <v>2513.25</v>
      </c>
      <c r="AR34" s="2" t="n">
        <v>363.27</v>
      </c>
      <c r="AS34" s="2" t="n">
        <v>2137.96</v>
      </c>
      <c r="AT34" s="2" t="n">
        <v>213.08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13698.24</v>
      </c>
      <c r="BB34" s="2" t="n">
        <v>11508.08</v>
      </c>
      <c r="BC34" s="2">
        <f>F34+L34+R34+X34+AD34+AJ34+AP34+AV34+IF(BE34="",0,BE34)</f>
        <v/>
      </c>
      <c r="BD34" s="2" t="n">
        <v>177.224432</v>
      </c>
      <c r="BE34" s="2" t="n"/>
      <c r="BF34" s="2" t="n">
        <v>12683.55555555555</v>
      </c>
      <c r="BG34" s="2" t="n">
        <v>630.3666666666667</v>
      </c>
      <c r="BH34" s="2" t="n">
        <v>86.66666666666667</v>
      </c>
      <c r="BI34" s="2" t="n">
        <v>31296.94</v>
      </c>
      <c r="BJ34" s="2" t="n">
        <v>88.06198347107438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155.35908</v>
      </c>
      <c r="BQ34" s="2" t="n">
        <v>0</v>
      </c>
      <c r="BR34" s="2" t="n">
        <v>32282.3943968044</v>
      </c>
      <c r="BS34" s="2" t="n">
        <v>813.3618181818182</v>
      </c>
      <c r="BT34" s="2" t="n">
        <v>457.8512396694215</v>
      </c>
      <c r="BU34" s="2" t="n">
        <v>6679.64967493113</v>
      </c>
      <c r="BV34" s="2" t="n">
        <v>7950.86273278237</v>
      </c>
      <c r="BW34" s="2" t="n">
        <v>40233.25712958677</v>
      </c>
      <c r="BX34" s="2" t="n">
        <v>10733.87</v>
      </c>
      <c r="BY34" s="2" t="n">
        <v>774.21</v>
      </c>
      <c r="BZ34" s="2" t="n">
        <v>2190.16</v>
      </c>
      <c r="CA34" s="2" t="n">
        <v>11508.08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1208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4980.289999999999</v>
      </c>
      <c r="L35" s="2" t="n">
        <v>414.5630287037037</v>
      </c>
      <c r="M35" s="2" t="n">
        <v>4611.379629629629</v>
      </c>
      <c r="N35" s="2" t="n">
        <v>887.02</v>
      </c>
      <c r="O35" s="2" t="n">
        <v>3628.62</v>
      </c>
      <c r="P35" s="2" t="n">
        <v>464.65</v>
      </c>
      <c r="Q35" s="2" t="n">
        <v>10089.52</v>
      </c>
      <c r="R35" s="2" t="n">
        <v>1600</v>
      </c>
      <c r="S35" s="2" t="n">
        <v>9342.148148148148</v>
      </c>
      <c r="T35" s="2" t="n">
        <v>1478.6</v>
      </c>
      <c r="U35" s="2" t="n">
        <v>7960.49</v>
      </c>
      <c r="V35" s="2" t="n">
        <v>650.4299999999999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3519.91</v>
      </c>
      <c r="AP35" s="2" t="n">
        <v>257.4748981481482</v>
      </c>
      <c r="AQ35" s="2" t="n">
        <v>3259.175925925926</v>
      </c>
      <c r="AR35" s="2" t="n">
        <v>845.41</v>
      </c>
      <c r="AS35" s="2" t="n">
        <v>2561.03</v>
      </c>
      <c r="AT35" s="2" t="n">
        <v>113.47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18589.72</v>
      </c>
      <c r="BB35" s="2" t="n">
        <v>15378.69</v>
      </c>
      <c r="BC35" s="2">
        <f>F35+L35+R35+X35+AD35+AJ35+AP35+AV35+IF(BE35="",0,BE35)</f>
        <v/>
      </c>
      <c r="BD35" s="2" t="n">
        <v>236.831826</v>
      </c>
      <c r="BE35" s="2" t="n"/>
      <c r="BF35" s="2" t="n">
        <v>17212.7037037037</v>
      </c>
      <c r="BG35" s="2" t="n">
        <v>630.3666666666667</v>
      </c>
      <c r="BH35" s="2" t="n">
        <v>86.66666666666667</v>
      </c>
      <c r="BI35" s="2" t="n">
        <v>31296.94</v>
      </c>
      <c r="BJ35" s="2" t="n">
        <v>88.06198347107438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207.612315</v>
      </c>
      <c r="BQ35" s="2" t="n">
        <v>0</v>
      </c>
      <c r="BR35" s="2" t="n">
        <v>32334.6476318044</v>
      </c>
      <c r="BS35" s="2" t="n">
        <v>813.3618181818182</v>
      </c>
      <c r="BT35" s="2" t="n">
        <v>457.8512396694215</v>
      </c>
      <c r="BU35" s="2" t="n">
        <v>6679.64967493113</v>
      </c>
      <c r="BV35" s="2" t="n">
        <v>7950.86273278237</v>
      </c>
      <c r="BW35" s="2" t="n">
        <v>40285.51036458677</v>
      </c>
      <c r="BX35" s="2" t="n">
        <v>14150.14</v>
      </c>
      <c r="BY35" s="2" t="n">
        <v>1228.55</v>
      </c>
      <c r="BZ35" s="2" t="n">
        <v>3211.03</v>
      </c>
      <c r="CA35" s="2" t="n">
        <v>15378.69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1209</v>
      </c>
      <c r="B36" t="inlineStr">
        <is>
          <t>tunel dworca od ul. Suchej, 50-085 Wrocław</t>
        </is>
      </c>
      <c r="C36" t="inlineStr"/>
      <c r="D36" t="inlineStr"/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20851.93</v>
      </c>
      <c r="L36" s="2" t="n">
        <v>1735.730099074074</v>
      </c>
      <c r="M36" s="2" t="n">
        <v>19307.34259259259</v>
      </c>
      <c r="N36" s="2" t="n">
        <v>4766.68</v>
      </c>
      <c r="O36" s="2" t="n">
        <v>14439.97</v>
      </c>
      <c r="P36" s="2" t="n">
        <v>1645.28</v>
      </c>
      <c r="Q36" s="2" t="n">
        <v>35245.19</v>
      </c>
      <c r="R36" s="2" t="n">
        <v>1600</v>
      </c>
      <c r="S36" s="2" t="n">
        <v>32634.43518518519</v>
      </c>
      <c r="T36" s="2" t="n">
        <v>7203.15</v>
      </c>
      <c r="U36" s="2" t="n">
        <v>26555.4</v>
      </c>
      <c r="V36" s="2" t="n">
        <v>1486.64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8580.74</v>
      </c>
      <c r="AP36" s="2" t="n">
        <v>627.6652407407406</v>
      </c>
      <c r="AQ36" s="2" t="n">
        <v>7945.129629629629</v>
      </c>
      <c r="AR36" s="2" t="n">
        <v>2411.45</v>
      </c>
      <c r="AS36" s="2" t="n">
        <v>5897.01</v>
      </c>
      <c r="AT36" s="2" t="n">
        <v>272.28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64677.86</v>
      </c>
      <c r="BB36" s="2" t="n">
        <v>50296.58</v>
      </c>
      <c r="BC36" s="2">
        <f>F36+L36+R36+X36+AD36+AJ36+AP36+AV36+IF(BE36="",0,BE36)</f>
        <v/>
      </c>
      <c r="BD36" s="2" t="n">
        <v>774.567332</v>
      </c>
      <c r="BE36" s="2" t="n"/>
      <c r="BF36" s="2" t="n">
        <v>59886.90740740741</v>
      </c>
      <c r="BG36" s="2" t="n">
        <v>630.3666666666667</v>
      </c>
      <c r="BH36" s="2" t="n">
        <v>86.66666666666667</v>
      </c>
      <c r="BI36" s="2" t="n">
        <v>31296.94</v>
      </c>
      <c r="BJ36" s="2" t="n">
        <v>88.06198347107438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679.0038300000001</v>
      </c>
      <c r="BQ36" s="2" t="n">
        <v>0</v>
      </c>
      <c r="BR36" s="2" t="n">
        <v>32806.0391468044</v>
      </c>
      <c r="BS36" s="2" t="n">
        <v>813.3618181818182</v>
      </c>
      <c r="BT36" s="2" t="n">
        <v>457.8512396694215</v>
      </c>
      <c r="BU36" s="2" t="n">
        <v>6679.64967493113</v>
      </c>
      <c r="BV36" s="2" t="n">
        <v>7950.86273278237</v>
      </c>
      <c r="BW36" s="2" t="n">
        <v>40756.90187958677</v>
      </c>
      <c r="BX36" s="2" t="n">
        <v>46892.38</v>
      </c>
      <c r="BY36" s="2" t="n">
        <v>3404.2</v>
      </c>
      <c r="BZ36" s="2" t="n">
        <v>14381.28</v>
      </c>
      <c r="CA36" s="2" t="n">
        <v>50296.58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1210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23832.58</v>
      </c>
      <c r="L37" s="2" t="n">
        <v>1983.841612962963</v>
      </c>
      <c r="M37" s="2" t="n">
        <v>22067.2037037037</v>
      </c>
      <c r="N37" s="2" t="n">
        <v>2967.57</v>
      </c>
      <c r="O37" s="2" t="n">
        <v>20865.01</v>
      </c>
      <c r="P37" s="2" t="n">
        <v>0</v>
      </c>
      <c r="Q37" s="2" t="n">
        <v>18551.73</v>
      </c>
      <c r="R37" s="2" t="n">
        <v>1600</v>
      </c>
      <c r="S37" s="2" t="n">
        <v>17177.52777777778</v>
      </c>
      <c r="T37" s="2" t="n">
        <v>3816.95</v>
      </c>
      <c r="U37" s="2" t="n">
        <v>14734.78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10584.51</v>
      </c>
      <c r="AP37" s="2" t="n">
        <v>774.2373055555556</v>
      </c>
      <c r="AQ37" s="2" t="n">
        <v>9800.472222222223</v>
      </c>
      <c r="AR37" s="2" t="n">
        <v>1666.9</v>
      </c>
      <c r="AS37" s="2" t="n">
        <v>8917.610000000001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52968.82</v>
      </c>
      <c r="BB37" s="2" t="n">
        <v>44517.4</v>
      </c>
      <c r="BC37" s="2">
        <f>F37+L37+R37+X37+AD37+AJ37+AP37+AV37+IF(BE37="",0,BE37)</f>
        <v/>
      </c>
      <c r="BD37" s="2" t="n">
        <v>685.56796</v>
      </c>
      <c r="BE37" s="2" t="n"/>
      <c r="BF37" s="2" t="n">
        <v>49045.20370370369</v>
      </c>
      <c r="BG37" s="2" t="n">
        <v>734.13</v>
      </c>
      <c r="BH37" s="2" t="n">
        <v>260</v>
      </c>
      <c r="BI37" s="2" t="n">
        <v>31296.94</v>
      </c>
      <c r="BJ37" s="2" t="n">
        <v>88.06198347107438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600.9848999999999</v>
      </c>
      <c r="BQ37" s="2" t="n">
        <v>0</v>
      </c>
      <c r="BR37" s="2" t="n">
        <v>33005.11688347108</v>
      </c>
      <c r="BS37" s="2" t="n">
        <v>813.3618181818182</v>
      </c>
      <c r="BT37" s="2" t="n">
        <v>457.8512396694215</v>
      </c>
      <c r="BU37" s="2" t="n">
        <v>6735.069008264462</v>
      </c>
      <c r="BV37" s="2" t="n">
        <v>8006.282066115702</v>
      </c>
      <c r="BW37" s="2" t="n">
        <v>41011.39894958678</v>
      </c>
      <c r="BX37" s="2" t="n">
        <v>44517.4</v>
      </c>
      <c r="BY37" s="2" t="n">
        <v>0</v>
      </c>
      <c r="BZ37" s="2" t="n">
        <v>8451.42</v>
      </c>
      <c r="CA37" s="2" t="n">
        <v>44517.4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1211</v>
      </c>
      <c r="B38" t="inlineStr">
        <is>
          <t>Kolejowa, 59-300 Lubin</t>
        </is>
      </c>
      <c r="C38" t="inlineStr">
        <is>
          <t>Lubin</t>
        </is>
      </c>
      <c r="D38" t="inlineStr">
        <is>
          <t>ST|40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30239.27</v>
      </c>
      <c r="R38" s="2" t="n">
        <v>1600</v>
      </c>
      <c r="S38" s="2" t="n">
        <v>27999.32407407407</v>
      </c>
      <c r="T38" s="2" t="n">
        <v>12204.35</v>
      </c>
      <c r="U38" s="2" t="n">
        <v>16637.43</v>
      </c>
      <c r="V38" s="2" t="n">
        <v>1397.49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30239.27</v>
      </c>
      <c r="BB38" s="2" t="n">
        <v>18034.92</v>
      </c>
      <c r="BC38" s="2">
        <f>F38+L38+R38+X38+AD38+AJ38+AP38+AV38+IF(BE38="",0,BE38)</f>
        <v/>
      </c>
      <c r="BD38" s="2" t="n">
        <v>277.737768</v>
      </c>
      <c r="BE38" s="2" t="n"/>
      <c r="BF38" s="2" t="n">
        <v>27999.32407407407</v>
      </c>
      <c r="BG38" s="2" t="n">
        <v>0</v>
      </c>
      <c r="BH38" s="2" t="n">
        <v>112.06</v>
      </c>
      <c r="BI38" s="2" t="n">
        <v>31296.94</v>
      </c>
      <c r="BJ38" s="2" t="n">
        <v>88.06198347107438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243.47142</v>
      </c>
      <c r="BQ38" s="2" t="n">
        <v>0</v>
      </c>
      <c r="BR38" s="2" t="n">
        <v>31765.53340347108</v>
      </c>
      <c r="BS38" s="2" t="n">
        <v>813.3618181818182</v>
      </c>
      <c r="BT38" s="2" t="n">
        <v>457.8512396694215</v>
      </c>
      <c r="BU38" s="2" t="n">
        <v>6558.655008264463</v>
      </c>
      <c r="BV38" s="2" t="n">
        <v>7829.868066115702</v>
      </c>
      <c r="BW38" s="2" t="n">
        <v>39595.40146958678</v>
      </c>
      <c r="BX38" s="2" t="n">
        <v>16637.43</v>
      </c>
      <c r="BY38" s="2" t="n">
        <v>1397.49</v>
      </c>
      <c r="BZ38" s="2" t="n">
        <v>12204.35</v>
      </c>
      <c r="CA38" s="2" t="n">
        <v>18034.92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1212</v>
      </c>
      <c r="B39" t="inlineStr">
        <is>
          <t>Armii Krajowej 26C, 58-302 Wałbrzych</t>
        </is>
      </c>
      <c r="C39" t="inlineStr">
        <is>
          <t>Wałbrzych Miasto</t>
        </is>
      </c>
      <c r="D39" t="inlineStr">
        <is>
          <t>ST|40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2645.45</v>
      </c>
      <c r="L39" s="2" t="n">
        <v>220.2092175925926</v>
      </c>
      <c r="M39" s="2" t="n">
        <v>2449.49074074074</v>
      </c>
      <c r="N39" s="2" t="n">
        <v>939.67</v>
      </c>
      <c r="O39" s="2" t="n">
        <v>1705.78</v>
      </c>
      <c r="P39" s="2" t="n">
        <v>0</v>
      </c>
      <c r="Q39" s="2" t="n">
        <v>6887.7</v>
      </c>
      <c r="R39" s="2" t="n">
        <v>1600</v>
      </c>
      <c r="S39" s="2" t="n">
        <v>6377.499999999999</v>
      </c>
      <c r="T39" s="2" t="n">
        <v>1317.15</v>
      </c>
      <c r="U39" s="2" t="n">
        <v>5457.59</v>
      </c>
      <c r="V39" s="2" t="n">
        <v>112.96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231.94</v>
      </c>
      <c r="AP39" s="2" t="n">
        <v>16.96598148148148</v>
      </c>
      <c r="AQ39" s="2" t="n">
        <v>214.7592592592592</v>
      </c>
      <c r="AR39" s="2" t="n">
        <v>0</v>
      </c>
      <c r="AS39" s="2" t="n">
        <v>231.94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9765.09</v>
      </c>
      <c r="BB39" s="2" t="n">
        <v>7508.27</v>
      </c>
      <c r="BC39" s="2">
        <f>F39+L39+R39+X39+AD39+AJ39+AP39+AV39+IF(BE39="",0,BE39)</f>
        <v/>
      </c>
      <c r="BD39" s="2" t="n">
        <v>115.627358</v>
      </c>
      <c r="BE39" s="2" t="n"/>
      <c r="BF39" s="2" t="n">
        <v>9041.749999999998</v>
      </c>
      <c r="BG39" s="2" t="n">
        <v>553.98</v>
      </c>
      <c r="BH39" s="2" t="n">
        <v>110.7</v>
      </c>
      <c r="BI39" s="2" t="n">
        <v>31296.94</v>
      </c>
      <c r="BJ39" s="2" t="n">
        <v>88.06198347107438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101.361645</v>
      </c>
      <c r="BQ39" s="2" t="n">
        <v>0</v>
      </c>
      <c r="BR39" s="2" t="n">
        <v>32176.04362847107</v>
      </c>
      <c r="BS39" s="2" t="n">
        <v>813.3618181818182</v>
      </c>
      <c r="BT39" s="2" t="n">
        <v>457.8512396694215</v>
      </c>
      <c r="BU39" s="2" t="n">
        <v>6669.179008264463</v>
      </c>
      <c r="BV39" s="2" t="n">
        <v>7940.392066115703</v>
      </c>
      <c r="BW39" s="2" t="n">
        <v>40116.43569458678</v>
      </c>
      <c r="BX39" s="2" t="n">
        <v>7395.309999999999</v>
      </c>
      <c r="BY39" s="2" t="n">
        <v>112.96</v>
      </c>
      <c r="BZ39" s="2" t="n">
        <v>2256.82</v>
      </c>
      <c r="CA39" s="2" t="n">
        <v>7508.27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1213</v>
      </c>
      <c r="B40" t="inlineStr">
        <is>
          <t>Plac 1000-Lecia 1, 67-200 Głogów</t>
        </is>
      </c>
      <c r="C40" t="inlineStr">
        <is>
          <t>Głogów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14619</v>
      </c>
      <c r="L40" s="2" t="n">
        <v>1216.896388888889</v>
      </c>
      <c r="M40" s="2" t="n">
        <v>13536.11111111111</v>
      </c>
      <c r="N40" s="2" t="n">
        <v>6297.94</v>
      </c>
      <c r="O40" s="2" t="n">
        <v>7964.77</v>
      </c>
      <c r="P40" s="2" t="n">
        <v>356.29</v>
      </c>
      <c r="Q40" s="2" t="n">
        <v>27483.5</v>
      </c>
      <c r="R40" s="2" t="n">
        <v>1600</v>
      </c>
      <c r="S40" s="2" t="n">
        <v>25447.68518518518</v>
      </c>
      <c r="T40" s="2" t="n">
        <v>9167.719999999999</v>
      </c>
      <c r="U40" s="2" t="n">
        <v>17776.57</v>
      </c>
      <c r="V40" s="2" t="n">
        <v>539.21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5311.16</v>
      </c>
      <c r="AP40" s="2" t="n">
        <v>388.5015185185185</v>
      </c>
      <c r="AQ40" s="2" t="n">
        <v>4917.74074074074</v>
      </c>
      <c r="AR40" s="2" t="n">
        <v>2890.89</v>
      </c>
      <c r="AS40" s="2" t="n">
        <v>2316.77</v>
      </c>
      <c r="AT40" s="2" t="n">
        <v>103.5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47413.66</v>
      </c>
      <c r="BB40" s="2" t="n">
        <v>29057.11</v>
      </c>
      <c r="BC40" s="2">
        <f>F40+L40+R40+X40+AD40+AJ40+AP40+AV40+IF(BE40="",0,BE40)</f>
        <v/>
      </c>
      <c r="BD40" s="2" t="n">
        <v>447.479494</v>
      </c>
      <c r="BE40" s="2" t="n"/>
      <c r="BF40" s="2" t="n">
        <v>43901.53703703703</v>
      </c>
      <c r="BG40" s="2" t="n">
        <v>553.98</v>
      </c>
      <c r="BH40" s="2" t="n">
        <v>134.1</v>
      </c>
      <c r="BI40" s="2" t="n">
        <v>31296.94</v>
      </c>
      <c r="BJ40" s="2" t="n">
        <v>88.06198347107438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392.2709850000001</v>
      </c>
      <c r="BQ40" s="2" t="n">
        <v>0</v>
      </c>
      <c r="BR40" s="2" t="n">
        <v>32490.35296847107</v>
      </c>
      <c r="BS40" s="2" t="n">
        <v>813.3618181818182</v>
      </c>
      <c r="BT40" s="2" t="n">
        <v>457.8512396694215</v>
      </c>
      <c r="BU40" s="2" t="n">
        <v>6673.859008264463</v>
      </c>
      <c r="BV40" s="2" t="n">
        <v>7945.072066115703</v>
      </c>
      <c r="BW40" s="2" t="n">
        <v>40435.42503458678</v>
      </c>
      <c r="BX40" s="2" t="n">
        <v>28058.11</v>
      </c>
      <c r="BY40" s="2" t="n">
        <v>999</v>
      </c>
      <c r="BZ40" s="2" t="n">
        <v>18356.55</v>
      </c>
      <c r="CA40" s="2" t="n">
        <v>29057.11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1214</v>
      </c>
      <c r="B41" t="inlineStr">
        <is>
          <t>Dworcowa 72A, 69-110 Rzepin</t>
        </is>
      </c>
      <c r="C41" t="inlineStr">
        <is>
          <t>Rzepin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8552.780000000001</v>
      </c>
      <c r="L41" s="2" t="n">
        <v>711.9397425925927</v>
      </c>
      <c r="M41" s="2" t="n">
        <v>7919.240740740741</v>
      </c>
      <c r="N41" s="2" t="n">
        <v>3364.06</v>
      </c>
      <c r="O41" s="2" t="n">
        <v>4690.72</v>
      </c>
      <c r="P41" s="2" t="n">
        <v>498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8552.780000000001</v>
      </c>
      <c r="BB41" s="2" t="n">
        <v>5188.72</v>
      </c>
      <c r="BC41" s="2">
        <f>F41+L41+R41+X41+AD41+AJ41+AP41+AV41+IF(BE41="",0,BE41)</f>
        <v/>
      </c>
      <c r="BD41" s="2" t="n">
        <v>79.906288</v>
      </c>
      <c r="BE41" s="2" t="n"/>
      <c r="BF41" s="2" t="n">
        <v>7919.240740740741</v>
      </c>
      <c r="BG41" s="2" t="n">
        <v>415.49</v>
      </c>
      <c r="BH41" s="2" t="n">
        <v>0</v>
      </c>
      <c r="BI41" s="2" t="n">
        <v>31296.94</v>
      </c>
      <c r="BJ41" s="2" t="n">
        <v>88.06198347107438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70.04772</v>
      </c>
      <c r="BQ41" s="2" t="n">
        <v>0</v>
      </c>
      <c r="BR41" s="2" t="n">
        <v>31895.53970347107</v>
      </c>
      <c r="BS41" s="2" t="n">
        <v>813.3618181818182</v>
      </c>
      <c r="BT41" s="2" t="n">
        <v>457.8512396694215</v>
      </c>
      <c r="BU41" s="2" t="n">
        <v>6619.341008264462</v>
      </c>
      <c r="BV41" s="2" t="n">
        <v>7890.554066115702</v>
      </c>
      <c r="BW41" s="2" t="n">
        <v>39786.09376958678</v>
      </c>
      <c r="BX41" s="2" t="n">
        <v>4690.72</v>
      </c>
      <c r="BY41" s="2" t="n">
        <v>498</v>
      </c>
      <c r="BZ41" s="2" t="n">
        <v>3364.06</v>
      </c>
      <c r="CA41" s="2" t="n">
        <v>5188.72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1216</v>
      </c>
      <c r="B42" t="inlineStr">
        <is>
          <t>Pszczyna</t>
        </is>
      </c>
      <c r="C42" t="inlineStr"/>
      <c r="D4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3081.72</v>
      </c>
      <c r="L42" s="2" t="n">
        <v>256.5246555555555</v>
      </c>
      <c r="M42" s="2" t="n">
        <v>2853.444444444444</v>
      </c>
      <c r="N42" s="2" t="n">
        <v>1275.36</v>
      </c>
      <c r="O42" s="2" t="n">
        <v>1658.86</v>
      </c>
      <c r="P42" s="2" t="n">
        <v>147.5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3081.72</v>
      </c>
      <c r="BB42" s="2" t="n">
        <v>1806.36</v>
      </c>
      <c r="BC42" s="2">
        <f>F42+L42+R42+X42+AD42+AJ42+AP42+AV42+IF(BE42="",0,BE42)</f>
        <v/>
      </c>
      <c r="BD42" s="2" t="n">
        <v>27.817944</v>
      </c>
      <c r="BE42" s="2" t="n"/>
      <c r="BF42" s="2" t="n">
        <v>2853.444444444444</v>
      </c>
      <c r="BG42" s="2" t="n">
        <v>569.0500000000001</v>
      </c>
      <c r="BH42" s="2" t="n">
        <v>117.6</v>
      </c>
      <c r="BI42" s="2" t="n">
        <v>31296.94</v>
      </c>
      <c r="BJ42" s="2" t="n">
        <v>88.06198347107438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24.38586</v>
      </c>
      <c r="BQ42" s="2" t="n">
        <v>0</v>
      </c>
      <c r="BR42" s="2" t="n">
        <v>32121.03784347107</v>
      </c>
      <c r="BS42" s="2" t="n">
        <v>813.3618181818182</v>
      </c>
      <c r="BT42" s="2" t="n">
        <v>457.8512396694215</v>
      </c>
      <c r="BU42" s="2" t="n">
        <v>6673.573008264463</v>
      </c>
      <c r="BV42" s="2" t="n">
        <v>7944.786066115703</v>
      </c>
      <c r="BW42" s="2" t="n">
        <v>40065.82390958678</v>
      </c>
      <c r="BX42" s="2" t="n">
        <v>1658.86</v>
      </c>
      <c r="BY42" s="2" t="n">
        <v>147.5</v>
      </c>
      <c r="BZ42" s="2" t="n">
        <v>1275.36</v>
      </c>
      <c r="CA42" s="2" t="n">
        <v>1806.36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1217</v>
      </c>
      <c r="B43" t="inlineStr">
        <is>
          <t>pl. Marii i Lecha Kaczyńskiego 2, 40-098 Katowice</t>
        </is>
      </c>
      <c r="C43" t="inlineStr">
        <is>
          <t>Katowice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22930.69</v>
      </c>
      <c r="L43" s="2" t="n">
        <v>1908.767621296296</v>
      </c>
      <c r="M43" s="2" t="n">
        <v>21232.12037037037</v>
      </c>
      <c r="N43" s="2" t="n">
        <v>5267.77</v>
      </c>
      <c r="O43" s="2" t="n">
        <v>16650.67</v>
      </c>
      <c r="P43" s="2" t="n">
        <v>1012.25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8707.43</v>
      </c>
      <c r="AP43" s="2" t="n">
        <v>636.9323796296296</v>
      </c>
      <c r="AQ43" s="2" t="n">
        <v>8062.435185185185</v>
      </c>
      <c r="AR43" s="2" t="n">
        <v>1627.89</v>
      </c>
      <c r="AS43" s="2" t="n">
        <v>6840.72</v>
      </c>
      <c r="AT43" s="2" t="n">
        <v>238.82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31638.12</v>
      </c>
      <c r="BB43" s="2" t="n">
        <v>24742.46</v>
      </c>
      <c r="BC43" s="2">
        <f>F43+L43+R43+X43+AD43+AJ43+AP43+AV43+IF(BE43="",0,BE43)</f>
        <v/>
      </c>
      <c r="BD43" s="2" t="n">
        <v>381.033884</v>
      </c>
      <c r="BE43" s="2" t="n"/>
      <c r="BF43" s="2" t="n">
        <v>29294.55555555555</v>
      </c>
      <c r="BG43" s="2" t="n">
        <v>775</v>
      </c>
      <c r="BH43" s="2" t="n">
        <v>540</v>
      </c>
      <c r="BI43" s="2" t="n">
        <v>31296.94</v>
      </c>
      <c r="BJ43" s="2" t="n">
        <v>88.06198347107438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334.0232099999999</v>
      </c>
      <c r="BQ43" s="2" t="n">
        <v>0</v>
      </c>
      <c r="BR43" s="2" t="n">
        <v>33059.02519347108</v>
      </c>
      <c r="BS43" s="2" t="n">
        <v>813.3618181818182</v>
      </c>
      <c r="BT43" s="2" t="n">
        <v>457.8512396694215</v>
      </c>
      <c r="BU43" s="2" t="n">
        <v>6799.243008264463</v>
      </c>
      <c r="BV43" s="2" t="n">
        <v>8070.456066115703</v>
      </c>
      <c r="BW43" s="2" t="n">
        <v>41129.48125958678</v>
      </c>
      <c r="BX43" s="2" t="n">
        <v>23491.39</v>
      </c>
      <c r="BY43" s="2" t="n">
        <v>1251.07</v>
      </c>
      <c r="BZ43" s="2" t="n">
        <v>6895.660000000001</v>
      </c>
      <c r="CA43" s="2" t="n">
        <v>24742.46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1219</v>
      </c>
      <c r="B44" t="inlineStr">
        <is>
          <t>Armii Krajowej 3, 75-200 Koszalin</t>
        </is>
      </c>
      <c r="C44" t="inlineStr">
        <is>
          <t>Koszalin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5784.469999999999</v>
      </c>
      <c r="L44" s="2" t="n">
        <v>481.5035675925926</v>
      </c>
      <c r="M44" s="2" t="n">
        <v>5355.99074074074</v>
      </c>
      <c r="N44" s="2" t="n">
        <v>1279.12</v>
      </c>
      <c r="O44" s="2" t="n">
        <v>4063.28</v>
      </c>
      <c r="P44" s="2" t="n">
        <v>442.07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4338.09</v>
      </c>
      <c r="AP44" s="2" t="n">
        <v>317.32325</v>
      </c>
      <c r="AQ44" s="2" t="n">
        <v>4016.75</v>
      </c>
      <c r="AR44" s="2" t="n">
        <v>1170.22</v>
      </c>
      <c r="AS44" s="2" t="n">
        <v>3069.81</v>
      </c>
      <c r="AT44" s="2" t="n">
        <v>98.06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10122.56</v>
      </c>
      <c r="BB44" s="2" t="n">
        <v>7673.22</v>
      </c>
      <c r="BC44" s="2">
        <f>F44+L44+R44+X44+AD44+AJ44+AP44+AV44+IF(BE44="",0,BE44)</f>
        <v/>
      </c>
      <c r="BD44" s="2" t="n">
        <v>118.167588</v>
      </c>
      <c r="BE44" s="2" t="n"/>
      <c r="BF44" s="2" t="n">
        <v>9372.740740740741</v>
      </c>
      <c r="BG44" s="2" t="n">
        <v>0</v>
      </c>
      <c r="BH44" s="2" t="n">
        <v>0</v>
      </c>
      <c r="BI44" s="2" t="n">
        <v>31296.94</v>
      </c>
      <c r="BJ44" s="2" t="n">
        <v>88.06198347107438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103.58847</v>
      </c>
      <c r="BQ44" s="2" t="n">
        <v>0</v>
      </c>
      <c r="BR44" s="2" t="n">
        <v>31513.59045347107</v>
      </c>
      <c r="BS44" s="2" t="n">
        <v>813.3618181818182</v>
      </c>
      <c r="BT44" s="2" t="n">
        <v>457.8512396694215</v>
      </c>
      <c r="BU44" s="2" t="n">
        <v>6536.243008264463</v>
      </c>
      <c r="BV44" s="2" t="n">
        <v>7807.456066115703</v>
      </c>
      <c r="BW44" s="2" t="n">
        <v>39321.04651958677</v>
      </c>
      <c r="BX44" s="2" t="n">
        <v>7133.09</v>
      </c>
      <c r="BY44" s="2" t="n">
        <v>540.13</v>
      </c>
      <c r="BZ44" s="2" t="n">
        <v>2449.34</v>
      </c>
      <c r="CA44" s="2" t="n">
        <v>7673.22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1220</v>
      </c>
      <c r="B45" t="inlineStr">
        <is>
          <t>Kotłątaja 32, 76-200 Słupsk</t>
        </is>
      </c>
      <c r="C45" t="inlineStr">
        <is>
          <t>Słupsk</t>
        </is>
      </c>
      <c r="D45" t="inlineStr">
        <is>
          <t>FAA2000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8349.08</v>
      </c>
      <c r="L45" s="2" t="n">
        <v>694.9836037037037</v>
      </c>
      <c r="M45" s="2" t="n">
        <v>7730.629629629629</v>
      </c>
      <c r="N45" s="2" t="n">
        <v>2344.37</v>
      </c>
      <c r="O45" s="2" t="n">
        <v>4880.05</v>
      </c>
      <c r="P45" s="2" t="n">
        <v>1124.66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9920.800000000001</v>
      </c>
      <c r="AP45" s="2" t="n">
        <v>4144</v>
      </c>
      <c r="AQ45" s="2" t="n">
        <v>9185.925925925927</v>
      </c>
      <c r="AR45" s="2" t="n">
        <v>4977.95</v>
      </c>
      <c r="AS45" s="2" t="n">
        <v>4197.68</v>
      </c>
      <c r="AT45" s="2" t="n">
        <v>745.17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18269.88</v>
      </c>
      <c r="BB45" s="2" t="n">
        <v>10947.56</v>
      </c>
      <c r="BC45" s="2">
        <f>F45+L45+R45+X45+AD45+AJ45+AP45+AV45+IF(BE45="",0,BE45)</f>
        <v/>
      </c>
      <c r="BD45" s="2" t="n">
        <v>168.592424</v>
      </c>
      <c r="BE45" s="2" t="n"/>
      <c r="BF45" s="2" t="n">
        <v>16916.55555555555</v>
      </c>
      <c r="BG45" s="2" t="n">
        <v>0</v>
      </c>
      <c r="BH45" s="2" t="n">
        <v>0</v>
      </c>
      <c r="BI45" s="2" t="n">
        <v>31296.94</v>
      </c>
      <c r="BJ45" s="2" t="n">
        <v>88.06198347107438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147.79206</v>
      </c>
      <c r="BQ45" s="2" t="n">
        <v>0</v>
      </c>
      <c r="BR45" s="2" t="n">
        <v>31557.79404347107</v>
      </c>
      <c r="BS45" s="2" t="n">
        <v>813.3618181818182</v>
      </c>
      <c r="BT45" s="2" t="n">
        <v>457.8512396694215</v>
      </c>
      <c r="BU45" s="2" t="n">
        <v>6536.243008264463</v>
      </c>
      <c r="BV45" s="2" t="n">
        <v>7807.456066115703</v>
      </c>
      <c r="BW45" s="2" t="n">
        <v>39365.25010958678</v>
      </c>
      <c r="BX45" s="2" t="n">
        <v>9077.73</v>
      </c>
      <c r="BY45" s="2" t="n">
        <v>1869.83</v>
      </c>
      <c r="BZ45" s="2" t="n">
        <v>7322.32</v>
      </c>
      <c r="CA45" s="2" t="n">
        <v>10947.56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1221</v>
      </c>
      <c r="B46" t="inlineStr">
        <is>
          <t>Dworcowa 2, 58-100 Świdnica</t>
        </is>
      </c>
      <c r="C46" t="inlineStr">
        <is>
          <t>Świdnica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38314.15</v>
      </c>
      <c r="R46" s="2" t="n">
        <v>1600</v>
      </c>
      <c r="S46" s="2" t="n">
        <v>35476.06481481481</v>
      </c>
      <c r="T46" s="2" t="n">
        <v>13549.64</v>
      </c>
      <c r="U46" s="2" t="n">
        <v>23764.9</v>
      </c>
      <c r="V46" s="2" t="n">
        <v>999.61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38314.15</v>
      </c>
      <c r="BB46" s="2" t="n">
        <v>24764.51</v>
      </c>
      <c r="BC46" s="2">
        <f>F46+L46+R46+X46+AD46+AJ46+AP46+AV46+IF(BE46="",0,BE46)</f>
        <v/>
      </c>
      <c r="BD46" s="2" t="n">
        <v>381.373454</v>
      </c>
      <c r="BE46" s="2" t="n"/>
      <c r="BF46" s="2" t="n">
        <v>35476.06481481481</v>
      </c>
      <c r="BG46" s="2" t="n">
        <v>200</v>
      </c>
      <c r="BH46" s="2" t="n">
        <v>0</v>
      </c>
      <c r="BI46" s="2" t="n">
        <v>31296.94</v>
      </c>
      <c r="BJ46" s="2" t="n">
        <v>88.06198347107438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334.320885</v>
      </c>
      <c r="BQ46" s="2" t="n">
        <v>0</v>
      </c>
      <c r="BR46" s="2" t="n">
        <v>31944.32286847107</v>
      </c>
      <c r="BS46" s="2" t="n">
        <v>813.3618181818182</v>
      </c>
      <c r="BT46" s="2" t="n">
        <v>457.8512396694215</v>
      </c>
      <c r="BU46" s="2" t="n">
        <v>6576.243008264463</v>
      </c>
      <c r="BV46" s="2" t="n">
        <v>7847.456066115703</v>
      </c>
      <c r="BW46" s="2" t="n">
        <v>39791.77893458678</v>
      </c>
      <c r="BX46" s="2" t="n">
        <v>23764.9</v>
      </c>
      <c r="BY46" s="2" t="n">
        <v>999.61</v>
      </c>
      <c r="BZ46" s="2" t="n">
        <v>13549.64</v>
      </c>
      <c r="CA46" s="2" t="n">
        <v>24764.51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1222</v>
      </c>
      <c r="B47" t="inlineStr">
        <is>
          <t>Dworcowa 33, 83-400 Kościerzyna</t>
        </is>
      </c>
      <c r="C47" t="inlineStr">
        <is>
          <t>Kościerzyna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2496.68</v>
      </c>
      <c r="AP47" s="2" t="n">
        <v>4050</v>
      </c>
      <c r="AQ47" s="2" t="n">
        <v>2311.74074074074</v>
      </c>
      <c r="AR47" s="2" t="n">
        <v>0</v>
      </c>
      <c r="AS47" s="2" t="n">
        <v>2286.24</v>
      </c>
      <c r="AT47" s="2" t="n">
        <v>210.44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2496.68</v>
      </c>
      <c r="BB47" s="2" t="n">
        <v>2496.68</v>
      </c>
      <c r="BC47" s="2">
        <f>F47+L47+R47+X47+AD47+AJ47+AP47+AV47+IF(BE47="",0,BE47)</f>
        <v/>
      </c>
      <c r="BD47" s="2" t="n">
        <v>38.448872</v>
      </c>
      <c r="BE47" s="2" t="n"/>
      <c r="BF47" s="2" t="n">
        <v>2311.74074074074</v>
      </c>
      <c r="BG47" s="2" t="n">
        <v>0</v>
      </c>
      <c r="BH47" s="2" t="n">
        <v>0</v>
      </c>
      <c r="BI47" s="2" t="n">
        <v>31296.94</v>
      </c>
      <c r="BJ47" s="2" t="n">
        <v>88.06198347107438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33.70518</v>
      </c>
      <c r="BQ47" s="2" t="n">
        <v>0</v>
      </c>
      <c r="BR47" s="2" t="n">
        <v>31443.70716347107</v>
      </c>
      <c r="BS47" s="2" t="n">
        <v>813.3618181818182</v>
      </c>
      <c r="BT47" s="2" t="n">
        <v>457.8512396694215</v>
      </c>
      <c r="BU47" s="2" t="n">
        <v>6536.243008264463</v>
      </c>
      <c r="BV47" s="2" t="n">
        <v>7807.456066115703</v>
      </c>
      <c r="BW47" s="2" t="n">
        <v>39251.16322958677</v>
      </c>
      <c r="BX47" s="2" t="n">
        <v>2286.24</v>
      </c>
      <c r="BY47" s="2" t="n">
        <v>210.44</v>
      </c>
      <c r="BZ47" s="2" t="n">
        <v>0</v>
      </c>
      <c r="CA47" s="2" t="n">
        <v>2496.68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1223</v>
      </c>
      <c r="B48" t="inlineStr">
        <is>
          <t>Dworcowa 17, 82-200 Malbork</t>
        </is>
      </c>
      <c r="C48" t="inlineStr">
        <is>
          <t>Malbork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9513.699999999999</v>
      </c>
      <c r="L48" s="2" t="n">
        <v>791.9274351851851</v>
      </c>
      <c r="M48" s="2" t="n">
        <v>8808.98148148148</v>
      </c>
      <c r="N48" s="2" t="n">
        <v>2540.99</v>
      </c>
      <c r="O48" s="2" t="n">
        <v>6485.75</v>
      </c>
      <c r="P48" s="2" t="n">
        <v>486.96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18297.37</v>
      </c>
      <c r="AP48" s="2" t="n">
        <v>1338.418731481481</v>
      </c>
      <c r="AQ48" s="2" t="n">
        <v>16942.00925925926</v>
      </c>
      <c r="AR48" s="2" t="n">
        <v>5868.79</v>
      </c>
      <c r="AS48" s="2" t="n">
        <v>11606.56</v>
      </c>
      <c r="AT48" s="2" t="n">
        <v>822.02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27811.07</v>
      </c>
      <c r="BB48" s="2" t="n">
        <v>19401.29</v>
      </c>
      <c r="BC48" s="2">
        <f>F48+L48+R48+X48+AD48+AJ48+AP48+AV48+IF(BE48="",0,BE48)</f>
        <v/>
      </c>
      <c r="BD48" s="2" t="n">
        <v>298.779866</v>
      </c>
      <c r="BE48" s="2" t="n"/>
      <c r="BF48" s="2" t="n">
        <v>25750.99074074074</v>
      </c>
      <c r="BG48" s="2" t="n">
        <v>440.48</v>
      </c>
      <c r="BH48" s="2" t="n">
        <v>117</v>
      </c>
      <c r="BI48" s="2" t="n">
        <v>31296.94</v>
      </c>
      <c r="BJ48" s="2" t="n">
        <v>88.06198347107438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261.917415</v>
      </c>
      <c r="BQ48" s="2" t="n">
        <v>0</v>
      </c>
      <c r="BR48" s="2" t="n">
        <v>32229.39939847107</v>
      </c>
      <c r="BS48" s="2" t="n">
        <v>813.3618181818182</v>
      </c>
      <c r="BT48" s="2" t="n">
        <v>457.8512396694215</v>
      </c>
      <c r="BU48" s="2" t="n">
        <v>6647.739008264462</v>
      </c>
      <c r="BV48" s="2" t="n">
        <v>7918.952066115702</v>
      </c>
      <c r="BW48" s="2" t="n">
        <v>40148.35146458678</v>
      </c>
      <c r="BX48" s="2" t="n">
        <v>18092.31</v>
      </c>
      <c r="BY48" s="2" t="n">
        <v>1308.98</v>
      </c>
      <c r="BZ48" s="2" t="n">
        <v>8409.779999999999</v>
      </c>
      <c r="CA48" s="2" t="n">
        <v>19401.29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1224</v>
      </c>
      <c r="B49" t="inlineStr">
        <is>
          <t>Kuznica</t>
        </is>
      </c>
      <c r="C49" t="inlineStr">
        <is>
          <t>Kuźnica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1461.73</v>
      </c>
      <c r="AP49" s="2" t="n">
        <v>4052</v>
      </c>
      <c r="AQ49" s="2" t="n">
        <v>1353.453703703704</v>
      </c>
      <c r="AR49" s="2" t="n">
        <v>0</v>
      </c>
      <c r="AS49" s="2" t="n">
        <v>1348.19</v>
      </c>
      <c r="AT49" s="2" t="n">
        <v>113.54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1461.73</v>
      </c>
      <c r="BB49" s="2" t="n">
        <v>1461.73</v>
      </c>
      <c r="BC49" s="2">
        <f>F49+L49+R49+X49+AD49+AJ49+AP49+AV49+IF(BE49="",0,BE49)</f>
        <v/>
      </c>
      <c r="BD49" s="2" t="n">
        <v>22.510642</v>
      </c>
      <c r="BE49" s="2" t="n"/>
      <c r="BF49" s="2" t="n">
        <v>1353.453703703704</v>
      </c>
      <c r="BG49" s="2" t="n">
        <v>440.48</v>
      </c>
      <c r="BH49" s="2" t="n">
        <v>141</v>
      </c>
      <c r="BI49" s="2" t="n">
        <v>31296.94</v>
      </c>
      <c r="BJ49" s="2" t="n">
        <v>88.06198347107438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19.733355</v>
      </c>
      <c r="BQ49" s="2" t="n">
        <v>0</v>
      </c>
      <c r="BR49" s="2" t="n">
        <v>32011.21533847107</v>
      </c>
      <c r="BS49" s="2" t="n">
        <v>813.3618181818182</v>
      </c>
      <c r="BT49" s="2" t="n">
        <v>457.8512396694215</v>
      </c>
      <c r="BU49" s="2" t="n">
        <v>6652.539008264463</v>
      </c>
      <c r="BV49" s="2" t="n">
        <v>7923.752066115702</v>
      </c>
      <c r="BW49" s="2" t="n">
        <v>39934.96740458677</v>
      </c>
      <c r="BX49" s="2" t="n">
        <v>1348.19</v>
      </c>
      <c r="BY49" s="2" t="n">
        <v>113.54</v>
      </c>
      <c r="BZ49" s="2" t="n">
        <v>0</v>
      </c>
      <c r="CA49" s="2" t="n">
        <v>1461.73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1225</v>
      </c>
      <c r="B50" t="inlineStr">
        <is>
          <t>Plac Legionów 2, 37-700 Przemyśl</t>
        </is>
      </c>
      <c r="C50" t="inlineStr">
        <is>
          <t>Przemyśl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19335.92</v>
      </c>
      <c r="L50" s="2" t="n">
        <v>1609.536303703704</v>
      </c>
      <c r="M50" s="2" t="n">
        <v>17903.62962962963</v>
      </c>
      <c r="N50" s="2" t="n">
        <v>1834.16</v>
      </c>
      <c r="O50" s="2" t="n">
        <v>17439.76</v>
      </c>
      <c r="P50" s="2" t="n">
        <v>62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5230.42</v>
      </c>
      <c r="AP50" s="2" t="n">
        <v>382.595537037037</v>
      </c>
      <c r="AQ50" s="2" t="n">
        <v>4842.981481481481</v>
      </c>
      <c r="AR50" s="2" t="n">
        <v>1295.26</v>
      </c>
      <c r="AS50" s="2" t="n">
        <v>3809.27</v>
      </c>
      <c r="AT50" s="2" t="n">
        <v>125.89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24566.34</v>
      </c>
      <c r="BB50" s="2" t="n">
        <v>21436.92</v>
      </c>
      <c r="BC50" s="2">
        <f>F50+L50+R50+X50+AD50+AJ50+AP50+AV50+IF(BE50="",0,BE50)</f>
        <v/>
      </c>
      <c r="BD50" s="2" t="n">
        <v>330.128568</v>
      </c>
      <c r="BE50" s="2" t="n"/>
      <c r="BF50" s="2" t="n">
        <v>22746.61111111111</v>
      </c>
      <c r="BG50" s="2" t="n">
        <v>440.48</v>
      </c>
      <c r="BH50" s="2" t="n">
        <v>113</v>
      </c>
      <c r="BI50" s="2" t="n">
        <v>31296.94</v>
      </c>
      <c r="BJ50" s="2" t="n">
        <v>88.06198347107438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289.39842</v>
      </c>
      <c r="BQ50" s="2" t="n">
        <v>0</v>
      </c>
      <c r="BR50" s="2" t="n">
        <v>32252.88040347107</v>
      </c>
      <c r="BS50" s="2" t="n">
        <v>813.3618181818182</v>
      </c>
      <c r="BT50" s="2" t="n">
        <v>457.8512396694215</v>
      </c>
      <c r="BU50" s="2" t="n">
        <v>6646.939008264462</v>
      </c>
      <c r="BV50" s="2" t="n">
        <v>7918.152066115702</v>
      </c>
      <c r="BW50" s="2" t="n">
        <v>40171.03246958677</v>
      </c>
      <c r="BX50" s="2" t="n">
        <v>21249.03</v>
      </c>
      <c r="BY50" s="2" t="n">
        <v>187.89</v>
      </c>
      <c r="BZ50" s="2" t="n">
        <v>3129.42</v>
      </c>
      <c r="CA50" s="2" t="n">
        <v>21436.92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1226</v>
      </c>
      <c r="B51" t="inlineStr">
        <is>
          <t>Plac Dworcowy 3, 33-100 Tarnów</t>
        </is>
      </c>
      <c r="C51" t="inlineStr">
        <is>
          <t>Tarnów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10372.65</v>
      </c>
      <c r="L51" s="2" t="n">
        <v>863.4270694444444</v>
      </c>
      <c r="M51" s="2" t="n">
        <v>9604.305555555555</v>
      </c>
      <c r="N51" s="2" t="n">
        <v>1483.12</v>
      </c>
      <c r="O51" s="2" t="n">
        <v>8725.68</v>
      </c>
      <c r="P51" s="2" t="n">
        <v>163.85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8692.58</v>
      </c>
      <c r="AP51" s="2" t="n">
        <v>635.8461296296296</v>
      </c>
      <c r="AQ51" s="2" t="n">
        <v>8048.685185185184</v>
      </c>
      <c r="AR51" s="2" t="n">
        <v>2415.92</v>
      </c>
      <c r="AS51" s="2" t="n">
        <v>6154.27</v>
      </c>
      <c r="AT51" s="2" t="n">
        <v>122.39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19065.23</v>
      </c>
      <c r="BB51" s="2" t="n">
        <v>15166.19</v>
      </c>
      <c r="BC51" s="2">
        <f>F51+L51+R51+X51+AD51+AJ51+AP51+AV51+IF(BE51="",0,BE51)</f>
        <v/>
      </c>
      <c r="BD51" s="2" t="n">
        <v>233.559326</v>
      </c>
      <c r="BE51" s="2" t="n"/>
      <c r="BF51" s="2" t="n">
        <v>17652.99074074074</v>
      </c>
      <c r="BG51" s="2" t="n">
        <v>440.48</v>
      </c>
      <c r="BH51" s="2" t="n">
        <v>142</v>
      </c>
      <c r="BI51" s="2" t="n">
        <v>31296.94</v>
      </c>
      <c r="BJ51" s="2" t="n">
        <v>88.06198347107438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204.743565</v>
      </c>
      <c r="BQ51" s="2" t="n">
        <v>0</v>
      </c>
      <c r="BR51" s="2" t="n">
        <v>32197.22554847107</v>
      </c>
      <c r="BS51" s="2" t="n">
        <v>813.3618181818182</v>
      </c>
      <c r="BT51" s="2" t="n">
        <v>457.8512396694215</v>
      </c>
      <c r="BU51" s="2" t="n">
        <v>6652.739008264462</v>
      </c>
      <c r="BV51" s="2" t="n">
        <v>7923.952066115702</v>
      </c>
      <c r="BW51" s="2" t="n">
        <v>40121.17761458678</v>
      </c>
      <c r="BX51" s="2" t="n">
        <v>14879.95</v>
      </c>
      <c r="BY51" s="2" t="n">
        <v>286.24</v>
      </c>
      <c r="BZ51" s="2" t="n">
        <v>3899.04</v>
      </c>
      <c r="CA51" s="2" t="n">
        <v>15166.19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1227</v>
      </c>
      <c r="B52" t="inlineStr">
        <is>
          <t>Bochnia</t>
        </is>
      </c>
      <c r="C52" t="inlineStr"/>
      <c r="D52" t="inlineStr"/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3210.26</v>
      </c>
      <c r="L52" s="2" t="n">
        <v>267.2244203703704</v>
      </c>
      <c r="M52" s="2" t="n">
        <v>2972.462962962963</v>
      </c>
      <c r="N52" s="2" t="n">
        <v>419.22</v>
      </c>
      <c r="O52" s="2" t="n">
        <v>2515.04</v>
      </c>
      <c r="P52" s="2" t="n">
        <v>276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3443.54</v>
      </c>
      <c r="X52" s="2" t="n">
        <v>350</v>
      </c>
      <c r="Y52" s="2" t="n">
        <v>3188.462962962963</v>
      </c>
      <c r="Z52" s="2" t="n">
        <v>1042.54</v>
      </c>
      <c r="AA52" s="2" t="n">
        <v>2348.73</v>
      </c>
      <c r="AB52" s="2" t="n">
        <v>52.27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2240.6</v>
      </c>
      <c r="AP52" s="2" t="n">
        <v>163.8957407407407</v>
      </c>
      <c r="AQ52" s="2" t="n">
        <v>2074.62962962963</v>
      </c>
      <c r="AR52" s="2" t="n">
        <v>440.15</v>
      </c>
      <c r="AS52" s="2" t="n">
        <v>1776.83</v>
      </c>
      <c r="AT52" s="2" t="n">
        <v>23.62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8894.4</v>
      </c>
      <c r="BB52" s="2" t="n">
        <v>6992.49</v>
      </c>
      <c r="BC52" s="2">
        <f>F52+L52+R52+X52+AD52+AJ52+AP52+AV52+IF(BE52="",0,BE52)</f>
        <v/>
      </c>
      <c r="BD52" s="2" t="n">
        <v>103.122446</v>
      </c>
      <c r="BE52" s="2" t="n"/>
      <c r="BF52" s="2" t="n">
        <v>8235.555555555555</v>
      </c>
      <c r="BG52" s="2" t="n">
        <v>440.48</v>
      </c>
      <c r="BH52" s="2" t="n">
        <v>92.8</v>
      </c>
      <c r="BI52" s="2" t="n">
        <v>31296.94</v>
      </c>
      <c r="BJ52" s="2" t="n">
        <v>88.06198347107438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94.39861499999999</v>
      </c>
      <c r="BQ52" s="2" t="n">
        <v>0</v>
      </c>
      <c r="BR52" s="2" t="n">
        <v>32037.68059847107</v>
      </c>
      <c r="BS52" s="2" t="n">
        <v>813.3618181818182</v>
      </c>
      <c r="BT52" s="2" t="n">
        <v>457.8512396694215</v>
      </c>
      <c r="BU52" s="2" t="n">
        <v>6642.899008264463</v>
      </c>
      <c r="BV52" s="2" t="n">
        <v>7914.112066115703</v>
      </c>
      <c r="BW52" s="2" t="n">
        <v>39951.79266458677</v>
      </c>
      <c r="BX52" s="2" t="n">
        <v>6640.6</v>
      </c>
      <c r="BY52" s="2" t="n">
        <v>351.89</v>
      </c>
      <c r="BZ52" s="2" t="n">
        <v>1901.91</v>
      </c>
      <c r="CA52" s="2" t="n">
        <v>6992.490000000001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1228</v>
      </c>
      <c r="B53" t="inlineStr">
        <is>
          <t>Sosnowiec</t>
        </is>
      </c>
      <c r="C53" t="inlineStr"/>
      <c r="D53" t="inlineStr"/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6044.9</v>
      </c>
      <c r="L53" s="2" t="n">
        <v>503.1819537037036</v>
      </c>
      <c r="M53" s="2" t="n">
        <v>5597.129629629629</v>
      </c>
      <c r="N53" s="2" t="n">
        <v>1042.14</v>
      </c>
      <c r="O53" s="2" t="n">
        <v>4796.61</v>
      </c>
      <c r="P53" s="2" t="n">
        <v>206.15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6044.9</v>
      </c>
      <c r="BB53" s="2" t="n">
        <v>5002.759999999999</v>
      </c>
      <c r="BC53" s="2">
        <f>F53+L53+R53+X53+AD53+AJ53+AP53+AV53+IF(BE53="",0,BE53)</f>
        <v/>
      </c>
      <c r="BD53" s="2" t="n">
        <v>77.04250399999999</v>
      </c>
      <c r="BE53" s="2" t="n"/>
      <c r="BF53" s="2" t="n">
        <v>5597.129629629629</v>
      </c>
      <c r="BG53" s="2" t="n">
        <v>264.06</v>
      </c>
      <c r="BH53" s="2" t="n">
        <v>296.82</v>
      </c>
      <c r="BI53" s="2" t="n">
        <v>31296.94</v>
      </c>
      <c r="BJ53" s="2" t="n">
        <v>88.06198347107438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67.53725999999999</v>
      </c>
      <c r="BQ53" s="2" t="n">
        <v>0</v>
      </c>
      <c r="BR53" s="2" t="n">
        <v>32038.41924347107</v>
      </c>
      <c r="BS53" s="2" t="n">
        <v>813.3618181818182</v>
      </c>
      <c r="BT53" s="2" t="n">
        <v>457.8512396694215</v>
      </c>
      <c r="BU53" s="2" t="n">
        <v>6648.419008264463</v>
      </c>
      <c r="BV53" s="2" t="n">
        <v>7919.632066115702</v>
      </c>
      <c r="BW53" s="2" t="n">
        <v>39958.05130958678</v>
      </c>
      <c r="BX53" s="2" t="n">
        <v>4796.61</v>
      </c>
      <c r="BY53" s="2" t="n">
        <v>206.15</v>
      </c>
      <c r="BZ53" s="2" t="n">
        <v>1042.14</v>
      </c>
      <c r="CA53" s="2" t="n">
        <v>5002.759999999999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1229</v>
      </c>
      <c r="B54" t="inlineStr">
        <is>
          <t>Tychy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2202.16</v>
      </c>
      <c r="L54" s="2" t="n">
        <v>183.3094296296296</v>
      </c>
      <c r="M54" s="2" t="n">
        <v>2039.037037037037</v>
      </c>
      <c r="N54" s="2" t="n">
        <v>557.01</v>
      </c>
      <c r="O54" s="2" t="n">
        <v>1444.9</v>
      </c>
      <c r="P54" s="2" t="n">
        <v>200.25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2202.16</v>
      </c>
      <c r="BB54" s="2" t="n">
        <v>1645.15</v>
      </c>
      <c r="BC54" s="2">
        <f>F54+L54+R54+X54+AD54+AJ54+AP54+AV54+IF(BE54="",0,BE54)</f>
        <v/>
      </c>
      <c r="BD54" s="2" t="n">
        <v>25.33531</v>
      </c>
      <c r="BE54" s="2" t="n"/>
      <c r="BF54" s="2" t="n">
        <v>2039.037037037037</v>
      </c>
      <c r="BG54" s="2" t="n">
        <v>0</v>
      </c>
      <c r="BH54" s="2" t="n">
        <v>0</v>
      </c>
      <c r="BI54" s="2" t="n">
        <v>31296.94</v>
      </c>
      <c r="BJ54" s="2" t="n">
        <v>88.06198347107438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22.209525</v>
      </c>
      <c r="BQ54" s="2" t="n">
        <v>0</v>
      </c>
      <c r="BR54" s="2" t="n">
        <v>31432.21150847107</v>
      </c>
      <c r="BS54" s="2" t="n">
        <v>813.3618181818182</v>
      </c>
      <c r="BT54" s="2" t="n">
        <v>457.8512396694215</v>
      </c>
      <c r="BU54" s="2" t="n">
        <v>6536.243008264463</v>
      </c>
      <c r="BV54" s="2" t="n">
        <v>7807.456066115703</v>
      </c>
      <c r="BW54" s="2" t="n">
        <v>39239.66757458678</v>
      </c>
      <c r="BX54" s="2" t="n">
        <v>1444.9</v>
      </c>
      <c r="BY54" s="2" t="n">
        <v>200.25</v>
      </c>
      <c r="BZ54" s="2" t="n">
        <v>557.01</v>
      </c>
      <c r="CA54" s="2" t="n">
        <v>1645.15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1230</v>
      </c>
      <c r="B55" t="inlineStr">
        <is>
          <t>Bohaterów Getta Warszawskiego 12, 44-100 Gliwice</t>
        </is>
      </c>
      <c r="C55" t="inlineStr">
        <is>
          <t>Gliwice</t>
        </is>
      </c>
      <c r="D55" t="inlineStr">
        <is>
          <t>ST|40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12199.47</v>
      </c>
      <c r="L55" s="2" t="n">
        <v>1015.492919444445</v>
      </c>
      <c r="M55" s="2" t="n">
        <v>11295.80555555556</v>
      </c>
      <c r="N55" s="2" t="n">
        <v>2838.99</v>
      </c>
      <c r="O55" s="2" t="n">
        <v>8839.940000000001</v>
      </c>
      <c r="P55" s="2" t="n">
        <v>520.54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12199.47</v>
      </c>
      <c r="BB55" s="2" t="n">
        <v>9360.48</v>
      </c>
      <c r="BC55" s="2">
        <f>F55+L55+R55+X55+AD55+AJ55+AP55+AV55+IF(BE55="",0,BE55)</f>
        <v/>
      </c>
      <c r="BD55" s="2" t="n">
        <v>144.151392</v>
      </c>
      <c r="BE55" s="2" t="n"/>
      <c r="BF55" s="2" t="n">
        <v>11295.80555555556</v>
      </c>
      <c r="BG55" s="2" t="n">
        <v>1143.51</v>
      </c>
      <c r="BH55" s="2" t="n">
        <v>109.6</v>
      </c>
      <c r="BI55" s="2" t="n">
        <v>31296.94</v>
      </c>
      <c r="BJ55" s="2" t="n">
        <v>88.06198347107438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126.36648</v>
      </c>
      <c r="BQ55" s="2" t="n">
        <v>0</v>
      </c>
      <c r="BR55" s="2" t="n">
        <v>32789.47846347107</v>
      </c>
      <c r="BS55" s="2" t="n">
        <v>813.3618181818182</v>
      </c>
      <c r="BT55" s="2" t="n">
        <v>457.8512396694215</v>
      </c>
      <c r="BU55" s="2" t="n">
        <v>6786.865008264464</v>
      </c>
      <c r="BV55" s="2" t="n">
        <v>8058.078066115703</v>
      </c>
      <c r="BW55" s="2" t="n">
        <v>40847.55652958678</v>
      </c>
      <c r="BX55" s="2" t="n">
        <v>8839.940000000001</v>
      </c>
      <c r="BY55" s="2" t="n">
        <v>520.54</v>
      </c>
      <c r="BZ55" s="2" t="n">
        <v>2838.99</v>
      </c>
      <c r="CA55" s="2" t="n">
        <v>9360.48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1231</v>
      </c>
      <c r="B56" t="inlineStr">
        <is>
          <t>Rybnik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3960.18</v>
      </c>
      <c r="L56" s="2" t="n">
        <v>329.6483166666667</v>
      </c>
      <c r="M56" s="2" t="n">
        <v>3666.833333333333</v>
      </c>
      <c r="N56" s="2" t="n">
        <v>1149.47</v>
      </c>
      <c r="O56" s="2" t="n">
        <v>2524.71</v>
      </c>
      <c r="P56" s="2" t="n">
        <v>286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3960.18</v>
      </c>
      <c r="BB56" s="2" t="n">
        <v>2810.71</v>
      </c>
      <c r="BC56" s="2">
        <f>F56+L56+R56+X56+AD56+AJ56+AP56+AV56+IF(BE56="",0,BE56)</f>
        <v/>
      </c>
      <c r="BD56" s="2" t="n">
        <v>43.284934</v>
      </c>
      <c r="BE56" s="2" t="n"/>
      <c r="BF56" s="2" t="n">
        <v>3666.833333333333</v>
      </c>
      <c r="BG56" s="2" t="n">
        <v>571.8200000000001</v>
      </c>
      <c r="BH56" s="2" t="n">
        <v>179</v>
      </c>
      <c r="BI56" s="2" t="n">
        <v>31296.94</v>
      </c>
      <c r="BJ56" s="2" t="n">
        <v>88.06198347107438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37.944585</v>
      </c>
      <c r="BQ56" s="2" t="n">
        <v>0</v>
      </c>
      <c r="BR56" s="2" t="n">
        <v>32198.76656847107</v>
      </c>
      <c r="BS56" s="2" t="n">
        <v>813.3618181818182</v>
      </c>
      <c r="BT56" s="2" t="n">
        <v>457.8512396694215</v>
      </c>
      <c r="BU56" s="2" t="n">
        <v>6686.407008264463</v>
      </c>
      <c r="BV56" s="2" t="n">
        <v>7957.620066115703</v>
      </c>
      <c r="BW56" s="2" t="n">
        <v>40156.38663458678</v>
      </c>
      <c r="BX56" s="2" t="n">
        <v>2524.71</v>
      </c>
      <c r="BY56" s="2" t="n">
        <v>286</v>
      </c>
      <c r="BZ56" s="2" t="n">
        <v>1149.47</v>
      </c>
      <c r="CA56" s="2" t="n">
        <v>2810.71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1232</v>
      </c>
      <c r="B57" t="inlineStr">
        <is>
          <t>Bielsko Biala</t>
        </is>
      </c>
      <c r="C57" t="inlineStr">
        <is>
          <t>Oława Zachodnia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4547.41</v>
      </c>
      <c r="L57" s="2" t="n">
        <v>378.5297768518519</v>
      </c>
      <c r="M57" s="2" t="n">
        <v>4210.564814814815</v>
      </c>
      <c r="N57" s="2" t="n">
        <v>1954.47</v>
      </c>
      <c r="O57" s="2" t="n">
        <v>2412.94</v>
      </c>
      <c r="P57" s="2" t="n">
        <v>180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4547.41</v>
      </c>
      <c r="BB57" s="2" t="n">
        <v>2592.94</v>
      </c>
      <c r="BC57" s="2">
        <f>F57+L57+R57+X57+AD57+AJ57+AP57+AV57+IF(BE57="",0,BE57)</f>
        <v/>
      </c>
      <c r="BD57" s="2" t="n">
        <v>39.931276</v>
      </c>
      <c r="BE57" s="2" t="n"/>
      <c r="BF57" s="2" t="n">
        <v>4210.564814814815</v>
      </c>
      <c r="BG57" s="2" t="n">
        <v>560.99</v>
      </c>
      <c r="BH57" s="2" t="n">
        <v>28</v>
      </c>
      <c r="BI57" s="2" t="n">
        <v>31296.94</v>
      </c>
      <c r="BJ57" s="2" t="n">
        <v>88.06198347107438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35.00469</v>
      </c>
      <c r="BQ57" s="2" t="n">
        <v>0</v>
      </c>
      <c r="BR57" s="2" t="n">
        <v>32033.99667347108</v>
      </c>
      <c r="BS57" s="2" t="n">
        <v>813.3618181818182</v>
      </c>
      <c r="BT57" s="2" t="n">
        <v>457.8512396694215</v>
      </c>
      <c r="BU57" s="2" t="n">
        <v>6654.041008264463</v>
      </c>
      <c r="BV57" s="2" t="n">
        <v>7925.254066115703</v>
      </c>
      <c r="BW57" s="2" t="n">
        <v>39959.25073958678</v>
      </c>
      <c r="BX57" s="2" t="n">
        <v>2412.94</v>
      </c>
      <c r="BY57" s="2" t="n">
        <v>180</v>
      </c>
      <c r="BZ57" s="2" t="n">
        <v>1954.47</v>
      </c>
      <c r="CA57" s="2" t="n">
        <v>2592.94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1233</v>
      </c>
      <c r="B58" t="inlineStr">
        <is>
          <t>Lubliniec</t>
        </is>
      </c>
      <c r="C58" t="inlineStr"/>
      <c r="D58" t="inlineStr"/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3953.05</v>
      </c>
      <c r="L58" s="2" t="n">
        <v>329.0548101851851</v>
      </c>
      <c r="M58" s="2" t="n">
        <v>3660.231481481481</v>
      </c>
      <c r="N58" s="2" t="n">
        <v>1701.47</v>
      </c>
      <c r="O58" s="2" t="n">
        <v>1836.48</v>
      </c>
      <c r="P58" s="2" t="n">
        <v>415.1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3953.05</v>
      </c>
      <c r="BB58" s="2" t="n">
        <v>2251.58</v>
      </c>
      <c r="BC58" s="2">
        <f>F58+L58+R58+X58+AD58+AJ58+AP58+AV58+IF(BE58="",0,BE58)</f>
        <v/>
      </c>
      <c r="BD58" s="2" t="n">
        <v>34.674332</v>
      </c>
      <c r="BE58" s="2" t="n"/>
      <c r="BF58" s="2" t="n">
        <v>3660.231481481481</v>
      </c>
      <c r="BG58" s="2" t="n">
        <v>432.34</v>
      </c>
      <c r="BH58" s="2" t="n">
        <v>127</v>
      </c>
      <c r="BI58" s="2" t="n">
        <v>31296.94</v>
      </c>
      <c r="BJ58" s="2" t="n">
        <v>88.06198347107438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30.39633</v>
      </c>
      <c r="BQ58" s="2" t="n">
        <v>0</v>
      </c>
      <c r="BR58" s="2" t="n">
        <v>31999.73831347107</v>
      </c>
      <c r="BS58" s="2" t="n">
        <v>813.3618181818182</v>
      </c>
      <c r="BT58" s="2" t="n">
        <v>457.8512396694215</v>
      </c>
      <c r="BU58" s="2" t="n">
        <v>6648.111008264463</v>
      </c>
      <c r="BV58" s="2" t="n">
        <v>7919.324066115702</v>
      </c>
      <c r="BW58" s="2" t="n">
        <v>39919.06237958677</v>
      </c>
      <c r="BX58" s="2" t="n">
        <v>1836.48</v>
      </c>
      <c r="BY58" s="2" t="n">
        <v>415.1</v>
      </c>
      <c r="BZ58" s="2" t="n">
        <v>1701.47</v>
      </c>
      <c r="CA58" s="2" t="n">
        <v>2251.58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1234</v>
      </c>
      <c r="B59" t="inlineStr">
        <is>
          <t>Kolejowa 88, 68-100 Żagań</t>
        </is>
      </c>
      <c r="C59" t="inlineStr">
        <is>
          <t>Żagań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702.26</v>
      </c>
      <c r="L59" s="2" t="n">
        <v>58.45664259259259</v>
      </c>
      <c r="M59" s="2" t="n">
        <v>650.2407407407406</v>
      </c>
      <c r="N59" s="2" t="n">
        <v>131.01</v>
      </c>
      <c r="O59" s="2" t="n">
        <v>556.25</v>
      </c>
      <c r="P59" s="2" t="n">
        <v>15</v>
      </c>
      <c r="Q59" s="2" t="n">
        <v>4187.67</v>
      </c>
      <c r="R59" s="2" t="n">
        <v>1600</v>
      </c>
      <c r="S59" s="2" t="n">
        <v>3877.472222222222</v>
      </c>
      <c r="T59" s="2" t="n">
        <v>1018.92</v>
      </c>
      <c r="U59" s="2" t="n">
        <v>3032.89</v>
      </c>
      <c r="V59" s="2" t="n">
        <v>135.86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3424.13</v>
      </c>
      <c r="AP59" s="2" t="n">
        <v>250.4687685185185</v>
      </c>
      <c r="AQ59" s="2" t="n">
        <v>3170.49074074074</v>
      </c>
      <c r="AR59" s="2" t="n">
        <v>1298.63</v>
      </c>
      <c r="AS59" s="2" t="n">
        <v>2018.03</v>
      </c>
      <c r="AT59" s="2" t="n">
        <v>107.47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8314.059999999999</v>
      </c>
      <c r="BB59" s="2" t="n">
        <v>5865.5</v>
      </c>
      <c r="BC59" s="2">
        <f>F59+L59+R59+X59+AD59+AJ59+AP59+AV59+IF(BE59="",0,BE59)</f>
        <v/>
      </c>
      <c r="BD59" s="2" t="n">
        <v>90.3287</v>
      </c>
      <c r="BE59" s="2" t="n"/>
      <c r="BF59" s="2" t="n">
        <v>7698.203703703703</v>
      </c>
      <c r="BG59" s="2" t="n">
        <v>573.49</v>
      </c>
      <c r="BH59" s="2" t="n">
        <v>214</v>
      </c>
      <c r="BI59" s="2" t="n">
        <v>31296.94</v>
      </c>
      <c r="BJ59" s="2" t="n">
        <v>88.06198347107438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79.18425000000001</v>
      </c>
      <c r="BQ59" s="2" t="n">
        <v>0</v>
      </c>
      <c r="BR59" s="2" t="n">
        <v>32276.67623347107</v>
      </c>
      <c r="BS59" s="2" t="n">
        <v>813.3618181818182</v>
      </c>
      <c r="BT59" s="2" t="n">
        <v>457.8512396694215</v>
      </c>
      <c r="BU59" s="2" t="n">
        <v>6693.741008264463</v>
      </c>
      <c r="BV59" s="2" t="n">
        <v>7964.954066115703</v>
      </c>
      <c r="BW59" s="2" t="n">
        <v>40241.63029958677</v>
      </c>
      <c r="BX59" s="2" t="n">
        <v>5607.17</v>
      </c>
      <c r="BY59" s="2" t="n">
        <v>258.33</v>
      </c>
      <c r="BZ59" s="2" t="n">
        <v>2448.56</v>
      </c>
      <c r="CA59" s="2" t="n">
        <v>5865.5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1235</v>
      </c>
      <c r="B60" t="inlineStr">
        <is>
          <t>Dworcowa 2, 61-801 Poznań</t>
        </is>
      </c>
      <c r="C60" t="inlineStr">
        <is>
          <t>Poznań Główny, Dworzec Zachodni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10559.41</v>
      </c>
      <c r="L60" s="2" t="n">
        <v>878.9731101851853</v>
      </c>
      <c r="M60" s="2" t="n">
        <v>9777.231481481482</v>
      </c>
      <c r="N60" s="2" t="n">
        <v>1745.69</v>
      </c>
      <c r="O60" s="2" t="n">
        <v>8310.27</v>
      </c>
      <c r="P60" s="2" t="n">
        <v>503.45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18944.13</v>
      </c>
      <c r="AD60" s="2" t="n">
        <v>1210.319416666667</v>
      </c>
      <c r="AE60" s="2" t="n">
        <v>17540.86111111111</v>
      </c>
      <c r="AF60" s="2" t="n">
        <v>3689.5</v>
      </c>
      <c r="AG60" s="2" t="n">
        <v>14162.22</v>
      </c>
      <c r="AH60" s="2" t="n">
        <v>1092.41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7103.28</v>
      </c>
      <c r="AP60" s="2" t="n">
        <v>519.5917777777777</v>
      </c>
      <c r="AQ60" s="2" t="n">
        <v>6577.11111111111</v>
      </c>
      <c r="AR60" s="2" t="n">
        <v>1450.24</v>
      </c>
      <c r="AS60" s="2" t="n">
        <v>5142.96</v>
      </c>
      <c r="AT60" s="2" t="n">
        <v>510.08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36606.82</v>
      </c>
      <c r="BB60" s="2" t="n">
        <v>29721.39</v>
      </c>
      <c r="BC60" s="2">
        <f>F60+L60+R60+X60+AD60+AJ60+AP60+AV60+IF(BE60="",0,BE60)</f>
        <v/>
      </c>
      <c r="BD60" s="2" t="n">
        <v>457.7094060000001</v>
      </c>
      <c r="BE60" s="2" t="n"/>
      <c r="BF60" s="2" t="n">
        <v>33895.2037037037</v>
      </c>
      <c r="BG60" s="2" t="n">
        <v>458.58</v>
      </c>
      <c r="BH60" s="2" t="n">
        <v>0</v>
      </c>
      <c r="BI60" s="2" t="n">
        <v>31296.94</v>
      </c>
      <c r="BJ60" s="2" t="n">
        <v>88.06198347107438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401.238765</v>
      </c>
      <c r="BQ60" s="2" t="n">
        <v>0</v>
      </c>
      <c r="BR60" s="2" t="n">
        <v>32269.82074847107</v>
      </c>
      <c r="BS60" s="2" t="n">
        <v>813.3618181818182</v>
      </c>
      <c r="BT60" s="2" t="n">
        <v>457.8512396694215</v>
      </c>
      <c r="BU60" s="2" t="n">
        <v>6627.959008264464</v>
      </c>
      <c r="BV60" s="2" t="n">
        <v>7899.172066115703</v>
      </c>
      <c r="BW60" s="2" t="n">
        <v>40168.99281458677</v>
      </c>
      <c r="BX60" s="2" t="n">
        <v>27615.45</v>
      </c>
      <c r="BY60" s="2" t="n">
        <v>2105.94</v>
      </c>
      <c r="BZ60" s="2" t="n">
        <v>6885.43</v>
      </c>
      <c r="CA60" s="2" t="n">
        <v>29721.39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1236</v>
      </c>
      <c r="B61" t="inlineStr">
        <is>
          <t>Pelplin</t>
        </is>
      </c>
      <c r="C61" t="inlineStr">
        <is>
          <t>Pelplin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3850.48</v>
      </c>
      <c r="AP61" s="2" t="n">
        <v>3900</v>
      </c>
      <c r="AQ61" s="2" t="n">
        <v>3565.25925925926</v>
      </c>
      <c r="AR61" s="2" t="n">
        <v>0</v>
      </c>
      <c r="AS61" s="2" t="n">
        <v>3560.51</v>
      </c>
      <c r="AT61" s="2" t="n">
        <v>289.97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3850.48</v>
      </c>
      <c r="BB61" s="2" t="n">
        <v>3850.48</v>
      </c>
      <c r="BC61" s="2">
        <f>F61+L61+R61+X61+AD61+AJ61+AP61+AV61+IF(BE61="",0,BE61)</f>
        <v/>
      </c>
      <c r="BD61" s="2" t="n">
        <v>59.29739200000001</v>
      </c>
      <c r="BE61" s="2" t="n"/>
      <c r="BF61" s="2" t="n">
        <v>3565.25925925926</v>
      </c>
      <c r="BG61" s="2" t="n">
        <v>458.58</v>
      </c>
      <c r="BH61" s="2" t="n">
        <v>0</v>
      </c>
      <c r="BI61" s="2" t="n">
        <v>31296.94</v>
      </c>
      <c r="BJ61" s="2" t="n">
        <v>88.06198347107438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51.98148</v>
      </c>
      <c r="BQ61" s="2" t="n">
        <v>0</v>
      </c>
      <c r="BR61" s="2" t="n">
        <v>31920.56346347107</v>
      </c>
      <c r="BS61" s="2" t="n">
        <v>813.3618181818182</v>
      </c>
      <c r="BT61" s="2" t="n">
        <v>457.8512396694215</v>
      </c>
      <c r="BU61" s="2" t="n">
        <v>6627.959008264464</v>
      </c>
      <c r="BV61" s="2" t="n">
        <v>7899.172066115703</v>
      </c>
      <c r="BW61" s="2" t="n">
        <v>39819.73552958677</v>
      </c>
      <c r="BX61" s="2" t="n">
        <v>3560.51</v>
      </c>
      <c r="BY61" s="2" t="n">
        <v>289.97</v>
      </c>
      <c r="BZ61" s="2" t="n">
        <v>0</v>
      </c>
      <c r="CA61" s="2" t="n">
        <v>3850.48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1237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14634.29</v>
      </c>
      <c r="L62" s="2" t="n">
        <v>1218.169139814815</v>
      </c>
      <c r="M62" s="2" t="n">
        <v>13550.26851851852</v>
      </c>
      <c r="N62" s="2" t="n">
        <v>3341.14</v>
      </c>
      <c r="O62" s="2" t="n">
        <v>10609.83</v>
      </c>
      <c r="P62" s="2" t="n">
        <v>683.3200000000001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24116.28</v>
      </c>
      <c r="AD62" s="2" t="n">
        <v>1540.762333333334</v>
      </c>
      <c r="AE62" s="2" t="n">
        <v>22329.88888888889</v>
      </c>
      <c r="AF62" s="2" t="n">
        <v>5592.38</v>
      </c>
      <c r="AG62" s="2" t="n">
        <v>17322.24</v>
      </c>
      <c r="AH62" s="2" t="n">
        <v>1201.66</v>
      </c>
      <c r="AI62" s="2" t="n">
        <v>108.5</v>
      </c>
      <c r="AJ62" s="2" t="n">
        <v>7.534722222222221</v>
      </c>
      <c r="AK62" s="2" t="n">
        <v>100.462962962963</v>
      </c>
      <c r="AL62" s="2" t="n">
        <v>0</v>
      </c>
      <c r="AM62" s="2" t="n">
        <v>108.5</v>
      </c>
      <c r="AN62" s="2" t="n">
        <v>0</v>
      </c>
      <c r="AO62" s="2" t="n">
        <v>9624.650000000001</v>
      </c>
      <c r="AP62" s="2" t="n">
        <v>704.0253240740741</v>
      </c>
      <c r="AQ62" s="2" t="n">
        <v>8911.712962962964</v>
      </c>
      <c r="AR62" s="2" t="n">
        <v>2221.44</v>
      </c>
      <c r="AS62" s="2" t="n">
        <v>6785</v>
      </c>
      <c r="AT62" s="2" t="n">
        <v>618.21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48483.72</v>
      </c>
      <c r="BB62" s="2" t="n">
        <v>37328.76</v>
      </c>
      <c r="BC62" s="2">
        <f>F62+L62+R62+X62+AD62+AJ62+AP62+AV62+IF(BE62="",0,BE62)</f>
        <v/>
      </c>
      <c r="BD62" s="2" t="n">
        <v>574.8629040000001</v>
      </c>
      <c r="BE62" s="2" t="n"/>
      <c r="BF62" s="2" t="n">
        <v>44892.33333333334</v>
      </c>
      <c r="BG62" s="2" t="n">
        <v>458.58</v>
      </c>
      <c r="BH62" s="2" t="n">
        <v>0</v>
      </c>
      <c r="BI62" s="2" t="n">
        <v>31296.94</v>
      </c>
      <c r="BJ62" s="2" t="n">
        <v>88.06198347107438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503.93826</v>
      </c>
      <c r="BQ62" s="2" t="n">
        <v>0</v>
      </c>
      <c r="BR62" s="2" t="n">
        <v>32372.52024347107</v>
      </c>
      <c r="BS62" s="2" t="n">
        <v>813.3618181818182</v>
      </c>
      <c r="BT62" s="2" t="n">
        <v>457.8512396694215</v>
      </c>
      <c r="BU62" s="2" t="n">
        <v>6627.959008264464</v>
      </c>
      <c r="BV62" s="2" t="n">
        <v>7899.172066115703</v>
      </c>
      <c r="BW62" s="2" t="n">
        <v>40271.69230958678</v>
      </c>
      <c r="BX62" s="2" t="n">
        <v>34825.57</v>
      </c>
      <c r="BY62" s="2" t="n">
        <v>2503.19</v>
      </c>
      <c r="BZ62" s="2" t="n">
        <v>11154.96</v>
      </c>
      <c r="CA62" s="2" t="n">
        <v>37328.76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1238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9807.650000000001</v>
      </c>
      <c r="L63" s="2" t="n">
        <v>816.3960509259261</v>
      </c>
      <c r="M63" s="2" t="n">
        <v>9081.157407407409</v>
      </c>
      <c r="N63" s="2" t="n">
        <v>1648.25</v>
      </c>
      <c r="O63" s="2" t="n">
        <v>7784.86</v>
      </c>
      <c r="P63" s="2" t="n">
        <v>374.54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16933.83</v>
      </c>
      <c r="AD63" s="2" t="n">
        <v>1081.883583333333</v>
      </c>
      <c r="AE63" s="2" t="n">
        <v>15679.47222222222</v>
      </c>
      <c r="AF63" s="2" t="n">
        <v>3183.88</v>
      </c>
      <c r="AG63" s="2" t="n">
        <v>13223.88</v>
      </c>
      <c r="AH63" s="2" t="n">
        <v>526.0700000000001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5281.66</v>
      </c>
      <c r="AP63" s="2" t="n">
        <v>386.3436481481481</v>
      </c>
      <c r="AQ63" s="2" t="n">
        <v>4890.425925925925</v>
      </c>
      <c r="AR63" s="2" t="n">
        <v>1187.76</v>
      </c>
      <c r="AS63" s="2" t="n">
        <v>3986.5</v>
      </c>
      <c r="AT63" s="2" t="n">
        <v>107.4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32023.14</v>
      </c>
      <c r="BB63" s="2" t="n">
        <v>26003.25</v>
      </c>
      <c r="BC63" s="2">
        <f>F63+L63+R63+X63+AD63+AJ63+AP63+AV63+IF(BE63="",0,BE63)</f>
        <v/>
      </c>
      <c r="BD63" s="2" t="n">
        <v>400.45005</v>
      </c>
      <c r="BE63" s="2" t="n"/>
      <c r="BF63" s="2" t="n">
        <v>29651.05555555555</v>
      </c>
      <c r="BG63" s="2" t="n">
        <v>458.58</v>
      </c>
      <c r="BH63" s="2" t="n">
        <v>0</v>
      </c>
      <c r="BI63" s="2" t="n">
        <v>31296.94</v>
      </c>
      <c r="BJ63" s="2" t="n">
        <v>88.06198347107438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351.043875</v>
      </c>
      <c r="BQ63" s="2" t="n">
        <v>0</v>
      </c>
      <c r="BR63" s="2" t="n">
        <v>32219.62585847107</v>
      </c>
      <c r="BS63" s="2" t="n">
        <v>813.3618181818182</v>
      </c>
      <c r="BT63" s="2" t="n">
        <v>457.8512396694215</v>
      </c>
      <c r="BU63" s="2" t="n">
        <v>6627.959008264464</v>
      </c>
      <c r="BV63" s="2" t="n">
        <v>7899.172066115703</v>
      </c>
      <c r="BW63" s="2" t="n">
        <v>40118.79792458678</v>
      </c>
      <c r="BX63" s="2" t="n">
        <v>24995.24</v>
      </c>
      <c r="BY63" s="2" t="n">
        <v>1008.01</v>
      </c>
      <c r="BZ63" s="2" t="n">
        <v>6019.89</v>
      </c>
      <c r="CA63" s="2" t="n">
        <v>26003.25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1239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25042.51</v>
      </c>
      <c r="L64" s="2" t="n">
        <v>2084.557082407408</v>
      </c>
      <c r="M64" s="2" t="n">
        <v>23187.50925925926</v>
      </c>
      <c r="N64" s="2" t="n">
        <v>4930.43</v>
      </c>
      <c r="O64" s="2" t="n">
        <v>20112.08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48285.44</v>
      </c>
      <c r="AD64" s="2" t="n">
        <v>3084.903111111111</v>
      </c>
      <c r="AE64" s="2" t="n">
        <v>44708.74074074074</v>
      </c>
      <c r="AF64" s="2" t="n">
        <v>10024.32</v>
      </c>
      <c r="AG64" s="2" t="n">
        <v>38261.12</v>
      </c>
      <c r="AH64" s="2" t="n">
        <v>0</v>
      </c>
      <c r="AI64" s="2" t="n">
        <v>443.1900000000001</v>
      </c>
      <c r="AJ64" s="2" t="n">
        <v>30.77708333333333</v>
      </c>
      <c r="AK64" s="2" t="n">
        <v>410.3611111111111</v>
      </c>
      <c r="AL64" s="2" t="n">
        <v>58.28</v>
      </c>
      <c r="AM64" s="2" t="n">
        <v>384.91</v>
      </c>
      <c r="AN64" s="2" t="n">
        <v>0</v>
      </c>
      <c r="AO64" s="2" t="n">
        <v>13962.77</v>
      </c>
      <c r="AP64" s="2" t="n">
        <v>1021.350768518519</v>
      </c>
      <c r="AQ64" s="2" t="n">
        <v>12928.49074074074</v>
      </c>
      <c r="AR64" s="2" t="n">
        <v>2724.79</v>
      </c>
      <c r="AS64" s="2" t="n">
        <v>11237.98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87733.91000000002</v>
      </c>
      <c r="BB64" s="2" t="n">
        <v>69996.09000000001</v>
      </c>
      <c r="BC64" s="2">
        <f>F64+L64+R64+X64+AD64+AJ64+AP64+AV64+IF(BE64="",0,BE64)</f>
        <v/>
      </c>
      <c r="BD64" s="2" t="n">
        <v>1077.939786</v>
      </c>
      <c r="BE64" s="2" t="n"/>
      <c r="BF64" s="2" t="n">
        <v>81235.10185185185</v>
      </c>
      <c r="BG64" s="2" t="n">
        <v>458.58</v>
      </c>
      <c r="BH64" s="2" t="n">
        <v>0</v>
      </c>
      <c r="BI64" s="2" t="n">
        <v>31296.94</v>
      </c>
      <c r="BJ64" s="2" t="n">
        <v>88.06198347107438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944.9472149999999</v>
      </c>
      <c r="BQ64" s="2" t="n">
        <v>0</v>
      </c>
      <c r="BR64" s="2" t="n">
        <v>32813.52919847107</v>
      </c>
      <c r="BS64" s="2" t="n">
        <v>813.3618181818182</v>
      </c>
      <c r="BT64" s="2" t="n">
        <v>457.8512396694215</v>
      </c>
      <c r="BU64" s="2" t="n">
        <v>6627.959008264464</v>
      </c>
      <c r="BV64" s="2" t="n">
        <v>7899.172066115703</v>
      </c>
      <c r="BW64" s="2" t="n">
        <v>40712.70126458677</v>
      </c>
      <c r="BX64" s="2" t="n">
        <v>69996.09000000001</v>
      </c>
      <c r="BY64" s="2" t="n">
        <v>0</v>
      </c>
      <c r="BZ64" s="2" t="n">
        <v>17737.82</v>
      </c>
      <c r="CA64" s="2" t="n">
        <v>69996.09000000001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1240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32615.82</v>
      </c>
      <c r="L65" s="2" t="n">
        <v>2714.965016666667</v>
      </c>
      <c r="M65" s="2" t="n">
        <v>30199.83333333333</v>
      </c>
      <c r="N65" s="2" t="n">
        <v>5854.99</v>
      </c>
      <c r="O65" s="2" t="n">
        <v>25009.6</v>
      </c>
      <c r="P65" s="2" t="n">
        <v>1751.23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65355.01</v>
      </c>
      <c r="AD65" s="2" t="n">
        <v>4175.458972222223</v>
      </c>
      <c r="AE65" s="2" t="n">
        <v>60513.89814814815</v>
      </c>
      <c r="AF65" s="2" t="n">
        <v>11981.87</v>
      </c>
      <c r="AG65" s="2" t="n">
        <v>49923.89</v>
      </c>
      <c r="AH65" s="2" t="n">
        <v>3449.25</v>
      </c>
      <c r="AI65" s="2" t="n">
        <v>285.12</v>
      </c>
      <c r="AJ65" s="2" t="n">
        <v>19.8</v>
      </c>
      <c r="AK65" s="2" t="n">
        <v>264</v>
      </c>
      <c r="AL65" s="2" t="n">
        <v>49.5</v>
      </c>
      <c r="AM65" s="2" t="n">
        <v>196.42</v>
      </c>
      <c r="AN65" s="2" t="n">
        <v>39.2</v>
      </c>
      <c r="AO65" s="2" t="n">
        <v>18766.91</v>
      </c>
      <c r="AP65" s="2" t="n">
        <v>1372.764712962963</v>
      </c>
      <c r="AQ65" s="2" t="n">
        <v>17376.76851851852</v>
      </c>
      <c r="AR65" s="2" t="n">
        <v>3810.27</v>
      </c>
      <c r="AS65" s="2" t="n">
        <v>13843.21</v>
      </c>
      <c r="AT65" s="2" t="n">
        <v>1113.43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117022.86</v>
      </c>
      <c r="BB65" s="2" t="n">
        <v>95326.23</v>
      </c>
      <c r="BC65" s="2">
        <f>F65+L65+R65+X65+AD65+AJ65+AP65+AV65+IF(BE65="",0,BE65)</f>
        <v/>
      </c>
      <c r="BD65" s="2" t="n">
        <v>1468.023942</v>
      </c>
      <c r="BE65" s="2" t="n"/>
      <c r="BF65" s="2" t="n">
        <v>108354.5</v>
      </c>
      <c r="BG65" s="2" t="n">
        <v>458.58</v>
      </c>
      <c r="BH65" s="2" t="n">
        <v>0</v>
      </c>
      <c r="BI65" s="2" t="n">
        <v>31296.94</v>
      </c>
      <c r="BJ65" s="2" t="n">
        <v>88.06198347107438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1286.904105</v>
      </c>
      <c r="BQ65" s="2" t="n">
        <v>0</v>
      </c>
      <c r="BR65" s="2" t="n">
        <v>33155.48608847107</v>
      </c>
      <c r="BS65" s="2" t="n">
        <v>813.3618181818182</v>
      </c>
      <c r="BT65" s="2" t="n">
        <v>457.8512396694215</v>
      </c>
      <c r="BU65" s="2" t="n">
        <v>6627.959008264464</v>
      </c>
      <c r="BV65" s="2" t="n">
        <v>7899.172066115703</v>
      </c>
      <c r="BW65" s="2" t="n">
        <v>41054.65815458677</v>
      </c>
      <c r="BX65" s="2" t="n">
        <v>88973.12</v>
      </c>
      <c r="BY65" s="2" t="n">
        <v>6353.11</v>
      </c>
      <c r="BZ65" s="2" t="n">
        <v>21696.63</v>
      </c>
      <c r="CA65" s="2" t="n">
        <v>95326.23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1241</v>
      </c>
      <c r="B66" t="inlineStr">
        <is>
          <t>Kolejowa 1, 62-510 Konin</t>
        </is>
      </c>
      <c r="C66" t="inlineStr">
        <is>
          <t>Konin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4097.32</v>
      </c>
      <c r="L66" s="2" t="n">
        <v>341.0639518518518</v>
      </c>
      <c r="M66" s="2" t="n">
        <v>3793.814814814814</v>
      </c>
      <c r="N66" s="2" t="n">
        <v>1257.16</v>
      </c>
      <c r="O66" s="2" t="n">
        <v>2633.46</v>
      </c>
      <c r="P66" s="2" t="n">
        <v>206.7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8709.57</v>
      </c>
      <c r="AD66" s="2" t="n">
        <v>556.44475</v>
      </c>
      <c r="AE66" s="2" t="n">
        <v>8064.416666666666</v>
      </c>
      <c r="AF66" s="2" t="n">
        <v>1088.29</v>
      </c>
      <c r="AG66" s="2" t="n">
        <v>7048.45</v>
      </c>
      <c r="AH66" s="2" t="n">
        <v>572.83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12806.89</v>
      </c>
      <c r="BB66" s="2" t="n">
        <v>10461.44</v>
      </c>
      <c r="BC66" s="2">
        <f>F66+L66+R66+X66+AD66+AJ66+AP66+AV66+IF(BE66="",0,BE66)</f>
        <v/>
      </c>
      <c r="BD66" s="2" t="n">
        <v>161.106176</v>
      </c>
      <c r="BE66" s="2" t="n"/>
      <c r="BF66" s="2" t="n">
        <v>11858.23148148148</v>
      </c>
      <c r="BG66" s="2" t="n">
        <v>0</v>
      </c>
      <c r="BH66" s="2" t="n">
        <v>0</v>
      </c>
      <c r="BI66" s="2" t="n">
        <v>31296.94</v>
      </c>
      <c r="BJ66" s="2" t="n">
        <v>88.06198347107438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141.22944</v>
      </c>
      <c r="BQ66" s="2" t="n">
        <v>0</v>
      </c>
      <c r="BR66" s="2" t="n">
        <v>31551.23142347107</v>
      </c>
      <c r="BS66" s="2" t="n">
        <v>813.3618181818182</v>
      </c>
      <c r="BT66" s="2" t="n">
        <v>457.8512396694215</v>
      </c>
      <c r="BU66" s="2" t="n">
        <v>6536.243008264463</v>
      </c>
      <c r="BV66" s="2" t="n">
        <v>7807.456066115703</v>
      </c>
      <c r="BW66" s="2" t="n">
        <v>39358.68748958677</v>
      </c>
      <c r="BX66" s="2" t="n">
        <v>9681.91</v>
      </c>
      <c r="BY66" s="2" t="n">
        <v>779.53</v>
      </c>
      <c r="BZ66" s="2" t="n">
        <v>2345.45</v>
      </c>
      <c r="CA66" s="2" t="n">
        <v>10461.44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1242</v>
      </c>
      <c r="B67" t="inlineStr">
        <is>
          <t>Dworcowa 1, 62-800 Kalisz</t>
        </is>
      </c>
      <c r="C67" t="inlineStr">
        <is>
          <t>Kalisz</t>
        </is>
      </c>
      <c r="D67" t="inlineStr">
        <is>
          <t>ST|40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11675.86</v>
      </c>
      <c r="L67" s="2" t="n">
        <v>971.9072351851853</v>
      </c>
      <c r="M67" s="2" t="n">
        <v>10810.98148148148</v>
      </c>
      <c r="N67" s="2" t="n">
        <v>5625.36</v>
      </c>
      <c r="O67" s="2" t="n">
        <v>5652.98</v>
      </c>
      <c r="P67" s="2" t="n">
        <v>397.52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3146.25</v>
      </c>
      <c r="AD67" s="2" t="n">
        <v>201.0104166666667</v>
      </c>
      <c r="AE67" s="2" t="n">
        <v>2913.194444444444</v>
      </c>
      <c r="AF67" s="2" t="n">
        <v>775.52</v>
      </c>
      <c r="AG67" s="2" t="n">
        <v>2215.9</v>
      </c>
      <c r="AH67" s="2" t="n">
        <v>154.83</v>
      </c>
      <c r="AI67" s="2" t="n">
        <v>878.05</v>
      </c>
      <c r="AJ67" s="2" t="n">
        <v>60.97569444444443</v>
      </c>
      <c r="AK67" s="2" t="n">
        <v>813.0092592592591</v>
      </c>
      <c r="AL67" s="2" t="n">
        <v>204.57</v>
      </c>
      <c r="AM67" s="2" t="n">
        <v>575.78</v>
      </c>
      <c r="AN67" s="2" t="n">
        <v>97.7</v>
      </c>
      <c r="AO67" s="2" t="n">
        <v>6044.05</v>
      </c>
      <c r="AP67" s="2" t="n">
        <v>442.1110648148148</v>
      </c>
      <c r="AQ67" s="2" t="n">
        <v>5596.342592592592</v>
      </c>
      <c r="AR67" s="2" t="n">
        <v>1810.63</v>
      </c>
      <c r="AS67" s="2" t="n">
        <v>3779.13</v>
      </c>
      <c r="AT67" s="2" t="n">
        <v>454.29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21744.21</v>
      </c>
      <c r="BB67" s="2" t="n">
        <v>13328.13</v>
      </c>
      <c r="BC67" s="2">
        <f>F67+L67+R67+X67+AD67+AJ67+AP67+AV67+IF(BE67="",0,BE67)</f>
        <v/>
      </c>
      <c r="BD67" s="2" t="n">
        <v>205.253202</v>
      </c>
      <c r="BE67" s="2" t="n"/>
      <c r="BF67" s="2" t="n">
        <v>20133.52777777778</v>
      </c>
      <c r="BG67" s="2" t="n">
        <v>539.1099999999999</v>
      </c>
      <c r="BH67" s="2" t="n">
        <v>208</v>
      </c>
      <c r="BI67" s="2" t="n">
        <v>31296.94</v>
      </c>
      <c r="BJ67" s="2" t="n">
        <v>88.06198347107438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179.929755</v>
      </c>
      <c r="BQ67" s="2" t="n">
        <v>0</v>
      </c>
      <c r="BR67" s="2" t="n">
        <v>32337.04173847107</v>
      </c>
      <c r="BS67" s="2" t="n">
        <v>813.3618181818182</v>
      </c>
      <c r="BT67" s="2" t="n">
        <v>457.8512396694215</v>
      </c>
      <c r="BU67" s="2" t="n">
        <v>6685.665008264463</v>
      </c>
      <c r="BV67" s="2" t="n">
        <v>7956.878066115702</v>
      </c>
      <c r="BW67" s="2" t="n">
        <v>40293.91980458677</v>
      </c>
      <c r="BX67" s="2" t="n">
        <v>12223.79</v>
      </c>
      <c r="BY67" s="2" t="n">
        <v>1104.34</v>
      </c>
      <c r="BZ67" s="2" t="n">
        <v>8416.079999999998</v>
      </c>
      <c r="CA67" s="2" t="n">
        <v>13328.13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1243</v>
      </c>
      <c r="B68" t="inlineStr">
        <is>
          <t>Garbary 89, 61-757 Poznań</t>
        </is>
      </c>
      <c r="C68" t="inlineStr">
        <is>
          <t>Poznań Garbary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40</v>
      </c>
      <c r="L68" s="2" t="n">
        <v>3.32962962962963</v>
      </c>
      <c r="M68" s="2" t="n">
        <v>37.03703703703704</v>
      </c>
      <c r="N68" s="2" t="n">
        <v>0</v>
      </c>
      <c r="O68" s="2" t="n">
        <v>40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19025.64</v>
      </c>
      <c r="AD68" s="2" t="n">
        <v>1215.527</v>
      </c>
      <c r="AE68" s="2" t="n">
        <v>17616.33333333334</v>
      </c>
      <c r="AF68" s="2" t="n">
        <v>3178.07</v>
      </c>
      <c r="AG68" s="2" t="n">
        <v>15155.53</v>
      </c>
      <c r="AH68" s="2" t="n">
        <v>692.04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2218.35</v>
      </c>
      <c r="AP68" s="2" t="n">
        <v>162.2681944444444</v>
      </c>
      <c r="AQ68" s="2" t="n">
        <v>2054.027777777778</v>
      </c>
      <c r="AR68" s="2" t="n">
        <v>436.06</v>
      </c>
      <c r="AS68" s="2" t="n">
        <v>1714.74</v>
      </c>
      <c r="AT68" s="2" t="n">
        <v>67.55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21283.99000000001</v>
      </c>
      <c r="BB68" s="2" t="n">
        <v>17669.86</v>
      </c>
      <c r="BC68" s="2">
        <f>F68+L68+R68+X68+AD68+AJ68+AP68+AV68+IF(BE68="",0,BE68)</f>
        <v/>
      </c>
      <c r="BD68" s="2" t="n">
        <v>272.115844</v>
      </c>
      <c r="BE68" s="2" t="n"/>
      <c r="BF68" s="2" t="n">
        <v>19707.39814814815</v>
      </c>
      <c r="BG68" s="2" t="n">
        <v>566.73</v>
      </c>
      <c r="BH68" s="2" t="n">
        <v>182</v>
      </c>
      <c r="BI68" s="2" t="n">
        <v>31296.94</v>
      </c>
      <c r="BJ68" s="2" t="n">
        <v>88.06198347107438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238.54311</v>
      </c>
      <c r="BQ68" s="2" t="n">
        <v>0</v>
      </c>
      <c r="BR68" s="2" t="n">
        <v>32397.27509347107</v>
      </c>
      <c r="BS68" s="2" t="n">
        <v>813.3618181818182</v>
      </c>
      <c r="BT68" s="2" t="n">
        <v>457.8512396694215</v>
      </c>
      <c r="BU68" s="2" t="n">
        <v>6685.989008264462</v>
      </c>
      <c r="BV68" s="2" t="n">
        <v>7957.202066115702</v>
      </c>
      <c r="BW68" s="2" t="n">
        <v>40354.47715958677</v>
      </c>
      <c r="BX68" s="2" t="n">
        <v>16910.27</v>
      </c>
      <c r="BY68" s="2" t="n">
        <v>759.5899999999999</v>
      </c>
      <c r="BZ68" s="2" t="n">
        <v>3614.13</v>
      </c>
      <c r="CA68" s="2" t="n">
        <v>17669.86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1244</v>
      </c>
      <c r="B69" t="inlineStr">
        <is>
          <t>Dworcowa 7, 62-200 Gniezno</t>
        </is>
      </c>
      <c r="C69" t="inlineStr">
        <is>
          <t>Gniezno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18496.08</v>
      </c>
      <c r="L69" s="2" t="n">
        <v>1539.6274</v>
      </c>
      <c r="M69" s="2" t="n">
        <v>17126</v>
      </c>
      <c r="N69" s="2" t="n">
        <v>3200.6</v>
      </c>
      <c r="O69" s="2" t="n">
        <v>14605.63</v>
      </c>
      <c r="P69" s="2" t="n">
        <v>689.85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16246.45</v>
      </c>
      <c r="AD69" s="2" t="n">
        <v>1037.967638888889</v>
      </c>
      <c r="AE69" s="2" t="n">
        <v>15043.00925925926</v>
      </c>
      <c r="AF69" s="2" t="n">
        <v>4516.85</v>
      </c>
      <c r="AG69" s="2" t="n">
        <v>11000.7</v>
      </c>
      <c r="AH69" s="2" t="n">
        <v>728.9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6497.55</v>
      </c>
      <c r="AP69" s="2" t="n">
        <v>475.28375</v>
      </c>
      <c r="AQ69" s="2" t="n">
        <v>6016.25</v>
      </c>
      <c r="AR69" s="2" t="n">
        <v>1522.18</v>
      </c>
      <c r="AS69" s="2" t="n">
        <v>4856.37</v>
      </c>
      <c r="AT69" s="2" t="n">
        <v>119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41240.08</v>
      </c>
      <c r="BB69" s="2" t="n">
        <v>32000.45</v>
      </c>
      <c r="BC69" s="2">
        <f>F69+L69+R69+X69+AD69+AJ69+AP69+AV69+IF(BE69="",0,BE69)</f>
        <v/>
      </c>
      <c r="BD69" s="2" t="n">
        <v>492.80693</v>
      </c>
      <c r="BE69" s="2" t="n"/>
      <c r="BF69" s="2" t="n">
        <v>38185.25925925926</v>
      </c>
      <c r="BG69" s="2" t="n">
        <v>560.321</v>
      </c>
      <c r="BH69" s="2" t="n">
        <v>0</v>
      </c>
      <c r="BI69" s="2" t="n">
        <v>31296.94</v>
      </c>
      <c r="BJ69" s="2" t="n">
        <v>88.06198347107438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432.006075</v>
      </c>
      <c r="BQ69" s="2" t="n">
        <v>0</v>
      </c>
      <c r="BR69" s="2" t="n">
        <v>32402.32905847107</v>
      </c>
      <c r="BS69" s="2" t="n">
        <v>813.3618181818182</v>
      </c>
      <c r="BT69" s="2" t="n">
        <v>457.8512396694215</v>
      </c>
      <c r="BU69" s="2" t="n">
        <v>6648.307208264462</v>
      </c>
      <c r="BV69" s="2" t="n">
        <v>7919.520266115702</v>
      </c>
      <c r="BW69" s="2" t="n">
        <v>40321.84932458677</v>
      </c>
      <c r="BX69" s="2" t="n">
        <v>30462.7</v>
      </c>
      <c r="BY69" s="2" t="n">
        <v>1537.75</v>
      </c>
      <c r="BZ69" s="2" t="n">
        <v>9239.630000000001</v>
      </c>
      <c r="CA69" s="2" t="n">
        <v>32000.45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1245</v>
      </c>
      <c r="B70" t="inlineStr">
        <is>
          <t>Plac Dworcowy 1, 80-321 Gdańsk</t>
        </is>
      </c>
      <c r="C70" t="inlineStr">
        <is>
          <t>Gdańsk Oliwa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3995.42</v>
      </c>
      <c r="L70" s="2" t="n">
        <v>332.5817203703704</v>
      </c>
      <c r="M70" s="2" t="n">
        <v>3699.462962962963</v>
      </c>
      <c r="N70" s="2" t="n">
        <v>685.37</v>
      </c>
      <c r="O70" s="2" t="n">
        <v>2915.28</v>
      </c>
      <c r="P70" s="2" t="n">
        <v>394.77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4684.25</v>
      </c>
      <c r="AP70" s="2" t="n">
        <v>342.644212962963</v>
      </c>
      <c r="AQ70" s="2" t="n">
        <v>4337.268518518518</v>
      </c>
      <c r="AR70" s="2" t="n">
        <v>1215.42</v>
      </c>
      <c r="AS70" s="2" t="n">
        <v>3166.6</v>
      </c>
      <c r="AT70" s="2" t="n">
        <v>302.23</v>
      </c>
      <c r="AU70" s="2" t="n">
        <v>1268.15</v>
      </c>
      <c r="AV70" s="2" t="n">
        <v>50.49115740740741</v>
      </c>
      <c r="AW70" s="2" t="n">
        <v>1174.212962962963</v>
      </c>
      <c r="AX70" s="2" t="n">
        <v>361.1</v>
      </c>
      <c r="AY70" s="2" t="n">
        <v>846.65</v>
      </c>
      <c r="AZ70" s="2" t="n">
        <v>60.4</v>
      </c>
      <c r="BA70" s="2" t="n">
        <v>9947.82</v>
      </c>
      <c r="BB70" s="2" t="n">
        <v>7685.93</v>
      </c>
      <c r="BC70" s="2">
        <f>F70+L70+R70+X70+AD70+AJ70+AP70+AV70+IF(BE70="",0,BE70)</f>
        <v/>
      </c>
      <c r="BD70" s="2" t="n">
        <v>118.363322</v>
      </c>
      <c r="BE70" s="2" t="n"/>
      <c r="BF70" s="2" t="n">
        <v>9210.944444444443</v>
      </c>
      <c r="BG70" s="2" t="n">
        <v>560.321</v>
      </c>
      <c r="BH70" s="2" t="n">
        <v>0</v>
      </c>
      <c r="BI70" s="2" t="n">
        <v>31296.94</v>
      </c>
      <c r="BJ70" s="2" t="n">
        <v>88.06198347107438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103.760055</v>
      </c>
      <c r="BQ70" s="2" t="n">
        <v>0</v>
      </c>
      <c r="BR70" s="2" t="n">
        <v>32074.08303847107</v>
      </c>
      <c r="BS70" s="2" t="n">
        <v>813.3618181818182</v>
      </c>
      <c r="BT70" s="2" t="n">
        <v>457.8512396694215</v>
      </c>
      <c r="BU70" s="2" t="n">
        <v>6648.307208264462</v>
      </c>
      <c r="BV70" s="2" t="n">
        <v>7919.520266115702</v>
      </c>
      <c r="BW70" s="2" t="n">
        <v>39993.60330458677</v>
      </c>
      <c r="BX70" s="2" t="n">
        <v>6928.53</v>
      </c>
      <c r="BY70" s="2" t="n">
        <v>757.4</v>
      </c>
      <c r="BZ70" s="2" t="n">
        <v>2261.89</v>
      </c>
      <c r="CA70" s="2" t="n">
        <v>7685.929999999999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1246</v>
      </c>
      <c r="B71" t="inlineStr">
        <is>
          <t>Dworcowa 1, 63-400 Ostrów Wlkp.</t>
        </is>
      </c>
      <c r="C71" t="inlineStr">
        <is>
          <t>Ostrów Wielkopolski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5237.92</v>
      </c>
      <c r="L71" s="2" t="n">
        <v>436.0083407407408</v>
      </c>
      <c r="M71" s="2" t="n">
        <v>4849.925925925926</v>
      </c>
      <c r="N71" s="2" t="n">
        <v>2149.75</v>
      </c>
      <c r="O71" s="2" t="n">
        <v>2710.62</v>
      </c>
      <c r="P71" s="2" t="n">
        <v>377.55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9652.48</v>
      </c>
      <c r="AD71" s="2" t="n">
        <v>616.6862222222221</v>
      </c>
      <c r="AE71" s="2" t="n">
        <v>8937.48148148148</v>
      </c>
      <c r="AF71" s="2" t="n">
        <v>2621.38</v>
      </c>
      <c r="AG71" s="2" t="n">
        <v>6892.2</v>
      </c>
      <c r="AH71" s="2" t="n">
        <v>138.9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10825.46</v>
      </c>
      <c r="AP71" s="2" t="n">
        <v>791.8623518518518</v>
      </c>
      <c r="AQ71" s="2" t="n">
        <v>10023.57407407407</v>
      </c>
      <c r="AR71" s="2" t="n">
        <v>3104.57</v>
      </c>
      <c r="AS71" s="2" t="n">
        <v>7661.42</v>
      </c>
      <c r="AT71" s="2" t="n">
        <v>59.47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25715.86</v>
      </c>
      <c r="BB71" s="2" t="n">
        <v>17840.16</v>
      </c>
      <c r="BC71" s="2">
        <f>F71+L71+R71+X71+AD71+AJ71+AP71+AV71+IF(BE71="",0,BE71)</f>
        <v/>
      </c>
      <c r="BD71" s="2" t="n">
        <v>274.738464</v>
      </c>
      <c r="BE71" s="2" t="n"/>
      <c r="BF71" s="2" t="n">
        <v>23810.98148148148</v>
      </c>
      <c r="BG71" s="2" t="n">
        <v>0</v>
      </c>
      <c r="BH71" s="2" t="n">
        <v>104.3</v>
      </c>
      <c r="BI71" s="2" t="n">
        <v>31296.94</v>
      </c>
      <c r="BJ71" s="2" t="n">
        <v>88.06198347107438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240.84216</v>
      </c>
      <c r="BQ71" s="2" t="n">
        <v>0</v>
      </c>
      <c r="BR71" s="2" t="n">
        <v>31755.14414347107</v>
      </c>
      <c r="BS71" s="2" t="n">
        <v>813.3618181818182</v>
      </c>
      <c r="BT71" s="2" t="n">
        <v>457.8512396694215</v>
      </c>
      <c r="BU71" s="2" t="n">
        <v>6557.103008264462</v>
      </c>
      <c r="BV71" s="2" t="n">
        <v>7828.316066115702</v>
      </c>
      <c r="BW71" s="2" t="n">
        <v>39583.46020958677</v>
      </c>
      <c r="BX71" s="2" t="n">
        <v>17264.24</v>
      </c>
      <c r="BY71" s="2" t="n">
        <v>575.9200000000001</v>
      </c>
      <c r="BZ71" s="2" t="n">
        <v>7875.700000000001</v>
      </c>
      <c r="CA71" s="2" t="n">
        <v>17840.16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1247</v>
      </c>
      <c r="B72" t="inlineStr">
        <is>
          <t>Kujawska 1, 87-100 Toruń</t>
        </is>
      </c>
      <c r="C72" t="inlineStr">
        <is>
          <t>Toruń</t>
        </is>
      </c>
      <c r="D72" t="inlineStr">
        <is>
          <t>FAA2000</t>
        </is>
      </c>
      <c r="E72" s="2" t="n">
        <v>1119.3</v>
      </c>
      <c r="F72" s="2" t="n">
        <v>1000</v>
      </c>
      <c r="G72" s="2" t="n">
        <v>1036.388888888889</v>
      </c>
      <c r="H72" s="2" t="n">
        <v>483.71</v>
      </c>
      <c r="I72" s="2" t="n">
        <v>635.59</v>
      </c>
      <c r="J72" s="2" t="n">
        <v>0</v>
      </c>
      <c r="K72" s="2" t="n">
        <v>5704.83</v>
      </c>
      <c r="L72" s="2" t="n">
        <v>474.8742750000001</v>
      </c>
      <c r="M72" s="2" t="n">
        <v>5282.25</v>
      </c>
      <c r="N72" s="2" t="n">
        <v>1966.95</v>
      </c>
      <c r="O72" s="2" t="n">
        <v>3737.88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9725.860000000001</v>
      </c>
      <c r="AP72" s="2" t="n">
        <v>711.4286481481481</v>
      </c>
      <c r="AQ72" s="2" t="n">
        <v>9005.425925925925</v>
      </c>
      <c r="AR72" s="2" t="n">
        <v>3242.92</v>
      </c>
      <c r="AS72" s="2" t="n">
        <v>6482.94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16549.99</v>
      </c>
      <c r="BB72" s="2" t="n">
        <v>10856.41</v>
      </c>
      <c r="BC72" s="2">
        <f>F72+L72+R72+X72+AD72+AJ72+AP72+AV72+IF(BE72="",0,BE72)</f>
        <v/>
      </c>
      <c r="BD72" s="2" t="n">
        <v>167.188714</v>
      </c>
      <c r="BE72" s="2" t="n"/>
      <c r="BF72" s="2" t="n">
        <v>15324.06481481481</v>
      </c>
      <c r="BG72" s="2" t="n">
        <v>522.53</v>
      </c>
      <c r="BH72" s="2" t="n">
        <v>139</v>
      </c>
      <c r="BI72" s="2" t="n">
        <v>31296.94</v>
      </c>
      <c r="BJ72" s="2" t="n">
        <v>88.06198347107438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146.561535</v>
      </c>
      <c r="BQ72" s="2" t="n">
        <v>0</v>
      </c>
      <c r="BR72" s="2" t="n">
        <v>32218.09351847107</v>
      </c>
      <c r="BS72" s="2" t="n">
        <v>813.3618181818182</v>
      </c>
      <c r="BT72" s="2" t="n">
        <v>457.8512396694215</v>
      </c>
      <c r="BU72" s="2" t="n">
        <v>6668.549008264463</v>
      </c>
      <c r="BV72" s="2" t="n">
        <v>7939.762066115703</v>
      </c>
      <c r="BW72" s="2" t="n">
        <v>40157.85558458677</v>
      </c>
      <c r="BX72" s="2" t="n">
        <v>10856.41</v>
      </c>
      <c r="BY72" s="2" t="n">
        <v>0</v>
      </c>
      <c r="BZ72" s="2" t="n">
        <v>5693.58</v>
      </c>
      <c r="CA72" s="2" t="n">
        <v>10856.41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1248</v>
      </c>
      <c r="B73" t="inlineStr">
        <is>
          <t>Piotrkow Trybunalski</t>
        </is>
      </c>
      <c r="C73" t="inlineStr"/>
      <c r="D73" t="inlineStr"/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254.82</v>
      </c>
      <c r="AJ73" s="2" t="n">
        <v>0</v>
      </c>
      <c r="AK73" s="2" t="n">
        <v>235.9444444444444</v>
      </c>
      <c r="AL73" s="2" t="n">
        <v>91.72</v>
      </c>
      <c r="AM73" s="2" t="n">
        <v>163.1</v>
      </c>
      <c r="AN73" s="2" t="n">
        <v>0</v>
      </c>
      <c r="AO73" s="2" t="n">
        <v>194.57</v>
      </c>
      <c r="AP73" s="2" t="n">
        <v>14.23243518518518</v>
      </c>
      <c r="AQ73" s="2" t="n">
        <v>180.1574074074074</v>
      </c>
      <c r="AR73" s="2" t="n">
        <v>43.64</v>
      </c>
      <c r="AS73" s="2" t="n">
        <v>150.93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449.39</v>
      </c>
      <c r="BB73" s="2" t="n">
        <v>314.03</v>
      </c>
      <c r="BC73" s="2">
        <f>F73+L73+R73+X73+AD73+AJ73+AP73+AV73+IF(BE73="",0,BE73)</f>
        <v/>
      </c>
      <c r="BD73" s="2" t="n">
        <v>4.836062</v>
      </c>
      <c r="BE73" s="2" t="n"/>
      <c r="BF73" s="2" t="n">
        <v>416.1018518518518</v>
      </c>
      <c r="BG73" s="2" t="n">
        <v>553.98</v>
      </c>
      <c r="BH73" s="2" t="n">
        <v>141</v>
      </c>
      <c r="BI73" s="2" t="n">
        <v>31296.94</v>
      </c>
      <c r="BJ73" s="2" t="n">
        <v>88.06198347107438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4.239405</v>
      </c>
      <c r="BQ73" s="2" t="n">
        <v>0</v>
      </c>
      <c r="BR73" s="2" t="n">
        <v>32109.22138847107</v>
      </c>
      <c r="BS73" s="2" t="n">
        <v>813.3618181818182</v>
      </c>
      <c r="BT73" s="2" t="n">
        <v>457.8512396694215</v>
      </c>
      <c r="BU73" s="2" t="n">
        <v>6675.239008264462</v>
      </c>
      <c r="BV73" s="2" t="n">
        <v>7946.452066115702</v>
      </c>
      <c r="BW73" s="2" t="n">
        <v>40055.67345458677</v>
      </c>
      <c r="BX73" s="2" t="n">
        <v>314.03</v>
      </c>
      <c r="BY73" s="2" t="n">
        <v>0</v>
      </c>
      <c r="BZ73" s="2" t="n">
        <v>135.36</v>
      </c>
      <c r="CA73" s="2" t="n">
        <v>314.03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3589.96</v>
      </c>
      <c r="L74" s="2" t="n">
        <v>298.8309296296296</v>
      </c>
      <c r="M74" s="2" t="n">
        <v>3324.037037037037</v>
      </c>
      <c r="N74" s="2" t="n">
        <v>591.9</v>
      </c>
      <c r="O74" s="2" t="n">
        <v>2892.46</v>
      </c>
      <c r="P74" s="2" t="n">
        <v>105.6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6672.86</v>
      </c>
      <c r="AP74" s="2" t="n">
        <v>488.1073518518518</v>
      </c>
      <c r="AQ74" s="2" t="n">
        <v>6178.574074074073</v>
      </c>
      <c r="AR74" s="2" t="n">
        <v>1465.74</v>
      </c>
      <c r="AS74" s="2" t="n">
        <v>4799.24</v>
      </c>
      <c r="AT74" s="2" t="n">
        <v>407.88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10262.82</v>
      </c>
      <c r="BB74" s="2" t="n">
        <v>8205.18</v>
      </c>
      <c r="BC74" s="2">
        <f>F74+L74+R74+X74+AD74+AJ74+AP74+AV74+IF(BE74="",0,BE74)</f>
        <v/>
      </c>
      <c r="BD74" s="2" t="n">
        <v>126.359772</v>
      </c>
      <c r="BE74" s="2" t="n"/>
      <c r="BF74" s="2" t="n">
        <v>9502.611111111109</v>
      </c>
      <c r="BG74" s="2" t="n">
        <v>670.63</v>
      </c>
      <c r="BH74" s="2" t="n">
        <v>167.5</v>
      </c>
      <c r="BI74" s="2" t="n">
        <v>31296.94</v>
      </c>
      <c r="BJ74" s="2" t="n">
        <v>88.06198347107438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110.76993</v>
      </c>
      <c r="BQ74" s="2" t="n">
        <v>0</v>
      </c>
      <c r="BR74" s="2" t="n">
        <v>32358.90191347107</v>
      </c>
      <c r="BS74" s="2" t="n">
        <v>813.3618181818182</v>
      </c>
      <c r="BT74" s="2" t="n">
        <v>457.8512396694215</v>
      </c>
      <c r="BU74" s="2" t="n">
        <v>6703.869008264463</v>
      </c>
      <c r="BV74" s="2" t="n">
        <v>7975.082066115702</v>
      </c>
      <c r="BW74" s="2" t="n">
        <v>40333.98397958677</v>
      </c>
      <c r="BX74" s="2" t="n">
        <v>7691.7</v>
      </c>
      <c r="BY74" s="2" t="n">
        <v>513.48</v>
      </c>
      <c r="BZ74" s="2" t="n">
        <v>2057.64</v>
      </c>
      <c r="CA74" s="2" t="n">
        <v>8205.18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1250</v>
      </c>
      <c r="B75" t="inlineStr">
        <is>
          <t>Radomsko</t>
        </is>
      </c>
      <c r="C75" t="inlineStr">
        <is>
          <t>Karpacz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383.09</v>
      </c>
      <c r="L75" s="2" t="n">
        <v>31.88869537037037</v>
      </c>
      <c r="M75" s="2" t="n">
        <v>354.712962962963</v>
      </c>
      <c r="N75" s="2" t="n">
        <v>110</v>
      </c>
      <c r="O75" s="2" t="n">
        <v>235.35</v>
      </c>
      <c r="P75" s="2" t="n">
        <v>37.74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91.59999999999999</v>
      </c>
      <c r="AJ75" s="2" t="n">
        <v>0</v>
      </c>
      <c r="AK75" s="2" t="n">
        <v>84.81481481481481</v>
      </c>
      <c r="AL75" s="2" t="n">
        <v>39.14</v>
      </c>
      <c r="AM75" s="2" t="n">
        <v>52.46</v>
      </c>
      <c r="AN75" s="2" t="n">
        <v>0</v>
      </c>
      <c r="AO75" s="2" t="n">
        <v>248.33</v>
      </c>
      <c r="AP75" s="2" t="n">
        <v>18.16487962962963</v>
      </c>
      <c r="AQ75" s="2" t="n">
        <v>229.9351851851852</v>
      </c>
      <c r="AR75" s="2" t="n">
        <v>20.56</v>
      </c>
      <c r="AS75" s="2" t="n">
        <v>210.47</v>
      </c>
      <c r="AT75" s="2" t="n">
        <v>17.3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723.0200000000001</v>
      </c>
      <c r="BB75" s="2" t="n">
        <v>553.3199999999999</v>
      </c>
      <c r="BC75" s="2">
        <f>F75+L75+R75+X75+AD75+AJ75+AP75+AV75+IF(BE75="",0,BE75)</f>
        <v/>
      </c>
      <c r="BD75" s="2" t="n">
        <v>8.521128000000001</v>
      </c>
      <c r="BE75" s="2" t="n"/>
      <c r="BF75" s="2" t="n">
        <v>669.462962962963</v>
      </c>
      <c r="BG75" s="2" t="n">
        <v>736.6799999999999</v>
      </c>
      <c r="BH75" s="2" t="n">
        <v>38.25</v>
      </c>
      <c r="BI75" s="2" t="n">
        <v>31296.94</v>
      </c>
      <c r="BJ75" s="2" t="n">
        <v>88.06198347107438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7.46982</v>
      </c>
      <c r="BQ75" s="2" t="n">
        <v>0</v>
      </c>
      <c r="BR75" s="2" t="n">
        <v>32192.40180347107</v>
      </c>
      <c r="BS75" s="2" t="n">
        <v>813.3618181818182</v>
      </c>
      <c r="BT75" s="2" t="n">
        <v>457.8512396694215</v>
      </c>
      <c r="BU75" s="2" t="n">
        <v>6691.229008264463</v>
      </c>
      <c r="BV75" s="2" t="n">
        <v>7962.442066115703</v>
      </c>
      <c r="BW75" s="2" t="n">
        <v>40154.84386958677</v>
      </c>
      <c r="BX75" s="2" t="n">
        <v>498.28</v>
      </c>
      <c r="BY75" s="2" t="n">
        <v>55.04000000000001</v>
      </c>
      <c r="BZ75" s="2" t="n">
        <v>169.7</v>
      </c>
      <c r="CA75" s="2" t="n">
        <v>553.3199999999999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1251</v>
      </c>
      <c r="B76" t="inlineStr">
        <is>
          <t>Kielce</t>
        </is>
      </c>
      <c r="C76" t="inlineStr"/>
      <c r="D76" t="inlineStr"/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10603.71</v>
      </c>
      <c r="L76" s="2" t="n">
        <v>882.6606749999999</v>
      </c>
      <c r="M76" s="2" t="n">
        <v>9818.249999999998</v>
      </c>
      <c r="N76" s="2" t="n">
        <v>2835.32</v>
      </c>
      <c r="O76" s="2" t="n">
        <v>7398.58</v>
      </c>
      <c r="P76" s="2" t="n">
        <v>369.81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10596.26</v>
      </c>
      <c r="AP76" s="2" t="n">
        <v>775.0967962962964</v>
      </c>
      <c r="AQ76" s="2" t="n">
        <v>9811.351851851852</v>
      </c>
      <c r="AR76" s="2" t="n">
        <v>3567.92</v>
      </c>
      <c r="AS76" s="2" t="n">
        <v>6761.92</v>
      </c>
      <c r="AT76" s="2" t="n">
        <v>266.42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21199.97</v>
      </c>
      <c r="BB76" s="2" t="n">
        <v>14796.73</v>
      </c>
      <c r="BC76" s="2">
        <f>F76+L76+R76+X76+AD76+AJ76+AP76+AV76+IF(BE76="",0,BE76)</f>
        <v/>
      </c>
      <c r="BD76" s="2" t="n">
        <v>227.869642</v>
      </c>
      <c r="BE76" s="2" t="n"/>
      <c r="BF76" s="2" t="n">
        <v>19629.60185185185</v>
      </c>
      <c r="BG76" s="2" t="n">
        <v>500</v>
      </c>
      <c r="BH76" s="2" t="n">
        <v>238</v>
      </c>
      <c r="BI76" s="2" t="n">
        <v>31296.94</v>
      </c>
      <c r="BJ76" s="2" t="n">
        <v>88.06198347107438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199.755855</v>
      </c>
      <c r="BQ76" s="2" t="n">
        <v>0</v>
      </c>
      <c r="BR76" s="2" t="n">
        <v>32347.75783847107</v>
      </c>
      <c r="BS76" s="2" t="n">
        <v>813.3618181818182</v>
      </c>
      <c r="BT76" s="2" t="n">
        <v>457.8512396694215</v>
      </c>
      <c r="BU76" s="2" t="n">
        <v>6683.843008264463</v>
      </c>
      <c r="BV76" s="2" t="n">
        <v>7955.056066115702</v>
      </c>
      <c r="BW76" s="2" t="n">
        <v>40302.81390458677</v>
      </c>
      <c r="BX76" s="2" t="n">
        <v>14160.5</v>
      </c>
      <c r="BY76" s="2" t="n">
        <v>636.23</v>
      </c>
      <c r="BZ76" s="2" t="n">
        <v>6403.24</v>
      </c>
      <c r="CA76" s="2" t="n">
        <v>14796.73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9552.42</v>
      </c>
      <c r="L77" s="2" t="n">
        <v>795.1505166666666</v>
      </c>
      <c r="M77" s="2" t="n">
        <v>8844.833333333332</v>
      </c>
      <c r="N77" s="2" t="n">
        <v>2284.18</v>
      </c>
      <c r="O77" s="2" t="n">
        <v>7123.52</v>
      </c>
      <c r="P77" s="2" t="n">
        <v>144.72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11140.25</v>
      </c>
      <c r="AP77" s="2" t="n">
        <v>814.8886574074073</v>
      </c>
      <c r="AQ77" s="2" t="n">
        <v>10315.0462962963</v>
      </c>
      <c r="AR77" s="2" t="n">
        <v>3136.82</v>
      </c>
      <c r="AS77" s="2" t="n">
        <v>7660.15</v>
      </c>
      <c r="AT77" s="2" t="n">
        <v>343.28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20692.67</v>
      </c>
      <c r="BB77" s="2" t="n">
        <v>15271.67</v>
      </c>
      <c r="BC77" s="2">
        <f>F77+L77+R77+X77+AD77+AJ77+AP77+AV77+IF(BE77="",0,BE77)</f>
        <v/>
      </c>
      <c r="BD77" s="2" t="n">
        <v>235.183718</v>
      </c>
      <c r="BE77" s="2" t="n"/>
      <c r="BF77" s="2" t="n">
        <v>19159.87962962963</v>
      </c>
      <c r="BG77" s="2" t="n">
        <v>228</v>
      </c>
      <c r="BH77" s="2" t="n">
        <v>0</v>
      </c>
      <c r="BI77" s="2" t="n">
        <v>31296.94</v>
      </c>
      <c r="BJ77" s="2" t="n">
        <v>88.06198347107438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206.167545</v>
      </c>
      <c r="BQ77" s="2" t="n">
        <v>0</v>
      </c>
      <c r="BR77" s="2" t="n">
        <v>31844.16952847107</v>
      </c>
      <c r="BS77" s="2" t="n">
        <v>813.3618181818182</v>
      </c>
      <c r="BT77" s="2" t="n">
        <v>457.8512396694215</v>
      </c>
      <c r="BU77" s="2" t="n">
        <v>6581.843008264463</v>
      </c>
      <c r="BV77" s="2" t="n">
        <v>7853.056066115702</v>
      </c>
      <c r="BW77" s="2" t="n">
        <v>39697.22559458677</v>
      </c>
      <c r="BX77" s="2" t="n">
        <v>14783.67</v>
      </c>
      <c r="BY77" s="2" t="n">
        <v>488</v>
      </c>
      <c r="BZ77" s="2" t="n">
        <v>5421</v>
      </c>
      <c r="CA77" s="2" t="n">
        <v>15271.67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1253</v>
      </c>
      <c r="B78" t="inlineStr">
        <is>
          <t>Opole</t>
        </is>
      </c>
      <c r="C78" t="inlineStr"/>
      <c r="D78" t="inlineStr"/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3957.77</v>
      </c>
      <c r="L78" s="2" t="n">
        <v>329.4477064814815</v>
      </c>
      <c r="M78" s="2" t="n">
        <v>3664.601851851852</v>
      </c>
      <c r="N78" s="2" t="n">
        <v>936.96</v>
      </c>
      <c r="O78" s="2" t="n">
        <v>2824.87</v>
      </c>
      <c r="P78" s="2" t="n">
        <v>195.94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6125.53</v>
      </c>
      <c r="AP78" s="2" t="n">
        <v>448.0711759259259</v>
      </c>
      <c r="AQ78" s="2" t="n">
        <v>5671.787037037036</v>
      </c>
      <c r="AR78" s="2" t="n">
        <v>1966.72</v>
      </c>
      <c r="AS78" s="2" t="n">
        <v>4074.49</v>
      </c>
      <c r="AT78" s="2" t="n">
        <v>84.31999999999999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10083.3</v>
      </c>
      <c r="BB78" s="2" t="n">
        <v>7179.619999999999</v>
      </c>
      <c r="BC78" s="2">
        <f>F78+L78+R78+X78+AD78+AJ78+AP78+AV78+IF(BE78="",0,BE78)</f>
        <v/>
      </c>
      <c r="BD78" s="2" t="n">
        <v>110.566148</v>
      </c>
      <c r="BE78" s="2" t="n"/>
      <c r="BF78" s="2" t="n">
        <v>9336.388888888889</v>
      </c>
      <c r="BG78" s="2" t="n">
        <v>0</v>
      </c>
      <c r="BH78" s="2" t="n">
        <v>0</v>
      </c>
      <c r="BI78" s="2" t="n">
        <v>31296.94</v>
      </c>
      <c r="BJ78" s="2" t="n">
        <v>88.06198347107438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96.92487</v>
      </c>
      <c r="BQ78" s="2" t="n">
        <v>0</v>
      </c>
      <c r="BR78" s="2" t="n">
        <v>31506.92685347107</v>
      </c>
      <c r="BS78" s="2" t="n">
        <v>813.3618181818182</v>
      </c>
      <c r="BT78" s="2" t="n">
        <v>457.8512396694215</v>
      </c>
      <c r="BU78" s="2" t="n">
        <v>6536.243008264463</v>
      </c>
      <c r="BV78" s="2" t="n">
        <v>7807.456066115703</v>
      </c>
      <c r="BW78" s="2" t="n">
        <v>39314.38291958677</v>
      </c>
      <c r="BX78" s="2" t="n">
        <v>6899.36</v>
      </c>
      <c r="BY78" s="2" t="n">
        <v>280.26</v>
      </c>
      <c r="BZ78" s="2" t="n">
        <v>2903.68</v>
      </c>
      <c r="CA78" s="2" t="n">
        <v>7179.62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1254</v>
      </c>
      <c r="B79" t="inlineStr">
        <is>
          <t>Stacyjna 5, 53-600 Wrocław</t>
        </is>
      </c>
      <c r="C79" t="inlineStr">
        <is>
          <t>Wrocław Mikołajów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4968.07</v>
      </c>
      <c r="L79" s="2" t="n">
        <v>413.5458268518518</v>
      </c>
      <c r="M79" s="2" t="n">
        <v>4600.064814814814</v>
      </c>
      <c r="N79" s="2" t="n">
        <v>1283.69</v>
      </c>
      <c r="O79" s="2" t="n">
        <v>3349.38</v>
      </c>
      <c r="P79" s="2" t="n">
        <v>335</v>
      </c>
      <c r="Q79" s="2" t="n">
        <v>12208.15</v>
      </c>
      <c r="R79" s="2" t="n">
        <v>1600</v>
      </c>
      <c r="S79" s="2" t="n">
        <v>11303.84259259259</v>
      </c>
      <c r="T79" s="2" t="n">
        <v>2514.72</v>
      </c>
      <c r="U79" s="2" t="n">
        <v>9152.26</v>
      </c>
      <c r="V79" s="2" t="n">
        <v>541.17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9621.16</v>
      </c>
      <c r="AP79" s="2" t="n">
        <v>703.7700370370369</v>
      </c>
      <c r="AQ79" s="2" t="n">
        <v>8908.48148148148</v>
      </c>
      <c r="AR79" s="2" t="n">
        <v>1849.04</v>
      </c>
      <c r="AS79" s="2" t="n">
        <v>7302.76</v>
      </c>
      <c r="AT79" s="2" t="n">
        <v>469.36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26797.38</v>
      </c>
      <c r="BB79" s="2" t="n">
        <v>21149.93</v>
      </c>
      <c r="BC79" s="2">
        <f>F79+L79+R79+X79+AD79+AJ79+AP79+AV79+IF(BE79="",0,BE79)</f>
        <v/>
      </c>
      <c r="BD79" s="2" t="n">
        <v>325.708922</v>
      </c>
      <c r="BE79" s="2" t="n"/>
      <c r="BF79" s="2" t="n">
        <v>24812.38888888888</v>
      </c>
      <c r="BG79" s="2" t="n">
        <v>0</v>
      </c>
      <c r="BH79" s="2" t="n">
        <v>350.37</v>
      </c>
      <c r="BI79" s="2" t="n">
        <v>31296.94</v>
      </c>
      <c r="BJ79" s="2" t="n">
        <v>88.06198347107438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285.524055</v>
      </c>
      <c r="BQ79" s="2" t="n">
        <v>0</v>
      </c>
      <c r="BR79" s="2" t="n">
        <v>32045.89603847107</v>
      </c>
      <c r="BS79" s="2" t="n">
        <v>813.3618181818182</v>
      </c>
      <c r="BT79" s="2" t="n">
        <v>457.8512396694215</v>
      </c>
      <c r="BU79" s="2" t="n">
        <v>6606.317008264462</v>
      </c>
      <c r="BV79" s="2" t="n">
        <v>7877.530066115702</v>
      </c>
      <c r="BW79" s="2" t="n">
        <v>39923.42610458678</v>
      </c>
      <c r="BX79" s="2" t="n">
        <v>19804.4</v>
      </c>
      <c r="BY79" s="2" t="n">
        <v>1345.53</v>
      </c>
      <c r="BZ79" s="2" t="n">
        <v>5647.45</v>
      </c>
      <c r="CA79" s="2" t="n">
        <v>21149.93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1255</v>
      </c>
      <c r="B80" t="inlineStr">
        <is>
          <t>Zabrze</t>
        </is>
      </c>
      <c r="C80" t="inlineStr"/>
      <c r="D80" t="inlineStr"/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6342.51</v>
      </c>
      <c r="L80" s="2" t="n">
        <v>527.9552305555555</v>
      </c>
      <c r="M80" s="2" t="n">
        <v>5872.694444444444</v>
      </c>
      <c r="N80" s="2" t="n">
        <v>1766.79</v>
      </c>
      <c r="O80" s="2" t="n">
        <v>4247.1</v>
      </c>
      <c r="P80" s="2" t="n">
        <v>328.62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6342.51</v>
      </c>
      <c r="BB80" s="2" t="n">
        <v>4575.72</v>
      </c>
      <c r="BC80" s="2">
        <f>F80+L80+R80+X80+AD80+AJ80+AP80+AV80+IF(BE80="",0,BE80)</f>
        <v/>
      </c>
      <c r="BD80" s="2" t="n">
        <v>70.466088</v>
      </c>
      <c r="BE80" s="2" t="n"/>
      <c r="BF80" s="2" t="n">
        <v>5872.694444444444</v>
      </c>
      <c r="BG80" s="2" t="n">
        <v>141.2</v>
      </c>
      <c r="BH80" s="2" t="n">
        <v>292.11</v>
      </c>
      <c r="BI80" s="2" t="n">
        <v>31296.94</v>
      </c>
      <c r="BJ80" s="2" t="n">
        <v>88.06198347107438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61.77222</v>
      </c>
      <c r="BQ80" s="2" t="n">
        <v>0</v>
      </c>
      <c r="BR80" s="2" t="n">
        <v>31905.08420347107</v>
      </c>
      <c r="BS80" s="2" t="n">
        <v>813.3618181818182</v>
      </c>
      <c r="BT80" s="2" t="n">
        <v>457.8512396694215</v>
      </c>
      <c r="BU80" s="2" t="n">
        <v>6622.905008264463</v>
      </c>
      <c r="BV80" s="2" t="n">
        <v>7894.118066115702</v>
      </c>
      <c r="BW80" s="2" t="n">
        <v>39799.20226958678</v>
      </c>
      <c r="BX80" s="2" t="n">
        <v>4247.1</v>
      </c>
      <c r="BY80" s="2" t="n">
        <v>328.62</v>
      </c>
      <c r="BZ80" s="2" t="n">
        <v>1766.79</v>
      </c>
      <c r="CA80" s="2" t="n">
        <v>4575.72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1256</v>
      </c>
      <c r="B81" t="inlineStr">
        <is>
          <t>Dworcowa 2, 61-801 Poznań</t>
        </is>
      </c>
      <c r="C81" t="inlineStr">
        <is>
          <t>Poznań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1740.87</v>
      </c>
      <c r="L81" s="2" t="n">
        <v>144.9113083333333</v>
      </c>
      <c r="M81" s="2" t="n">
        <v>1611.916666666667</v>
      </c>
      <c r="N81" s="2" t="n">
        <v>266.39</v>
      </c>
      <c r="O81" s="2" t="n">
        <v>1266.98</v>
      </c>
      <c r="P81" s="2" t="n">
        <v>207.5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3530.26</v>
      </c>
      <c r="AD81" s="2" t="n">
        <v>225.5443888888889</v>
      </c>
      <c r="AE81" s="2" t="n">
        <v>3268.759259259259</v>
      </c>
      <c r="AF81" s="2" t="n">
        <v>653.55</v>
      </c>
      <c r="AG81" s="2" t="n">
        <v>2768.48</v>
      </c>
      <c r="AH81" s="2" t="n">
        <v>108.23</v>
      </c>
      <c r="AI81" s="2" t="n">
        <v>45.1</v>
      </c>
      <c r="AJ81" s="2" t="n">
        <v>3.131944444444444</v>
      </c>
      <c r="AK81" s="2" t="n">
        <v>41.75925925925926</v>
      </c>
      <c r="AL81" s="2" t="n">
        <v>0</v>
      </c>
      <c r="AM81" s="2" t="n">
        <v>45.1</v>
      </c>
      <c r="AN81" s="2" t="n">
        <v>0</v>
      </c>
      <c r="AO81" s="2" t="n">
        <v>1504.69</v>
      </c>
      <c r="AP81" s="2" t="n">
        <v>110.065287037037</v>
      </c>
      <c r="AQ81" s="2" t="n">
        <v>1393.231481481482</v>
      </c>
      <c r="AR81" s="2" t="n">
        <v>203.22</v>
      </c>
      <c r="AS81" s="2" t="n">
        <v>1254.66</v>
      </c>
      <c r="AT81" s="2" t="n">
        <v>46.81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6820.92</v>
      </c>
      <c r="BB81" s="2" t="n">
        <v>5697.760000000001</v>
      </c>
      <c r="BC81" s="2">
        <f>F81+L81+R81+X81+AD81+AJ81+AP81+AV81+IF(BE81="",0,BE81)</f>
        <v/>
      </c>
      <c r="BD81" s="2" t="n">
        <v>87.74550400000001</v>
      </c>
      <c r="BE81" s="2" t="n"/>
      <c r="BF81" s="2" t="n">
        <v>6315.666666666666</v>
      </c>
      <c r="BG81" s="2" t="n">
        <v>458.58</v>
      </c>
      <c r="BH81" s="2" t="n">
        <v>0</v>
      </c>
      <c r="BI81" s="2" t="n">
        <v>31296.94</v>
      </c>
      <c r="BJ81" s="2" t="n">
        <v>88.06198347107438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76.91976</v>
      </c>
      <c r="BQ81" s="2" t="n">
        <v>0</v>
      </c>
      <c r="BR81" s="2" t="n">
        <v>31945.50174347108</v>
      </c>
      <c r="BS81" s="2" t="n">
        <v>813.3618181818182</v>
      </c>
      <c r="BT81" s="2" t="n">
        <v>457.8512396694215</v>
      </c>
      <c r="BU81" s="2" t="n">
        <v>6627.959008264464</v>
      </c>
      <c r="BV81" s="2" t="n">
        <v>7899.172066115703</v>
      </c>
      <c r="BW81" s="2" t="n">
        <v>39844.67380958678</v>
      </c>
      <c r="BX81" s="2" t="n">
        <v>5335.22</v>
      </c>
      <c r="BY81" s="2" t="n">
        <v>362.54</v>
      </c>
      <c r="BZ81" s="2" t="n">
        <v>1123.16</v>
      </c>
      <c r="CA81" s="2" t="n">
        <v>5697.76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1257</v>
      </c>
      <c r="B82" t="inlineStr">
        <is>
          <t>Dworcowa 2, 61-801 Poznań</t>
        </is>
      </c>
      <c r="C82" t="inlineStr">
        <is>
          <t>Poznań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4490.080000000001</v>
      </c>
      <c r="L82" s="2" t="n">
        <v>373.7575851851852</v>
      </c>
      <c r="M82" s="2" t="n">
        <v>4157.481481481482</v>
      </c>
      <c r="N82" s="2" t="n">
        <v>522.01</v>
      </c>
      <c r="O82" s="2" t="n">
        <v>3835.3</v>
      </c>
      <c r="P82" s="2" t="n">
        <v>132.77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5552.26</v>
      </c>
      <c r="AD82" s="2" t="n">
        <v>354.7277222222223</v>
      </c>
      <c r="AE82" s="2" t="n">
        <v>5140.981481481482</v>
      </c>
      <c r="AF82" s="2" t="n">
        <v>1042.2</v>
      </c>
      <c r="AG82" s="2" t="n">
        <v>4183.17</v>
      </c>
      <c r="AH82" s="2" t="n">
        <v>326.89</v>
      </c>
      <c r="AI82" s="2" t="n">
        <v>39.2</v>
      </c>
      <c r="AJ82" s="2" t="n">
        <v>2.722222222222222</v>
      </c>
      <c r="AK82" s="2" t="n">
        <v>36.2962962962963</v>
      </c>
      <c r="AL82" s="2" t="n">
        <v>0</v>
      </c>
      <c r="AM82" s="2" t="n">
        <v>39.2</v>
      </c>
      <c r="AN82" s="2" t="n">
        <v>0</v>
      </c>
      <c r="AO82" s="2" t="n">
        <v>2048.06</v>
      </c>
      <c r="AP82" s="2" t="n">
        <v>149.8117962962963</v>
      </c>
      <c r="AQ82" s="2" t="n">
        <v>1896.351851851852</v>
      </c>
      <c r="AR82" s="2" t="n">
        <v>383.12</v>
      </c>
      <c r="AS82" s="2" t="n">
        <v>1565.88</v>
      </c>
      <c r="AT82" s="2" t="n">
        <v>99.06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12129.6</v>
      </c>
      <c r="BB82" s="2" t="n">
        <v>10182.27</v>
      </c>
      <c r="BC82" s="2">
        <f>F82+L82+R82+X82+AD82+AJ82+AP82+AV82+IF(BE82="",0,BE82)</f>
        <v/>
      </c>
      <c r="BD82" s="2" t="n">
        <v>156.806958</v>
      </c>
      <c r="BE82" s="2" t="n"/>
      <c r="BF82" s="2" t="n">
        <v>11231.11111111111</v>
      </c>
      <c r="BG82" s="2" t="n">
        <v>458.58</v>
      </c>
      <c r="BH82" s="2" t="n">
        <v>0</v>
      </c>
      <c r="BI82" s="2" t="n">
        <v>31296.94</v>
      </c>
      <c r="BJ82" s="2" t="n">
        <v>88.06198347107438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137.460645</v>
      </c>
      <c r="BQ82" s="2" t="n">
        <v>0</v>
      </c>
      <c r="BR82" s="2" t="n">
        <v>32006.04262847107</v>
      </c>
      <c r="BS82" s="2" t="n">
        <v>813.3618181818182</v>
      </c>
      <c r="BT82" s="2" t="n">
        <v>457.8512396694215</v>
      </c>
      <c r="BU82" s="2" t="n">
        <v>6627.959008264464</v>
      </c>
      <c r="BV82" s="2" t="n">
        <v>7899.172066115703</v>
      </c>
      <c r="BW82" s="2" t="n">
        <v>39905.21469458678</v>
      </c>
      <c r="BX82" s="2" t="n">
        <v>9623.549999999999</v>
      </c>
      <c r="BY82" s="2" t="n">
        <v>558.72</v>
      </c>
      <c r="BZ82" s="2" t="n">
        <v>1947.33</v>
      </c>
      <c r="CA82" s="2" t="n">
        <v>10182.27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1259</v>
      </c>
      <c r="B83" t="inlineStr">
        <is>
          <t>Kolejowa 4, 64-020 Czempin</t>
        </is>
      </c>
      <c r="C83" t="inlineStr">
        <is>
          <t>Czempiń</t>
        </is>
      </c>
      <c r="D83" t="inlineStr">
        <is>
          <t>ST|40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26.6</v>
      </c>
      <c r="L83" s="2" t="n">
        <v>2.214203703703704</v>
      </c>
      <c r="M83" s="2" t="n">
        <v>24.62962962962963</v>
      </c>
      <c r="N83" s="2" t="n">
        <v>0</v>
      </c>
      <c r="O83" s="2" t="n">
        <v>26.6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3699.16</v>
      </c>
      <c r="AD83" s="2" t="n">
        <v>236.3352222222222</v>
      </c>
      <c r="AE83" s="2" t="n">
        <v>3425.148148148148</v>
      </c>
      <c r="AF83" s="2" t="n">
        <v>1146.74</v>
      </c>
      <c r="AG83" s="2" t="n">
        <v>2552.42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2843.71</v>
      </c>
      <c r="AP83" s="2" t="n">
        <v>208.0121203703704</v>
      </c>
      <c r="AQ83" s="2" t="n">
        <v>2633.064814814815</v>
      </c>
      <c r="AR83" s="2" t="n">
        <v>620.3</v>
      </c>
      <c r="AS83" s="2" t="n">
        <v>2223.41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6569.469999999999</v>
      </c>
      <c r="BB83" s="2" t="n">
        <v>4802.43</v>
      </c>
      <c r="BC83" s="2">
        <f>F83+L83+R83+X83+AD83+AJ83+AP83+AV83+IF(BE83="",0,BE83)</f>
        <v/>
      </c>
      <c r="BD83" s="2" t="n">
        <v>73.95742200000001</v>
      </c>
      <c r="BE83" s="2" t="n"/>
      <c r="BF83" s="2" t="n">
        <v>6082.842592592592</v>
      </c>
      <c r="BG83" s="2" t="n">
        <v>0</v>
      </c>
      <c r="BH83" s="2" t="n">
        <v>0</v>
      </c>
      <c r="BI83" s="2" t="n">
        <v>31296.94</v>
      </c>
      <c r="BJ83" s="2" t="n">
        <v>88.06198347107438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64.83280499999999</v>
      </c>
      <c r="BQ83" s="2" t="n">
        <v>0</v>
      </c>
      <c r="BR83" s="2" t="n">
        <v>31474.83478847107</v>
      </c>
      <c r="BS83" s="2" t="n">
        <v>813.3618181818182</v>
      </c>
      <c r="BT83" s="2" t="n">
        <v>457.8512396694215</v>
      </c>
      <c r="BU83" s="2" t="n">
        <v>6536.243008264463</v>
      </c>
      <c r="BV83" s="2" t="n">
        <v>7807.456066115703</v>
      </c>
      <c r="BW83" s="2" t="n">
        <v>39282.29085458678</v>
      </c>
      <c r="BX83" s="2" t="n">
        <v>4802.43</v>
      </c>
      <c r="BY83" s="2" t="n">
        <v>0</v>
      </c>
      <c r="BZ83" s="2" t="n">
        <v>1767.04</v>
      </c>
      <c r="CA83" s="2" t="n">
        <v>4802.43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1261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16744.46</v>
      </c>
      <c r="L84" s="2" t="n">
        <v>1393.821253703704</v>
      </c>
      <c r="M84" s="2" t="n">
        <v>15504.12962962963</v>
      </c>
      <c r="N84" s="2" t="n">
        <v>3414.4</v>
      </c>
      <c r="O84" s="2" t="n">
        <v>13207.07</v>
      </c>
      <c r="P84" s="2" t="n">
        <v>122.99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20232.73</v>
      </c>
      <c r="X84" s="2" t="n">
        <v>750</v>
      </c>
      <c r="Y84" s="2" t="n">
        <v>18734.00925925926</v>
      </c>
      <c r="Z84" s="2" t="n">
        <v>2326.25</v>
      </c>
      <c r="AA84" s="2" t="n">
        <v>17716.47</v>
      </c>
      <c r="AB84" s="2" t="n">
        <v>190.01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7166.349999999999</v>
      </c>
      <c r="AP84" s="2" t="n">
        <v>524.2052314814814</v>
      </c>
      <c r="AQ84" s="2" t="n">
        <v>6635.509259259258</v>
      </c>
      <c r="AR84" s="2" t="n">
        <v>1111.42</v>
      </c>
      <c r="AS84" s="2" t="n">
        <v>5706.73</v>
      </c>
      <c r="AT84" s="2" t="n">
        <v>348.2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44143.54</v>
      </c>
      <c r="BB84" s="2" t="n">
        <v>37291.47</v>
      </c>
      <c r="BC84" s="2">
        <f>F84+L84+R84+X84+AD84+AJ84+AP84+AV84+IF(BE84="",0,BE84)</f>
        <v/>
      </c>
      <c r="BD84" s="2" t="n">
        <v>540.2663259999999</v>
      </c>
      <c r="BE84" s="2" t="n"/>
      <c r="BF84" s="2" t="n">
        <v>40873.64814814815</v>
      </c>
      <c r="BG84" s="2" t="n">
        <v>1380</v>
      </c>
      <c r="BH84" s="2" t="n">
        <v>0</v>
      </c>
      <c r="BI84" s="2" t="n">
        <v>31296.94</v>
      </c>
      <c r="BJ84" s="2" t="n">
        <v>88.06198347107438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503.434845</v>
      </c>
      <c r="BQ84" s="2" t="n">
        <v>0</v>
      </c>
      <c r="BR84" s="2" t="n">
        <v>33293.43682847107</v>
      </c>
      <c r="BS84" s="2" t="n">
        <v>813.3618181818182</v>
      </c>
      <c r="BT84" s="2" t="n">
        <v>457.8512396694215</v>
      </c>
      <c r="BU84" s="2" t="n">
        <v>6812.243008264463</v>
      </c>
      <c r="BV84" s="2" t="n">
        <v>8083.456066115703</v>
      </c>
      <c r="BW84" s="2" t="n">
        <v>41376.89289458677</v>
      </c>
      <c r="BX84" s="2" t="n">
        <v>36630.27</v>
      </c>
      <c r="BY84" s="2" t="n">
        <v>661.2</v>
      </c>
      <c r="BZ84" s="2" t="n">
        <v>6852.07</v>
      </c>
      <c r="CA84" s="2" t="n">
        <v>37291.47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1262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14577</v>
      </c>
      <c r="L85" s="2" t="n">
        <v>1213.400277777778</v>
      </c>
      <c r="M85" s="2" t="n">
        <v>13497.22222222222</v>
      </c>
      <c r="N85" s="2" t="n">
        <v>2944.17</v>
      </c>
      <c r="O85" s="2" t="n">
        <v>10935.36</v>
      </c>
      <c r="P85" s="2" t="n">
        <v>697.47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9859.030000000001</v>
      </c>
      <c r="X85" s="2" t="n">
        <v>750</v>
      </c>
      <c r="Y85" s="2" t="n">
        <v>9128.731481481482</v>
      </c>
      <c r="Z85" s="2" t="n">
        <v>1199.78</v>
      </c>
      <c r="AA85" s="2" t="n">
        <v>8510.65</v>
      </c>
      <c r="AB85" s="2" t="n">
        <v>148.6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5767.31</v>
      </c>
      <c r="AP85" s="2" t="n">
        <v>421.8680462962963</v>
      </c>
      <c r="AQ85" s="2" t="n">
        <v>5340.101851851852</v>
      </c>
      <c r="AR85" s="2" t="n">
        <v>1276.38</v>
      </c>
      <c r="AS85" s="2" t="n">
        <v>4363.43</v>
      </c>
      <c r="AT85" s="2" t="n">
        <v>127.5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30203.34</v>
      </c>
      <c r="BB85" s="2" t="n">
        <v>24783.01</v>
      </c>
      <c r="BC85" s="2">
        <f>F85+L85+R85+X85+AD85+AJ85+AP85+AV85+IF(BE85="",0,BE85)</f>
        <v/>
      </c>
      <c r="BD85" s="2" t="n">
        <v>365.205779</v>
      </c>
      <c r="BE85" s="2" t="n"/>
      <c r="BF85" s="2" t="n">
        <v>27966.05555555555</v>
      </c>
      <c r="BG85" s="2" t="n">
        <v>1380</v>
      </c>
      <c r="BH85" s="2" t="n">
        <v>0</v>
      </c>
      <c r="BI85" s="2" t="n">
        <v>31296.94</v>
      </c>
      <c r="BJ85" s="2" t="n">
        <v>88.06198347107438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334.570635</v>
      </c>
      <c r="BQ85" s="2" t="n">
        <v>0</v>
      </c>
      <c r="BR85" s="2" t="n">
        <v>33124.57261847107</v>
      </c>
      <c r="BS85" s="2" t="n">
        <v>813.3618181818182</v>
      </c>
      <c r="BT85" s="2" t="n">
        <v>457.8512396694215</v>
      </c>
      <c r="BU85" s="2" t="n">
        <v>6812.243008264463</v>
      </c>
      <c r="BV85" s="2" t="n">
        <v>8083.456066115703</v>
      </c>
      <c r="BW85" s="2" t="n">
        <v>41208.02868458677</v>
      </c>
      <c r="BX85" s="2" t="n">
        <v>23809.44</v>
      </c>
      <c r="BY85" s="2" t="n">
        <v>973.5700000000001</v>
      </c>
      <c r="BZ85" s="2" t="n">
        <v>5420.33</v>
      </c>
      <c r="CA85" s="2" t="n">
        <v>24783.01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1263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71985.24000000001</v>
      </c>
      <c r="L86" s="2" t="n">
        <v>5992.104700000001</v>
      </c>
      <c r="M86" s="2" t="n">
        <v>66653</v>
      </c>
      <c r="N86" s="2" t="n">
        <v>7730.6</v>
      </c>
      <c r="O86" s="2" t="n">
        <v>62720.01</v>
      </c>
      <c r="P86" s="2" t="n">
        <v>1534.63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79610.46000000001</v>
      </c>
      <c r="X86" s="2" t="n">
        <v>750</v>
      </c>
      <c r="Y86" s="2" t="n">
        <v>73713.38888888889</v>
      </c>
      <c r="Z86" s="2" t="n">
        <v>7425.5</v>
      </c>
      <c r="AA86" s="2" t="n">
        <v>71624.16</v>
      </c>
      <c r="AB86" s="2" t="n">
        <v>560.8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24292.15</v>
      </c>
      <c r="AP86" s="2" t="n">
        <v>1776.925787037037</v>
      </c>
      <c r="AQ86" s="2" t="n">
        <v>22492.73148148148</v>
      </c>
      <c r="AR86" s="2" t="n">
        <v>3203.24</v>
      </c>
      <c r="AS86" s="2" t="n">
        <v>20556.94</v>
      </c>
      <c r="AT86" s="2" t="n">
        <v>531.97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175887.85</v>
      </c>
      <c r="BB86" s="2" t="n">
        <v>157528.51</v>
      </c>
      <c r="BC86" s="2">
        <f>F86+L86+R86+X86+AD86+AJ86+AP86+AV86+IF(BE86="",0,BE86)</f>
        <v/>
      </c>
      <c r="BD86" s="2" t="n">
        <v>2288.78763</v>
      </c>
      <c r="BE86" s="2" t="n"/>
      <c r="BF86" s="2" t="n">
        <v>162859.1203703704</v>
      </c>
      <c r="BG86" s="2" t="n">
        <v>1380</v>
      </c>
      <c r="BH86" s="2" t="n">
        <v>0</v>
      </c>
      <c r="BI86" s="2" t="n">
        <v>31296.94</v>
      </c>
      <c r="BJ86" s="2" t="n">
        <v>88.06198347107438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2126.634885</v>
      </c>
      <c r="BQ86" s="2" t="n">
        <v>0</v>
      </c>
      <c r="BR86" s="2" t="n">
        <v>34916.63686847107</v>
      </c>
      <c r="BS86" s="2" t="n">
        <v>813.3618181818182</v>
      </c>
      <c r="BT86" s="2" t="n">
        <v>457.8512396694215</v>
      </c>
      <c r="BU86" s="2" t="n">
        <v>6812.243008264463</v>
      </c>
      <c r="BV86" s="2" t="n">
        <v>8083.456066115703</v>
      </c>
      <c r="BW86" s="2" t="n">
        <v>43000.09293458677</v>
      </c>
      <c r="BX86" s="2" t="n">
        <v>154901.11</v>
      </c>
      <c r="BY86" s="2" t="n">
        <v>2627.400000000001</v>
      </c>
      <c r="BZ86" s="2" t="n">
        <v>18359.34</v>
      </c>
      <c r="CA86" s="2" t="n">
        <v>157528.51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1264</v>
      </c>
      <c r="B87" t="inlineStr">
        <is>
          <t>Dworcowa 1, 66-400 Gorzów Wlkp</t>
        </is>
      </c>
      <c r="C87" t="inlineStr">
        <is>
          <t>Gorzów Wielkopolski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2133.02</v>
      </c>
      <c r="L87" s="2" t="n">
        <v>177.5541648148148</v>
      </c>
      <c r="M87" s="2" t="n">
        <v>1975.018518518518</v>
      </c>
      <c r="N87" s="2" t="n">
        <v>678.26</v>
      </c>
      <c r="O87" s="2" t="n">
        <v>1305.56</v>
      </c>
      <c r="P87" s="2" t="n">
        <v>149.2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11145.43</v>
      </c>
      <c r="AP87" s="2" t="n">
        <v>815.2675648148148</v>
      </c>
      <c r="AQ87" s="2" t="n">
        <v>10319.84259259259</v>
      </c>
      <c r="AR87" s="2" t="n">
        <v>3134.54</v>
      </c>
      <c r="AS87" s="2" t="n">
        <v>7036.11</v>
      </c>
      <c r="AT87" s="2" t="n">
        <v>974.78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13278.45</v>
      </c>
      <c r="BB87" s="2" t="n">
        <v>9465.65</v>
      </c>
      <c r="BC87" s="2">
        <f>F87+L87+R87+X87+AD87+AJ87+AP87+AV87+IF(BE87="",0,BE87)</f>
        <v/>
      </c>
      <c r="BD87" s="2" t="n">
        <v>145.77101</v>
      </c>
      <c r="BE87" s="2" t="n"/>
      <c r="BF87" s="2" t="n">
        <v>12294.86111111111</v>
      </c>
      <c r="BG87" s="2" t="n">
        <v>354.21</v>
      </c>
      <c r="BH87" s="2" t="n">
        <v>255</v>
      </c>
      <c r="BI87" s="2" t="n">
        <v>31296.94</v>
      </c>
      <c r="BJ87" s="2" t="n">
        <v>88.06198347107438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127.786275</v>
      </c>
      <c r="BQ87" s="2" t="n">
        <v>0</v>
      </c>
      <c r="BR87" s="2" t="n">
        <v>32146.99825847107</v>
      </c>
      <c r="BS87" s="2" t="n">
        <v>813.3618181818182</v>
      </c>
      <c r="BT87" s="2" t="n">
        <v>457.8512396694215</v>
      </c>
      <c r="BU87" s="2" t="n">
        <v>6658.085008264463</v>
      </c>
      <c r="BV87" s="2" t="n">
        <v>7929.298066115703</v>
      </c>
      <c r="BW87" s="2" t="n">
        <v>40076.29632458677</v>
      </c>
      <c r="BX87" s="2" t="n">
        <v>8341.67</v>
      </c>
      <c r="BY87" s="2" t="n">
        <v>1123.98</v>
      </c>
      <c r="BZ87" s="2" t="n">
        <v>3812.8</v>
      </c>
      <c r="CA87" s="2" t="n">
        <v>9465.65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1265</v>
      </c>
      <c r="B88" t="inlineStr">
        <is>
          <t>pl. Kolejarza 1, 65-024 Zielona Góra</t>
        </is>
      </c>
      <c r="C88" t="inlineStr">
        <is>
          <t>Zielona Góra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3319.07</v>
      </c>
      <c r="L88" s="2" t="n">
        <v>276.2818453703704</v>
      </c>
      <c r="M88" s="2" t="n">
        <v>3073.212962962963</v>
      </c>
      <c r="N88" s="2" t="n">
        <v>1420.87</v>
      </c>
      <c r="O88" s="2" t="n">
        <v>1439.34</v>
      </c>
      <c r="P88" s="2" t="n">
        <v>458.86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4187.740000000001</v>
      </c>
      <c r="AP88" s="2" t="n">
        <v>306.325425925926</v>
      </c>
      <c r="AQ88" s="2" t="n">
        <v>3877.537037037037</v>
      </c>
      <c r="AR88" s="2" t="n">
        <v>2044.21</v>
      </c>
      <c r="AS88" s="2" t="n">
        <v>1805.64</v>
      </c>
      <c r="AT88" s="2" t="n">
        <v>337.89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7506.810000000001</v>
      </c>
      <c r="BB88" s="2" t="n">
        <v>4041.73</v>
      </c>
      <c r="BC88" s="2">
        <f>F88+L88+R88+X88+AD88+AJ88+AP88+AV88+IF(BE88="",0,BE88)</f>
        <v/>
      </c>
      <c r="BD88" s="2" t="n">
        <v>62.242642</v>
      </c>
      <c r="BE88" s="2" t="n"/>
      <c r="BF88" s="2" t="n">
        <v>6950.75</v>
      </c>
      <c r="BG88" s="2" t="n">
        <v>354.21</v>
      </c>
      <c r="BH88" s="2" t="n">
        <v>354.21</v>
      </c>
      <c r="BI88" s="2" t="n">
        <v>31296.94</v>
      </c>
      <c r="BJ88" s="2" t="n">
        <v>88.06198347107438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54.563355</v>
      </c>
      <c r="BQ88" s="2" t="n">
        <v>0</v>
      </c>
      <c r="BR88" s="2" t="n">
        <v>32172.98533847107</v>
      </c>
      <c r="BS88" s="2" t="n">
        <v>813.3618181818182</v>
      </c>
      <c r="BT88" s="2" t="n">
        <v>457.8512396694215</v>
      </c>
      <c r="BU88" s="2" t="n">
        <v>6677.927008264463</v>
      </c>
      <c r="BV88" s="2" t="n">
        <v>7949.140066115702</v>
      </c>
      <c r="BW88" s="2" t="n">
        <v>40122.12540458677</v>
      </c>
      <c r="BX88" s="2" t="n">
        <v>3244.98</v>
      </c>
      <c r="BY88" s="2" t="n">
        <v>796.75</v>
      </c>
      <c r="BZ88" s="2" t="n">
        <v>3465.08</v>
      </c>
      <c r="CA88" s="2" t="n">
        <v>4041.73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1266</v>
      </c>
      <c r="B89" t="inlineStr">
        <is>
          <t>Dworcowa 1, 64-100 Leszno</t>
        </is>
      </c>
      <c r="C89" t="inlineStr">
        <is>
          <t>Leszno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13321.82</v>
      </c>
      <c r="L89" s="2" t="n">
        <v>1108.918164814815</v>
      </c>
      <c r="M89" s="2" t="n">
        <v>12335.01851851852</v>
      </c>
      <c r="N89" s="2" t="n">
        <v>2283.95</v>
      </c>
      <c r="O89" s="2" t="n">
        <v>11037.87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9460.18</v>
      </c>
      <c r="AD89" s="2" t="n">
        <v>604.4003888888889</v>
      </c>
      <c r="AE89" s="2" t="n">
        <v>8759.425925925925</v>
      </c>
      <c r="AF89" s="2" t="n">
        <v>3185.97</v>
      </c>
      <c r="AG89" s="2" t="n">
        <v>6274.21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7233.059999999999</v>
      </c>
      <c r="AP89" s="2" t="n">
        <v>529.0849444444443</v>
      </c>
      <c r="AQ89" s="2" t="n">
        <v>6697.277777777776</v>
      </c>
      <c r="AR89" s="2" t="n">
        <v>1993.15</v>
      </c>
      <c r="AS89" s="2" t="n">
        <v>5239.91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30015.06</v>
      </c>
      <c r="BB89" s="2" t="n">
        <v>22551.99</v>
      </c>
      <c r="BC89" s="2">
        <f>F89+L89+R89+X89+AD89+AJ89+AP89+AV89+IF(BE89="",0,BE89)</f>
        <v/>
      </c>
      <c r="BD89" s="2" t="n">
        <v>347.300646</v>
      </c>
      <c r="BE89" s="2" t="n"/>
      <c r="BF89" s="2" t="n">
        <v>27791.72222222222</v>
      </c>
      <c r="BG89" s="2" t="n">
        <v>0</v>
      </c>
      <c r="BH89" s="2" t="n">
        <v>121.8</v>
      </c>
      <c r="BI89" s="2" t="n">
        <v>31296.94</v>
      </c>
      <c r="BJ89" s="2" t="n">
        <v>88.06198347107438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304.451865</v>
      </c>
      <c r="BQ89" s="2" t="n">
        <v>0</v>
      </c>
      <c r="BR89" s="2" t="n">
        <v>31836.25384847107</v>
      </c>
      <c r="BS89" s="2" t="n">
        <v>813.3618181818182</v>
      </c>
      <c r="BT89" s="2" t="n">
        <v>457.8512396694215</v>
      </c>
      <c r="BU89" s="2" t="n">
        <v>6560.603008264462</v>
      </c>
      <c r="BV89" s="2" t="n">
        <v>7831.816066115702</v>
      </c>
      <c r="BW89" s="2" t="n">
        <v>39668.06991458677</v>
      </c>
      <c r="BX89" s="2" t="n">
        <v>22551.99</v>
      </c>
      <c r="BY89" s="2" t="n">
        <v>0</v>
      </c>
      <c r="BZ89" s="2" t="n">
        <v>7463.07</v>
      </c>
      <c r="CA89" s="2" t="n">
        <v>22551.99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1267</v>
      </c>
      <c r="B90" t="inlineStr">
        <is>
          <t>Pawia 5a, 31-154 Kraków</t>
        </is>
      </c>
      <c r="C90" t="inlineStr">
        <is>
          <t>Kraków Główny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16312.01</v>
      </c>
      <c r="L90" s="2" t="n">
        <v>1357.82379537037</v>
      </c>
      <c r="M90" s="2" t="n">
        <v>15103.71296296296</v>
      </c>
      <c r="N90" s="2" t="n">
        <v>1506.98</v>
      </c>
      <c r="O90" s="2" t="n">
        <v>14529.49</v>
      </c>
      <c r="P90" s="2" t="n">
        <v>275.54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25917.38</v>
      </c>
      <c r="X90" s="2" t="n">
        <v>750</v>
      </c>
      <c r="Y90" s="2" t="n">
        <v>23997.57407407407</v>
      </c>
      <c r="Z90" s="2" t="n">
        <v>2631.7</v>
      </c>
      <c r="AA90" s="2" t="n">
        <v>22898.89</v>
      </c>
      <c r="AB90" s="2" t="n">
        <v>386.79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5053.349999999999</v>
      </c>
      <c r="AP90" s="2" t="n">
        <v>369.6431944444444</v>
      </c>
      <c r="AQ90" s="2" t="n">
        <v>4679.027777777777</v>
      </c>
      <c r="AR90" s="2" t="n">
        <v>1113.78</v>
      </c>
      <c r="AS90" s="2" t="n">
        <v>3763</v>
      </c>
      <c r="AT90" s="2" t="n">
        <v>176.57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47282.74</v>
      </c>
      <c r="BB90" s="2" t="n">
        <v>42030.28</v>
      </c>
      <c r="BC90" s="2">
        <f>F90+L90+R90+X90+AD90+AJ90+AP90+AV90+IF(BE90="",0,BE90)</f>
        <v/>
      </c>
      <c r="BD90" s="2" t="n">
        <v>603.0235200000001</v>
      </c>
      <c r="BE90" s="2" t="n"/>
      <c r="BF90" s="2" t="n">
        <v>43780.31481481482</v>
      </c>
      <c r="BG90" s="2" t="n">
        <v>1020</v>
      </c>
      <c r="BH90" s="2" t="n">
        <v>317.4</v>
      </c>
      <c r="BI90" s="2" t="n">
        <v>31296.94</v>
      </c>
      <c r="BJ90" s="2" t="n">
        <v>88.06198347107438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567.40878</v>
      </c>
      <c r="BQ90" s="2" t="n">
        <v>0</v>
      </c>
      <c r="BR90" s="2" t="n">
        <v>33314.81076347108</v>
      </c>
      <c r="BS90" s="2" t="n">
        <v>813.3618181818182</v>
      </c>
      <c r="BT90" s="2" t="n">
        <v>457.8512396694215</v>
      </c>
      <c r="BU90" s="2" t="n">
        <v>6803.723008264464</v>
      </c>
      <c r="BV90" s="2" t="n">
        <v>8074.936066115703</v>
      </c>
      <c r="BW90" s="2" t="n">
        <v>41389.74682958678</v>
      </c>
      <c r="BX90" s="2" t="n">
        <v>41191.38</v>
      </c>
      <c r="BY90" s="2" t="n">
        <v>838.9000000000001</v>
      </c>
      <c r="BZ90" s="2" t="n">
        <v>5252.46</v>
      </c>
      <c r="CA90" s="2" t="n">
        <v>42030.28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1268</v>
      </c>
      <c r="B91" t="inlineStr">
        <is>
          <t>Kolejowa 5, 83-200 Starogard Gdański</t>
        </is>
      </c>
      <c r="C91" t="inlineStr">
        <is>
          <t>Starogard Gdański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22976.15</v>
      </c>
      <c r="AP91" s="2" t="n">
        <v>4177</v>
      </c>
      <c r="AQ91" s="2" t="n">
        <v>21274.21296296296</v>
      </c>
      <c r="AR91" s="2" t="n">
        <v>7411.49</v>
      </c>
      <c r="AS91" s="2" t="n">
        <v>14655.48</v>
      </c>
      <c r="AT91" s="2" t="n">
        <v>909.1799999999999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22976.15</v>
      </c>
      <c r="BB91" s="2" t="n">
        <v>15564.66</v>
      </c>
      <c r="BC91" s="2">
        <f>F91+L91+R91+X91+AD91+AJ91+AP91+AV91+IF(BE91="",0,BE91)</f>
        <v/>
      </c>
      <c r="BD91" s="2" t="n">
        <v>239.695764</v>
      </c>
      <c r="BE91" s="2" t="n"/>
      <c r="BF91" s="2" t="n">
        <v>21274.21296296296</v>
      </c>
      <c r="BG91" s="2" t="n">
        <v>0</v>
      </c>
      <c r="BH91" s="2" t="n">
        <v>0</v>
      </c>
      <c r="BI91" s="2" t="n">
        <v>31296.94</v>
      </c>
      <c r="BJ91" s="2" t="n">
        <v>88.06198347107438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210.12291</v>
      </c>
      <c r="BQ91" s="2" t="n">
        <v>0</v>
      </c>
      <c r="BR91" s="2" t="n">
        <v>31620.12489347107</v>
      </c>
      <c r="BS91" s="2" t="n">
        <v>813.3618181818182</v>
      </c>
      <c r="BT91" s="2" t="n">
        <v>457.8512396694215</v>
      </c>
      <c r="BU91" s="2" t="n">
        <v>6536.243008264463</v>
      </c>
      <c r="BV91" s="2" t="n">
        <v>7807.456066115703</v>
      </c>
      <c r="BW91" s="2" t="n">
        <v>39427.58095958678</v>
      </c>
      <c r="BX91" s="2" t="n">
        <v>14655.48</v>
      </c>
      <c r="BY91" s="2" t="n">
        <v>909.1799999999999</v>
      </c>
      <c r="BZ91" s="2" t="n">
        <v>7411.49</v>
      </c>
      <c r="CA91" s="2" t="n">
        <v>15564.66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1269</v>
      </c>
      <c r="B92" t="inlineStr">
        <is>
          <t>Podwale Grodzkie 1, 80-895 Gdańsk</t>
        </is>
      </c>
      <c r="C92" t="inlineStr">
        <is>
          <t>Gdańsk Główny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12818.94</v>
      </c>
      <c r="L92" s="2" t="n">
        <v>1067.058061111111</v>
      </c>
      <c r="M92" s="2" t="n">
        <v>11869.38888888889</v>
      </c>
      <c r="N92" s="2" t="n">
        <v>6028.78</v>
      </c>
      <c r="O92" s="2" t="n">
        <v>6633.17</v>
      </c>
      <c r="P92" s="2" t="n">
        <v>156.99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7460.04</v>
      </c>
      <c r="AP92" s="2" t="n">
        <v>545.6881111111111</v>
      </c>
      <c r="AQ92" s="2" t="n">
        <v>6907.444444444444</v>
      </c>
      <c r="AR92" s="2" t="n">
        <v>2840.58</v>
      </c>
      <c r="AS92" s="2" t="n">
        <v>4248.39</v>
      </c>
      <c r="AT92" s="2" t="n">
        <v>371.07</v>
      </c>
      <c r="AU92" s="2" t="n">
        <v>1670.7</v>
      </c>
      <c r="AV92" s="2" t="n">
        <v>66.5186111111111</v>
      </c>
      <c r="AW92" s="2" t="n">
        <v>1546.944444444444</v>
      </c>
      <c r="AX92" s="2" t="n">
        <v>238.2</v>
      </c>
      <c r="AY92" s="2" t="n">
        <v>1373.9</v>
      </c>
      <c r="AZ92" s="2" t="n">
        <v>58.6</v>
      </c>
      <c r="BA92" s="2" t="n">
        <v>21949.68</v>
      </c>
      <c r="BB92" s="2" t="n">
        <v>12842.12</v>
      </c>
      <c r="BC92" s="2">
        <f>F92+L92+R92+X92+AD92+AJ92+AP92+AV92+IF(BE92="",0,BE92)</f>
        <v/>
      </c>
      <c r="BD92" s="2" t="n">
        <v>197.768648</v>
      </c>
      <c r="BE92" s="2" t="n"/>
      <c r="BF92" s="2" t="n">
        <v>20323.77777777778</v>
      </c>
      <c r="BG92" s="2" t="n">
        <v>0</v>
      </c>
      <c r="BH92" s="2" t="n">
        <v>0</v>
      </c>
      <c r="BI92" s="2" t="n">
        <v>31296.94</v>
      </c>
      <c r="BJ92" s="2" t="n">
        <v>88.06198347107438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173.36862</v>
      </c>
      <c r="BQ92" s="2" t="n">
        <v>0</v>
      </c>
      <c r="BR92" s="2" t="n">
        <v>31583.37060347107</v>
      </c>
      <c r="BS92" s="2" t="n">
        <v>813.3618181818182</v>
      </c>
      <c r="BT92" s="2" t="n">
        <v>457.8512396694215</v>
      </c>
      <c r="BU92" s="2" t="n">
        <v>6536.243008264463</v>
      </c>
      <c r="BV92" s="2" t="n">
        <v>7807.456066115703</v>
      </c>
      <c r="BW92" s="2" t="n">
        <v>39390.82666958678</v>
      </c>
      <c r="BX92" s="2" t="n">
        <v>12255.46</v>
      </c>
      <c r="BY92" s="2" t="n">
        <v>586.66</v>
      </c>
      <c r="BZ92" s="2" t="n">
        <v>9107.560000000001</v>
      </c>
      <c r="CA92" s="2" t="n">
        <v>12842.12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1270</v>
      </c>
      <c r="B93" t="inlineStr">
        <is>
          <t>Marii Konopnickiej 10, 10-168 Olsztyn</t>
        </is>
      </c>
      <c r="C93" t="inlineStr">
        <is>
          <t>Olsztyn Zachodni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11678.65</v>
      </c>
      <c r="L93" s="2" t="n">
        <v>972.1394768518519</v>
      </c>
      <c r="M93" s="2" t="n">
        <v>10813.56481481481</v>
      </c>
      <c r="N93" s="2" t="n">
        <v>2957.56</v>
      </c>
      <c r="O93" s="2" t="n">
        <v>8513.639999999999</v>
      </c>
      <c r="P93" s="2" t="n">
        <v>207.45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8173.280000000001</v>
      </c>
      <c r="AP93" s="2" t="n">
        <v>597.8602962962964</v>
      </c>
      <c r="AQ93" s="2" t="n">
        <v>7567.851851851852</v>
      </c>
      <c r="AR93" s="2" t="n">
        <v>2038.52</v>
      </c>
      <c r="AS93" s="2" t="n">
        <v>5777.93</v>
      </c>
      <c r="AT93" s="2" t="n">
        <v>356.83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19851.93</v>
      </c>
      <c r="BB93" s="2" t="n">
        <v>14855.85</v>
      </c>
      <c r="BC93" s="2">
        <f>F93+L93+R93+X93+AD93+AJ93+AP93+AV93+IF(BE93="",0,BE93)</f>
        <v/>
      </c>
      <c r="BD93" s="2" t="n">
        <v>228.78009</v>
      </c>
      <c r="BE93" s="2" t="n"/>
      <c r="BF93" s="2" t="n">
        <v>18381.41666666666</v>
      </c>
      <c r="BG93" s="2" t="n">
        <v>331.08</v>
      </c>
      <c r="BH93" s="2" t="n">
        <v>0</v>
      </c>
      <c r="BI93" s="2" t="n">
        <v>31296.94</v>
      </c>
      <c r="BJ93" s="2" t="n">
        <v>88.06198347107438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200.553975</v>
      </c>
      <c r="BQ93" s="2" t="n">
        <v>0</v>
      </c>
      <c r="BR93" s="2" t="n">
        <v>31941.63595847107</v>
      </c>
      <c r="BS93" s="2" t="n">
        <v>813.3618181818182</v>
      </c>
      <c r="BT93" s="2" t="n">
        <v>457.8512396694215</v>
      </c>
      <c r="BU93" s="2" t="n">
        <v>6602.459008264464</v>
      </c>
      <c r="BV93" s="2" t="n">
        <v>7873.672066115703</v>
      </c>
      <c r="BW93" s="2" t="n">
        <v>39815.30802458677</v>
      </c>
      <c r="BX93" s="2" t="n">
        <v>14291.57</v>
      </c>
      <c r="BY93" s="2" t="n">
        <v>564.28</v>
      </c>
      <c r="BZ93" s="2" t="n">
        <v>4996.08</v>
      </c>
      <c r="CA93" s="2" t="n">
        <v>14855.85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1271</v>
      </c>
      <c r="B94" t="inlineStr">
        <is>
          <t>Zygmunta Augusta 7, 85-082 Bydgoszcz</t>
        </is>
      </c>
      <c r="C94" t="inlineStr">
        <is>
          <t>Bydgoszcz</t>
        </is>
      </c>
      <c r="D94" t="inlineStr">
        <is>
          <t>FAA2000</t>
        </is>
      </c>
      <c r="E94" s="2" t="n">
        <v>6233.139999999999</v>
      </c>
      <c r="F94" s="2" t="n">
        <v>1000</v>
      </c>
      <c r="G94" s="2" t="n">
        <v>5771.425925925925</v>
      </c>
      <c r="H94" s="2" t="n">
        <v>1256.67</v>
      </c>
      <c r="I94" s="2" t="n">
        <v>4684.07</v>
      </c>
      <c r="J94" s="2" t="n">
        <v>292.4</v>
      </c>
      <c r="K94" s="2" t="n">
        <v>14291.18</v>
      </c>
      <c r="L94" s="2" t="n">
        <v>1189.608409259259</v>
      </c>
      <c r="M94" s="2" t="n">
        <v>13232.57407407407</v>
      </c>
      <c r="N94" s="2" t="n">
        <v>3015.8</v>
      </c>
      <c r="O94" s="2" t="n">
        <v>10656.59</v>
      </c>
      <c r="P94" s="2" t="n">
        <v>618.79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17853.63</v>
      </c>
      <c r="AP94" s="2" t="n">
        <v>1305.959972222222</v>
      </c>
      <c r="AQ94" s="2" t="n">
        <v>16531.13888888889</v>
      </c>
      <c r="AR94" s="2" t="n">
        <v>3552.82</v>
      </c>
      <c r="AS94" s="2" t="n">
        <v>12857.94</v>
      </c>
      <c r="AT94" s="2" t="n">
        <v>1442.87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38377.95</v>
      </c>
      <c r="BB94" s="2" t="n">
        <v>30552.66</v>
      </c>
      <c r="BC94" s="2">
        <f>F94+L94+R94+X94+AD94+AJ94+AP94+AV94+IF(BE94="",0,BE94)</f>
        <v/>
      </c>
      <c r="BD94" s="2" t="n">
        <v>470.5109640000001</v>
      </c>
      <c r="BE94" s="2" t="n"/>
      <c r="BF94" s="2" t="n">
        <v>35535.13888888889</v>
      </c>
      <c r="BG94" s="2" t="n">
        <v>368.17</v>
      </c>
      <c r="BH94" s="2" t="n">
        <v>148.23</v>
      </c>
      <c r="BI94" s="2" t="n">
        <v>31296.94</v>
      </c>
      <c r="BJ94" s="2" t="n">
        <v>88.06198347107438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412.46091</v>
      </c>
      <c r="BQ94" s="2" t="n">
        <v>0</v>
      </c>
      <c r="BR94" s="2" t="n">
        <v>32338.86289347108</v>
      </c>
      <c r="BS94" s="2" t="n">
        <v>813.3618181818182</v>
      </c>
      <c r="BT94" s="2" t="n">
        <v>457.8512396694215</v>
      </c>
      <c r="BU94" s="2" t="n">
        <v>6639.523008264463</v>
      </c>
      <c r="BV94" s="2" t="n">
        <v>7910.736066115703</v>
      </c>
      <c r="BW94" s="2" t="n">
        <v>40249.59895958678</v>
      </c>
      <c r="BX94" s="2" t="n">
        <v>28198.6</v>
      </c>
      <c r="BY94" s="2" t="n">
        <v>2354.06</v>
      </c>
      <c r="BZ94" s="2" t="n">
        <v>7825.290000000001</v>
      </c>
      <c r="CA94" s="2" t="n">
        <v>30552.66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1272</v>
      </c>
      <c r="B95" t="inlineStr">
        <is>
          <t>Dworcowa 115, 88-110 Inowrocław</t>
        </is>
      </c>
      <c r="C95" t="inlineStr">
        <is>
          <t>Inowrocław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8698.59</v>
      </c>
      <c r="L95" s="2" t="n">
        <v>724.077075</v>
      </c>
      <c r="M95" s="2" t="n">
        <v>8054.25</v>
      </c>
      <c r="N95" s="2" t="n">
        <v>2833.52</v>
      </c>
      <c r="O95" s="2" t="n">
        <v>5604.42</v>
      </c>
      <c r="P95" s="2" t="n">
        <v>260.65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7450.45</v>
      </c>
      <c r="AP95" s="2" t="n">
        <v>544.9866203703702</v>
      </c>
      <c r="AQ95" s="2" t="n">
        <v>6898.564814814814</v>
      </c>
      <c r="AR95" s="2" t="n">
        <v>3054</v>
      </c>
      <c r="AS95" s="2" t="n">
        <v>3998.79</v>
      </c>
      <c r="AT95" s="2" t="n">
        <v>397.66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16149.04</v>
      </c>
      <c r="BB95" s="2" t="n">
        <v>10261.52</v>
      </c>
      <c r="BC95" s="2">
        <f>F95+L95+R95+X95+AD95+AJ95+AP95+AV95+IF(BE95="",0,BE95)</f>
        <v/>
      </c>
      <c r="BD95" s="2" t="n">
        <v>158.027408</v>
      </c>
      <c r="BE95" s="2" t="n"/>
      <c r="BF95" s="2" t="n">
        <v>14952.81481481481</v>
      </c>
      <c r="BG95" s="2" t="n">
        <v>669.73</v>
      </c>
      <c r="BH95" s="2" t="n">
        <v>146.3</v>
      </c>
      <c r="BI95" s="2" t="n">
        <v>31296.94</v>
      </c>
      <c r="BJ95" s="2" t="n">
        <v>88.06198347107438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138.53052</v>
      </c>
      <c r="BQ95" s="2" t="n">
        <v>0</v>
      </c>
      <c r="BR95" s="2" t="n">
        <v>32364.56250347107</v>
      </c>
      <c r="BS95" s="2" t="n">
        <v>813.3618181818182</v>
      </c>
      <c r="BT95" s="2" t="n">
        <v>457.8512396694215</v>
      </c>
      <c r="BU95" s="2" t="n">
        <v>6699.449008264462</v>
      </c>
      <c r="BV95" s="2" t="n">
        <v>7970.662066115702</v>
      </c>
      <c r="BW95" s="2" t="n">
        <v>40335.22456958678</v>
      </c>
      <c r="BX95" s="2" t="n">
        <v>9603.209999999999</v>
      </c>
      <c r="BY95" s="2" t="n">
        <v>658.3099999999999</v>
      </c>
      <c r="BZ95" s="2" t="n">
        <v>5887.52</v>
      </c>
      <c r="CA95" s="2" t="n">
        <v>10261.52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1273</v>
      </c>
      <c r="B96" t="inlineStr">
        <is>
          <t>Towarowa 5, 84-120 Władysławowo</t>
        </is>
      </c>
      <c r="C96" t="inlineStr">
        <is>
          <t>Władysławowo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222</v>
      </c>
      <c r="L96" s="2" t="n">
        <v>18.47944444444445</v>
      </c>
      <c r="M96" s="2" t="n">
        <v>205.5555555555555</v>
      </c>
      <c r="N96" s="2" t="n">
        <v>0</v>
      </c>
      <c r="O96" s="2" t="n">
        <v>222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7291.549999999999</v>
      </c>
      <c r="AP96" s="2" t="n">
        <v>5475</v>
      </c>
      <c r="AQ96" s="2" t="n">
        <v>6751.435185185184</v>
      </c>
      <c r="AR96" s="2" t="n">
        <v>0</v>
      </c>
      <c r="AS96" s="2" t="n">
        <v>6559.61</v>
      </c>
      <c r="AT96" s="2" t="n">
        <v>731.9400000000001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7513.549999999999</v>
      </c>
      <c r="BB96" s="2" t="n">
        <v>7513.549999999999</v>
      </c>
      <c r="BC96" s="2">
        <f>F96+L96+R96+X96+AD96+AJ96+AP96+AV96+IF(BE96="",0,BE96)</f>
        <v/>
      </c>
      <c r="BD96" s="2" t="n">
        <v>115.70867</v>
      </c>
      <c r="BE96" s="2" t="n"/>
      <c r="BF96" s="2" t="n">
        <v>6956.99074074074</v>
      </c>
      <c r="BG96" s="2" t="n">
        <v>0</v>
      </c>
      <c r="BH96" s="2" t="n">
        <v>0</v>
      </c>
      <c r="BI96" s="2" t="n">
        <v>31296.94</v>
      </c>
      <c r="BJ96" s="2" t="n">
        <v>88.06198347107438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101.432925</v>
      </c>
      <c r="BQ96" s="2" t="n">
        <v>0</v>
      </c>
      <c r="BR96" s="2" t="n">
        <v>31511.43490847107</v>
      </c>
      <c r="BS96" s="2" t="n">
        <v>813.3618181818182</v>
      </c>
      <c r="BT96" s="2" t="n">
        <v>457.8512396694215</v>
      </c>
      <c r="BU96" s="2" t="n">
        <v>6536.243008264463</v>
      </c>
      <c r="BV96" s="2" t="n">
        <v>7807.456066115703</v>
      </c>
      <c r="BW96" s="2" t="n">
        <v>39318.89097458678</v>
      </c>
      <c r="BX96" s="2" t="n">
        <v>6781.61</v>
      </c>
      <c r="BY96" s="2" t="n">
        <v>731.9400000000001</v>
      </c>
      <c r="BZ96" s="2" t="n">
        <v>0</v>
      </c>
      <c r="CA96" s="2" t="n">
        <v>7513.549999999999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1274</v>
      </c>
      <c r="B97" t="inlineStr">
        <is>
          <t>Czersk</t>
        </is>
      </c>
      <c r="C97" t="inlineStr">
        <is>
          <t>Czersk</t>
        </is>
      </c>
      <c r="D97" t="inlineStr">
        <is>
          <t>FAA2000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3327.91</v>
      </c>
      <c r="AP97" s="2" t="n">
        <v>3900</v>
      </c>
      <c r="AQ97" s="2" t="n">
        <v>3081.398148148148</v>
      </c>
      <c r="AR97" s="2" t="n">
        <v>0</v>
      </c>
      <c r="AS97" s="2" t="n">
        <v>3063.11</v>
      </c>
      <c r="AT97" s="2" t="n">
        <v>264.8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3327.91</v>
      </c>
      <c r="BB97" s="2" t="n">
        <v>3327.91</v>
      </c>
      <c r="BC97" s="2">
        <f>F97+L97+R97+X97+AD97+AJ97+AP97+AV97+IF(BE97="",0,BE97)</f>
        <v/>
      </c>
      <c r="BD97" s="2" t="n">
        <v>51.24981400000001</v>
      </c>
      <c r="BE97" s="2" t="n"/>
      <c r="BF97" s="2" t="n">
        <v>3081.398148148148</v>
      </c>
      <c r="BG97" s="2" t="n">
        <v>0</v>
      </c>
      <c r="BH97" s="2" t="n">
        <v>0</v>
      </c>
      <c r="BI97" s="2" t="n">
        <v>31296.94</v>
      </c>
      <c r="BJ97" s="2" t="n">
        <v>88.06198347107438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44.926785</v>
      </c>
      <c r="BQ97" s="2" t="n">
        <v>0</v>
      </c>
      <c r="BR97" s="2" t="n">
        <v>31454.92876847107</v>
      </c>
      <c r="BS97" s="2" t="n">
        <v>813.3618181818182</v>
      </c>
      <c r="BT97" s="2" t="n">
        <v>457.8512396694215</v>
      </c>
      <c r="BU97" s="2" t="n">
        <v>6536.243008264463</v>
      </c>
      <c r="BV97" s="2" t="n">
        <v>7807.456066115703</v>
      </c>
      <c r="BW97" s="2" t="n">
        <v>39262.38483458677</v>
      </c>
      <c r="BX97" s="2" t="n">
        <v>3063.11</v>
      </c>
      <c r="BY97" s="2" t="n">
        <v>264.8</v>
      </c>
      <c r="BZ97" s="2" t="n">
        <v>0</v>
      </c>
      <c r="CA97" s="2" t="n">
        <v>3327.91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1275</v>
      </c>
      <c r="B98" t="inlineStr">
        <is>
          <t>Rzeszow Glowny</t>
        </is>
      </c>
      <c r="C98" t="inlineStr">
        <is>
          <t>Poznań Dębiec</t>
        </is>
      </c>
      <c r="D98" t="inlineStr">
        <is>
          <t>FAA2000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16909.31</v>
      </c>
      <c r="L98" s="2" t="n">
        <v>1407.543489814815</v>
      </c>
      <c r="M98" s="2" t="n">
        <v>15656.76851851852</v>
      </c>
      <c r="N98" s="2" t="n">
        <v>2423.84</v>
      </c>
      <c r="O98" s="2" t="n">
        <v>14106.74</v>
      </c>
      <c r="P98" s="2" t="n">
        <v>378.73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24870.14</v>
      </c>
      <c r="AP98" s="2" t="n">
        <v>1819.204685185185</v>
      </c>
      <c r="AQ98" s="2" t="n">
        <v>23027.90740740741</v>
      </c>
      <c r="AR98" s="2" t="n">
        <v>5180.91</v>
      </c>
      <c r="AS98" s="2" t="n">
        <v>19162.27</v>
      </c>
      <c r="AT98" s="2" t="n">
        <v>526.96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41779.45</v>
      </c>
      <c r="BB98" s="2" t="n">
        <v>34174.7</v>
      </c>
      <c r="BC98" s="2">
        <f>F98+L98+R98+X98+AD98+AJ98+AP98+AV98+IF(BE98="",0,BE98)</f>
        <v/>
      </c>
      <c r="BD98" s="2" t="n">
        <v>526.2903799999999</v>
      </c>
      <c r="BE98" s="2" t="n"/>
      <c r="BF98" s="2" t="n">
        <v>38684.67592592593</v>
      </c>
      <c r="BG98" s="2" t="n">
        <v>0</v>
      </c>
      <c r="BH98" s="2" t="n">
        <v>0</v>
      </c>
      <c r="BI98" s="2" t="n">
        <v>31296.94</v>
      </c>
      <c r="BJ98" s="2" t="n">
        <v>88.06198347107438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461.3584499999999</v>
      </c>
      <c r="BQ98" s="2" t="n">
        <v>0</v>
      </c>
      <c r="BR98" s="2" t="n">
        <v>31871.36043347107</v>
      </c>
      <c r="BS98" s="2" t="n">
        <v>813.3618181818182</v>
      </c>
      <c r="BT98" s="2" t="n">
        <v>457.8512396694215</v>
      </c>
      <c r="BU98" s="2" t="n">
        <v>6536.243008264463</v>
      </c>
      <c r="BV98" s="2" t="n">
        <v>7807.456066115703</v>
      </c>
      <c r="BW98" s="2" t="n">
        <v>39678.81649958678</v>
      </c>
      <c r="BX98" s="2" t="n">
        <v>33269.01</v>
      </c>
      <c r="BY98" s="2" t="n">
        <v>905.6900000000001</v>
      </c>
      <c r="BZ98" s="2" t="n">
        <v>7604.75</v>
      </c>
      <c r="CA98" s="2" t="n">
        <v>34174.7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1276</v>
      </c>
      <c r="B99" t="inlineStr">
        <is>
          <t>GDA-STR</t>
        </is>
      </c>
      <c r="C99" t="inlineStr">
        <is>
          <t>Gdańsk Strzyża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9769.389999999999</v>
      </c>
      <c r="AP99" s="2" t="n">
        <v>0</v>
      </c>
      <c r="AQ99" s="2" t="n">
        <v>9045.73148148148</v>
      </c>
      <c r="AR99" s="2" t="n">
        <v>2168.28</v>
      </c>
      <c r="AS99" s="2" t="n">
        <v>7359.23</v>
      </c>
      <c r="AT99" s="2" t="n">
        <v>241.88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9769.389999999999</v>
      </c>
      <c r="BB99" s="2" t="n">
        <v>7601.11</v>
      </c>
      <c r="BC99" s="2">
        <f>F99+L99+R99+X99+AD99+AJ99+AP99+AV99+IF(BE99="",0,BE99)</f>
        <v/>
      </c>
      <c r="BD99" s="2" t="n">
        <v>117.057094</v>
      </c>
      <c r="BE99" s="2" t="n"/>
      <c r="BF99" s="2" t="n">
        <v>9045.73148148148</v>
      </c>
      <c r="BG99" s="2" t="n">
        <v>0</v>
      </c>
      <c r="BH99" s="2" t="n">
        <v>0</v>
      </c>
      <c r="BI99" s="2" t="n">
        <v>31296.94</v>
      </c>
      <c r="BJ99" s="2" t="n">
        <v>88.06198347107438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102.614985</v>
      </c>
      <c r="BQ99" s="2" t="n">
        <v>0</v>
      </c>
      <c r="BR99" s="2" t="n">
        <v>31512.61696847107</v>
      </c>
      <c r="BS99" s="2" t="n">
        <v>813.3618181818182</v>
      </c>
      <c r="BT99" s="2" t="n">
        <v>457.8512396694215</v>
      </c>
      <c r="BU99" s="2" t="n">
        <v>6536.243008264463</v>
      </c>
      <c r="BV99" s="2" t="n">
        <v>7807.456066115703</v>
      </c>
      <c r="BW99" s="2" t="n">
        <v>39320.07303458678</v>
      </c>
      <c r="BX99" s="2" t="n">
        <v>7359.23</v>
      </c>
      <c r="BY99" s="2" t="n">
        <v>241.88</v>
      </c>
      <c r="BZ99" s="2" t="n">
        <v>2168.28</v>
      </c>
      <c r="CA99" s="2" t="n">
        <v>7601.11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1277</v>
      </c>
      <c r="B100" t="inlineStr">
        <is>
          <t>Plac Konstytucji 1, 81-354 Gdynia</t>
        </is>
      </c>
      <c r="C100" t="inlineStr">
        <is>
          <t>Gdynia Główna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9995.34</v>
      </c>
      <c r="L100" s="2" t="n">
        <v>832.0195055555555</v>
      </c>
      <c r="M100" s="2" t="n">
        <v>9254.944444444443</v>
      </c>
      <c r="N100" s="2" t="n">
        <v>3671.56</v>
      </c>
      <c r="O100" s="2" t="n">
        <v>5843</v>
      </c>
      <c r="P100" s="2" t="n">
        <v>480.78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15589.46</v>
      </c>
      <c r="AP100" s="2" t="n">
        <v>1140.340129629629</v>
      </c>
      <c r="AQ100" s="2" t="n">
        <v>14434.68518518518</v>
      </c>
      <c r="AR100" s="2" t="n">
        <v>4659.08</v>
      </c>
      <c r="AS100" s="2" t="n">
        <v>10642.43</v>
      </c>
      <c r="AT100" s="2" t="n">
        <v>287.95</v>
      </c>
      <c r="AU100" s="2" t="n">
        <v>14040.75</v>
      </c>
      <c r="AV100" s="2" t="n">
        <v>559.0298611111111</v>
      </c>
      <c r="AW100" s="2" t="n">
        <v>13000.69444444445</v>
      </c>
      <c r="AX100" s="2" t="n">
        <v>3185.45</v>
      </c>
      <c r="AY100" s="2" t="n">
        <v>10325.2</v>
      </c>
      <c r="AZ100" s="2" t="n">
        <v>530.1</v>
      </c>
      <c r="BA100" s="2" t="n">
        <v>39625.55</v>
      </c>
      <c r="BB100" s="2" t="n">
        <v>28109.46</v>
      </c>
      <c r="BC100" s="2">
        <f>F100+L100+R100+X100+AD100+AJ100+AP100+AV100+IF(BE100="",0,BE100)</f>
        <v/>
      </c>
      <c r="BD100" s="2" t="n">
        <v>432.885684</v>
      </c>
      <c r="BE100" s="2" t="n"/>
      <c r="BF100" s="2" t="n">
        <v>36690.32407407407</v>
      </c>
      <c r="BG100" s="2" t="n">
        <v>937.59</v>
      </c>
      <c r="BH100" s="2" t="n">
        <v>104</v>
      </c>
      <c r="BI100" s="2" t="n">
        <v>31296.94</v>
      </c>
      <c r="BJ100" s="2" t="n">
        <v>88.06198347107438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379.47771</v>
      </c>
      <c r="BQ100" s="2" t="n">
        <v>0</v>
      </c>
      <c r="BR100" s="2" t="n">
        <v>32831.06969347107</v>
      </c>
      <c r="BS100" s="2" t="n">
        <v>813.3618181818182</v>
      </c>
      <c r="BT100" s="2" t="n">
        <v>457.8512396694215</v>
      </c>
      <c r="BU100" s="2" t="n">
        <v>6744.561008264463</v>
      </c>
      <c r="BV100" s="2" t="n">
        <v>8015.774066115702</v>
      </c>
      <c r="BW100" s="2" t="n">
        <v>40846.84375958677</v>
      </c>
      <c r="BX100" s="2" t="n">
        <v>26810.63</v>
      </c>
      <c r="BY100" s="2" t="n">
        <v>1298.83</v>
      </c>
      <c r="BZ100" s="2" t="n">
        <v>11516.09</v>
      </c>
      <c r="CA100" s="2" t="n">
        <v>28109.46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1278</v>
      </c>
      <c r="B101" t="inlineStr">
        <is>
          <t>Plac Konstytucji 1, 81-354 Gdynia</t>
        </is>
      </c>
      <c r="C101" t="inlineStr">
        <is>
          <t>Gdynia Główna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11021.63</v>
      </c>
      <c r="L101" s="2" t="n">
        <v>917.4486453703705</v>
      </c>
      <c r="M101" s="2" t="n">
        <v>10205.21296296296</v>
      </c>
      <c r="N101" s="2" t="n">
        <v>3354.04</v>
      </c>
      <c r="O101" s="2" t="n">
        <v>7265.41</v>
      </c>
      <c r="P101" s="2" t="n">
        <v>402.18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17082.53</v>
      </c>
      <c r="AP101" s="2" t="n">
        <v>1249.555435185185</v>
      </c>
      <c r="AQ101" s="2" t="n">
        <v>15817.15740740741</v>
      </c>
      <c r="AR101" s="2" t="n">
        <v>4174.9</v>
      </c>
      <c r="AS101" s="2" t="n">
        <v>12265.7</v>
      </c>
      <c r="AT101" s="2" t="n">
        <v>641.9299999999999</v>
      </c>
      <c r="AU101" s="2" t="n">
        <v>15171.65</v>
      </c>
      <c r="AV101" s="2" t="n">
        <v>604.056435185185</v>
      </c>
      <c r="AW101" s="2" t="n">
        <v>14047.82407407407</v>
      </c>
      <c r="AX101" s="2" t="n">
        <v>2974.95</v>
      </c>
      <c r="AY101" s="2" t="n">
        <v>11444.65</v>
      </c>
      <c r="AZ101" s="2" t="n">
        <v>752.05</v>
      </c>
      <c r="BA101" s="2" t="n">
        <v>43275.81</v>
      </c>
      <c r="BB101" s="2" t="n">
        <v>32771.92</v>
      </c>
      <c r="BC101" s="2">
        <f>F101+L101+R101+X101+AD101+AJ101+AP101+AV101+IF(BE101="",0,BE101)</f>
        <v/>
      </c>
      <c r="BD101" s="2" t="n">
        <v>504.6875680000001</v>
      </c>
      <c r="BE101" s="2" t="n"/>
      <c r="BF101" s="2" t="n">
        <v>40070.19444444444</v>
      </c>
      <c r="BG101" s="2" t="n">
        <v>1174.62</v>
      </c>
      <c r="BH101" s="2" t="n">
        <v>130</v>
      </c>
      <c r="BI101" s="2" t="n">
        <v>31296.94</v>
      </c>
      <c r="BJ101" s="2" t="n">
        <v>88.06198347107438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442.42092</v>
      </c>
      <c r="BQ101" s="2" t="n">
        <v>0</v>
      </c>
      <c r="BR101" s="2" t="n">
        <v>33157.04290347107</v>
      </c>
      <c r="BS101" s="2" t="n">
        <v>813.3618181818182</v>
      </c>
      <c r="BT101" s="2" t="n">
        <v>457.8512396694215</v>
      </c>
      <c r="BU101" s="2" t="n">
        <v>6797.167008264462</v>
      </c>
      <c r="BV101" s="2" t="n">
        <v>8068.380066115702</v>
      </c>
      <c r="BW101" s="2" t="n">
        <v>41225.42296958677</v>
      </c>
      <c r="BX101" s="2" t="n">
        <v>30975.76</v>
      </c>
      <c r="BY101" s="2" t="n">
        <v>1796.16</v>
      </c>
      <c r="BZ101" s="2" t="n">
        <v>10503.89</v>
      </c>
      <c r="CA101" s="2" t="n">
        <v>32771.92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1279</v>
      </c>
      <c r="B102" t="inlineStr">
        <is>
          <t>GDA-GL</t>
        </is>
      </c>
      <c r="C102" t="inlineStr">
        <is>
          <t>Gdańsk Brętowo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4810.84</v>
      </c>
      <c r="AP102" s="2" t="n">
        <v>0</v>
      </c>
      <c r="AQ102" s="2" t="n">
        <v>4454.481481481482</v>
      </c>
      <c r="AR102" s="2" t="n">
        <v>305.08</v>
      </c>
      <c r="AS102" s="2" t="n">
        <v>4390.91</v>
      </c>
      <c r="AT102" s="2" t="n">
        <v>114.85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4810.84</v>
      </c>
      <c r="BB102" s="2" t="n">
        <v>4505.76</v>
      </c>
      <c r="BC102" s="2">
        <f>F102+L102+R102+X102+AD102+AJ102+AP102+AV102+IF(BE102="",0,BE102)</f>
        <v/>
      </c>
      <c r="BD102" s="2" t="n">
        <v>69.388704</v>
      </c>
      <c r="BE102" s="2" t="n"/>
      <c r="BF102" s="2" t="n">
        <v>4454.481481481482</v>
      </c>
      <c r="BG102" s="2" t="n">
        <v>0</v>
      </c>
      <c r="BH102" s="2" t="n">
        <v>0</v>
      </c>
      <c r="BI102" s="2" t="n">
        <v>31296.94</v>
      </c>
      <c r="BJ102" s="2" t="n">
        <v>88.06198347107438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60.82776</v>
      </c>
      <c r="BQ102" s="2" t="n">
        <v>0</v>
      </c>
      <c r="BR102" s="2" t="n">
        <v>31470.82974347107</v>
      </c>
      <c r="BS102" s="2" t="n">
        <v>813.3618181818182</v>
      </c>
      <c r="BT102" s="2" t="n">
        <v>457.8512396694215</v>
      </c>
      <c r="BU102" s="2" t="n">
        <v>6536.243008264463</v>
      </c>
      <c r="BV102" s="2" t="n">
        <v>7807.456066115703</v>
      </c>
      <c r="BW102" s="2" t="n">
        <v>39278.28580958678</v>
      </c>
      <c r="BX102" s="2" t="n">
        <v>4390.91</v>
      </c>
      <c r="BY102" s="2" t="n">
        <v>114.85</v>
      </c>
      <c r="BZ102" s="2" t="n">
        <v>305.08</v>
      </c>
      <c r="CA102" s="2" t="n">
        <v>4505.76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1280</v>
      </c>
      <c r="B103" t="inlineStr">
        <is>
          <t>GRODZW</t>
        </is>
      </c>
      <c r="C103" t="inlineStr">
        <is>
          <t>Gdańsk Jasień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8419.880000000001</v>
      </c>
      <c r="AP103" s="2" t="n">
        <v>0</v>
      </c>
      <c r="AQ103" s="2" t="n">
        <v>7796.185185185185</v>
      </c>
      <c r="AR103" s="2" t="n">
        <v>1139.56</v>
      </c>
      <c r="AS103" s="2" t="n">
        <v>7078.05</v>
      </c>
      <c r="AT103" s="2" t="n">
        <v>202.27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8419.880000000001</v>
      </c>
      <c r="BB103" s="2" t="n">
        <v>7280.320000000001</v>
      </c>
      <c r="BC103" s="2">
        <f>F103+L103+R103+X103+AD103+AJ103+AP103+AV103+IF(BE103="",0,BE103)</f>
        <v/>
      </c>
      <c r="BD103" s="2" t="n">
        <v>112.116928</v>
      </c>
      <c r="BE103" s="2" t="n"/>
      <c r="BF103" s="2" t="n">
        <v>7796.185185185185</v>
      </c>
      <c r="BG103" s="2" t="n">
        <v>0</v>
      </c>
      <c r="BH103" s="2" t="n">
        <v>0</v>
      </c>
      <c r="BI103" s="2" t="n">
        <v>31296.94</v>
      </c>
      <c r="BJ103" s="2" t="n">
        <v>88.06198347107438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98.28432000000001</v>
      </c>
      <c r="BQ103" s="2" t="n">
        <v>0</v>
      </c>
      <c r="BR103" s="2" t="n">
        <v>31508.28630347107</v>
      </c>
      <c r="BS103" s="2" t="n">
        <v>813.3618181818182</v>
      </c>
      <c r="BT103" s="2" t="n">
        <v>457.8512396694215</v>
      </c>
      <c r="BU103" s="2" t="n">
        <v>6536.243008264463</v>
      </c>
      <c r="BV103" s="2" t="n">
        <v>7807.456066115703</v>
      </c>
      <c r="BW103" s="2" t="n">
        <v>39315.74236958678</v>
      </c>
      <c r="BX103" s="2" t="n">
        <v>7078.05</v>
      </c>
      <c r="BY103" s="2" t="n">
        <v>202.27</v>
      </c>
      <c r="BZ103" s="2" t="n">
        <v>1139.56</v>
      </c>
      <c r="CA103" s="2" t="n">
        <v>7280.320000000001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1281</v>
      </c>
      <c r="B104" t="inlineStr">
        <is>
          <t>GRANOW</t>
        </is>
      </c>
      <c r="C104" t="inlineStr">
        <is>
          <t>Gdańsk Kiełpinek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11054.55</v>
      </c>
      <c r="AP104" s="2" t="n">
        <v>0</v>
      </c>
      <c r="AQ104" s="2" t="n">
        <v>10235.69444444444</v>
      </c>
      <c r="AR104" s="2" t="n">
        <v>2042.73</v>
      </c>
      <c r="AS104" s="2" t="n">
        <v>8727.4</v>
      </c>
      <c r="AT104" s="2" t="n">
        <v>284.42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11054.55</v>
      </c>
      <c r="BB104" s="2" t="n">
        <v>9011.82</v>
      </c>
      <c r="BC104" s="2">
        <f>F104+L104+R104+X104+AD104+AJ104+AP104+AV104+IF(BE104="",0,BE104)</f>
        <v/>
      </c>
      <c r="BD104" s="2" t="n">
        <v>138.782028</v>
      </c>
      <c r="BE104" s="2" t="n"/>
      <c r="BF104" s="2" t="n">
        <v>10235.69444444444</v>
      </c>
      <c r="BG104" s="2" t="n">
        <v>0</v>
      </c>
      <c r="BH104" s="2" t="n">
        <v>0</v>
      </c>
      <c r="BI104" s="2" t="n">
        <v>31296.94</v>
      </c>
      <c r="BJ104" s="2" t="n">
        <v>88.06198347107438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121.65957</v>
      </c>
      <c r="BQ104" s="2" t="n">
        <v>0</v>
      </c>
      <c r="BR104" s="2" t="n">
        <v>31531.66155347107</v>
      </c>
      <c r="BS104" s="2" t="n">
        <v>813.3618181818182</v>
      </c>
      <c r="BT104" s="2" t="n">
        <v>457.8512396694215</v>
      </c>
      <c r="BU104" s="2" t="n">
        <v>6536.243008264463</v>
      </c>
      <c r="BV104" s="2" t="n">
        <v>7807.456066115703</v>
      </c>
      <c r="BW104" s="2" t="n">
        <v>39339.11761958677</v>
      </c>
      <c r="BX104" s="2" t="n">
        <v>8727.4</v>
      </c>
      <c r="BY104" s="2" t="n">
        <v>284.42</v>
      </c>
      <c r="BZ104" s="2" t="n">
        <v>2042.73</v>
      </c>
      <c r="CA104" s="2" t="n">
        <v>9011.82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1282</v>
      </c>
      <c r="B105" t="inlineStr">
        <is>
          <t>STESZEW</t>
        </is>
      </c>
      <c r="C105" t="inlineStr">
        <is>
          <t>Gdańsk Port Lotniczy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30748.36</v>
      </c>
      <c r="AP105" s="2" t="n">
        <v>0</v>
      </c>
      <c r="AQ105" s="2" t="n">
        <v>28470.7037037037</v>
      </c>
      <c r="AR105" s="2" t="n">
        <v>4680.96</v>
      </c>
      <c r="AS105" s="2" t="n">
        <v>25410.27</v>
      </c>
      <c r="AT105" s="2" t="n">
        <v>657.13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30748.36</v>
      </c>
      <c r="BB105" s="2" t="n">
        <v>26067.4</v>
      </c>
      <c r="BC105" s="2">
        <f>F105+L105+R105+X105+AD105+AJ105+AP105+AV105+IF(BE105="",0,BE105)</f>
        <v/>
      </c>
      <c r="BD105" s="2" t="n">
        <v>401.43796</v>
      </c>
      <c r="BE105" s="2" t="n"/>
      <c r="BF105" s="2" t="n">
        <v>28470.7037037037</v>
      </c>
      <c r="BG105" s="2" t="n">
        <v>0</v>
      </c>
      <c r="BH105" s="2" t="n">
        <v>0</v>
      </c>
      <c r="BI105" s="2" t="n">
        <v>31296.94</v>
      </c>
      <c r="BJ105" s="2" t="n">
        <v>88.06198347107438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351.9099</v>
      </c>
      <c r="BQ105" s="2" t="n">
        <v>0</v>
      </c>
      <c r="BR105" s="2" t="n">
        <v>31761.91188347107</v>
      </c>
      <c r="BS105" s="2" t="n">
        <v>813.3618181818182</v>
      </c>
      <c r="BT105" s="2" t="n">
        <v>457.8512396694215</v>
      </c>
      <c r="BU105" s="2" t="n">
        <v>6536.243008264463</v>
      </c>
      <c r="BV105" s="2" t="n">
        <v>7807.456066115703</v>
      </c>
      <c r="BW105" s="2" t="n">
        <v>39569.36794958678</v>
      </c>
      <c r="BX105" s="2" t="n">
        <v>25410.27</v>
      </c>
      <c r="BY105" s="2" t="n">
        <v>657.13</v>
      </c>
      <c r="BZ105" s="2" t="n">
        <v>4680.96</v>
      </c>
      <c r="CA105" s="2" t="n">
        <v>26067.4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1283</v>
      </c>
      <c r="B106" t="inlineStr">
        <is>
          <t>CZERWO</t>
        </is>
      </c>
      <c r="C106" t="inlineStr">
        <is>
          <t>Gdańsk Port Lotniczy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20452.03</v>
      </c>
      <c r="AP106" s="2" t="n">
        <v>0</v>
      </c>
      <c r="AQ106" s="2" t="n">
        <v>18937.06481481481</v>
      </c>
      <c r="AR106" s="2" t="n">
        <v>5151.95</v>
      </c>
      <c r="AS106" s="2" t="n">
        <v>14613.3</v>
      </c>
      <c r="AT106" s="2" t="n">
        <v>686.78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20452.03</v>
      </c>
      <c r="BB106" s="2" t="n">
        <v>15300.08</v>
      </c>
      <c r="BC106" s="2">
        <f>F106+L106+R106+X106+AD106+AJ106+AP106+AV106+IF(BE106="",0,BE106)</f>
        <v/>
      </c>
      <c r="BD106" s="2" t="n">
        <v>235.621232</v>
      </c>
      <c r="BE106" s="2" t="n"/>
      <c r="BF106" s="2" t="n">
        <v>18937.06481481481</v>
      </c>
      <c r="BG106" s="2" t="n">
        <v>0</v>
      </c>
      <c r="BH106" s="2" t="n">
        <v>0</v>
      </c>
      <c r="BI106" s="2" t="n">
        <v>31296.94</v>
      </c>
      <c r="BJ106" s="2" t="n">
        <v>88.06198347107438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206.55108</v>
      </c>
      <c r="BQ106" s="2" t="n">
        <v>0</v>
      </c>
      <c r="BR106" s="2" t="n">
        <v>31616.55306347107</v>
      </c>
      <c r="BS106" s="2" t="n">
        <v>813.3618181818182</v>
      </c>
      <c r="BT106" s="2" t="n">
        <v>457.8512396694215</v>
      </c>
      <c r="BU106" s="2" t="n">
        <v>6536.243008264463</v>
      </c>
      <c r="BV106" s="2" t="n">
        <v>7807.456066115703</v>
      </c>
      <c r="BW106" s="2" t="n">
        <v>39424.00912958678</v>
      </c>
      <c r="BX106" s="2" t="n">
        <v>14613.3</v>
      </c>
      <c r="BY106" s="2" t="n">
        <v>686.78</v>
      </c>
      <c r="BZ106" s="2" t="n">
        <v>5151.95</v>
      </c>
      <c r="CA106" s="2" t="n">
        <v>15300.08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1284</v>
      </c>
      <c r="B107" t="inlineStr">
        <is>
          <t>OWINSK</t>
        </is>
      </c>
      <c r="C107" t="inlineStr">
        <is>
          <t>Gdańsk Rębiechowo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4942.52</v>
      </c>
      <c r="AP107" s="2" t="n">
        <v>0</v>
      </c>
      <c r="AQ107" s="2" t="n">
        <v>4576.407407407407</v>
      </c>
      <c r="AR107" s="2" t="n">
        <v>695.71</v>
      </c>
      <c r="AS107" s="2" t="n">
        <v>4159.98</v>
      </c>
      <c r="AT107" s="2" t="n">
        <v>86.83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4942.52</v>
      </c>
      <c r="BB107" s="2" t="n">
        <v>4246.809999999999</v>
      </c>
      <c r="BC107" s="2">
        <f>F107+L107+R107+X107+AD107+AJ107+AP107+AV107+IF(BE107="",0,BE107)</f>
        <v/>
      </c>
      <c r="BD107" s="2" t="n">
        <v>65.40087399999999</v>
      </c>
      <c r="BE107" s="2" t="n"/>
      <c r="BF107" s="2" t="n">
        <v>4576.407407407407</v>
      </c>
      <c r="BG107" s="2" t="n">
        <v>0</v>
      </c>
      <c r="BH107" s="2" t="n">
        <v>0</v>
      </c>
      <c r="BI107" s="2" t="n">
        <v>31296.94</v>
      </c>
      <c r="BJ107" s="2" t="n">
        <v>88.06198347107438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57.33193499999999</v>
      </c>
      <c r="BQ107" s="2" t="n">
        <v>0</v>
      </c>
      <c r="BR107" s="2" t="n">
        <v>31467.33391847107</v>
      </c>
      <c r="BS107" s="2" t="n">
        <v>813.3618181818182</v>
      </c>
      <c r="BT107" s="2" t="n">
        <v>457.8512396694215</v>
      </c>
      <c r="BU107" s="2" t="n">
        <v>6536.243008264463</v>
      </c>
      <c r="BV107" s="2" t="n">
        <v>7807.456066115703</v>
      </c>
      <c r="BW107" s="2" t="n">
        <v>39274.78998458677</v>
      </c>
      <c r="BX107" s="2" t="n">
        <v>4159.98</v>
      </c>
      <c r="BY107" s="2" t="n">
        <v>86.83</v>
      </c>
      <c r="BZ107" s="2" t="n">
        <v>695.71</v>
      </c>
      <c r="CA107" s="2" t="n">
        <v>4246.809999999999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1285</v>
      </c>
      <c r="B108" t="inlineStr">
        <is>
          <t>ZIELWZG</t>
        </is>
      </c>
      <c r="C108" t="inlineStr">
        <is>
          <t>Gdańsk Osowa</t>
        </is>
      </c>
      <c r="D108" t="inlineStr">
        <is>
          <t>ST|40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7036.54</v>
      </c>
      <c r="AP108" s="2" t="n">
        <v>0</v>
      </c>
      <c r="AQ108" s="2" t="n">
        <v>6515.314814814815</v>
      </c>
      <c r="AR108" s="2" t="n">
        <v>1871.13</v>
      </c>
      <c r="AS108" s="2" t="n">
        <v>5100.43</v>
      </c>
      <c r="AT108" s="2" t="n">
        <v>64.98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7036.54</v>
      </c>
      <c r="BB108" s="2" t="n">
        <v>5165.41</v>
      </c>
      <c r="BC108" s="2">
        <f>F108+L108+R108+X108+AD108+AJ108+AP108+AV108+IF(BE108="",0,BE108)</f>
        <v/>
      </c>
      <c r="BD108" s="2" t="n">
        <v>79.547314</v>
      </c>
      <c r="BE108" s="2" t="n"/>
      <c r="BF108" s="2" t="n">
        <v>6515.314814814815</v>
      </c>
      <c r="BG108" s="2" t="n">
        <v>0</v>
      </c>
      <c r="BH108" s="2" t="n">
        <v>0</v>
      </c>
      <c r="BI108" s="2" t="n">
        <v>31296.94</v>
      </c>
      <c r="BJ108" s="2" t="n">
        <v>88.06198347107438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69.733035</v>
      </c>
      <c r="BQ108" s="2" t="n">
        <v>0</v>
      </c>
      <c r="BR108" s="2" t="n">
        <v>31479.73501847107</v>
      </c>
      <c r="BS108" s="2" t="n">
        <v>813.3618181818182</v>
      </c>
      <c r="BT108" s="2" t="n">
        <v>457.8512396694215</v>
      </c>
      <c r="BU108" s="2" t="n">
        <v>6536.243008264463</v>
      </c>
      <c r="BV108" s="2" t="n">
        <v>7807.456066115703</v>
      </c>
      <c r="BW108" s="2" t="n">
        <v>39287.19108458678</v>
      </c>
      <c r="BX108" s="2" t="n">
        <v>5100.43</v>
      </c>
      <c r="BY108" s="2" t="n">
        <v>64.98</v>
      </c>
      <c r="BZ108" s="2" t="n">
        <v>1871.13</v>
      </c>
      <c r="CA108" s="2" t="n">
        <v>5165.41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1286</v>
      </c>
      <c r="B109" t="inlineStr">
        <is>
          <t>Dworcowa 2, 61-801 Poznań</t>
        </is>
      </c>
      <c r="C109" t="inlineStr">
        <is>
          <t>Poznań Główny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10331.99</v>
      </c>
      <c r="L109" s="2" t="n">
        <v>860.042500925926</v>
      </c>
      <c r="M109" s="2" t="n">
        <v>9566.657407407407</v>
      </c>
      <c r="N109" s="2" t="n">
        <v>1595.2</v>
      </c>
      <c r="O109" s="2" t="n">
        <v>8183.55</v>
      </c>
      <c r="P109" s="2" t="n">
        <v>553.24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12258.25</v>
      </c>
      <c r="AD109" s="2" t="n">
        <v>783.1659722222222</v>
      </c>
      <c r="AE109" s="2" t="n">
        <v>11350.23148148148</v>
      </c>
      <c r="AF109" s="2" t="n">
        <v>1291.33</v>
      </c>
      <c r="AG109" s="2" t="n">
        <v>10369.16</v>
      </c>
      <c r="AH109" s="2" t="n">
        <v>597.76</v>
      </c>
      <c r="AI109" s="2" t="n">
        <v>152.23</v>
      </c>
      <c r="AJ109" s="2" t="n">
        <v>10.57152777777778</v>
      </c>
      <c r="AK109" s="2" t="n">
        <v>140.9537037037037</v>
      </c>
      <c r="AL109" s="2" t="n">
        <v>0</v>
      </c>
      <c r="AM109" s="2" t="n">
        <v>152.23</v>
      </c>
      <c r="AN109" s="2" t="n">
        <v>0</v>
      </c>
      <c r="AO109" s="2" t="n">
        <v>4985.02</v>
      </c>
      <c r="AP109" s="2" t="n">
        <v>364.6449814814814</v>
      </c>
      <c r="AQ109" s="2" t="n">
        <v>4615.759259259258</v>
      </c>
      <c r="AR109" s="2" t="n">
        <v>463.17</v>
      </c>
      <c r="AS109" s="2" t="n">
        <v>4270.9</v>
      </c>
      <c r="AT109" s="2" t="n">
        <v>250.95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27727.49</v>
      </c>
      <c r="BB109" s="2" t="n">
        <v>24377.79</v>
      </c>
      <c r="BC109" s="2">
        <f>F109+L109+R109+X109+AD109+AJ109+AP109+AV109+IF(BE109="",0,BE109)</f>
        <v/>
      </c>
      <c r="BD109" s="2" t="n">
        <v>375.417966</v>
      </c>
      <c r="BE109" s="2" t="n"/>
      <c r="BF109" s="2" t="n">
        <v>25673.60185185185</v>
      </c>
      <c r="BG109" s="2" t="n">
        <v>458.58</v>
      </c>
      <c r="BH109" s="2" t="n">
        <v>0</v>
      </c>
      <c r="BI109" s="2" t="n">
        <v>31296.94</v>
      </c>
      <c r="BJ109" s="2" t="n">
        <v>88.06198347107438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329.1001650000001</v>
      </c>
      <c r="BQ109" s="2" t="n">
        <v>0</v>
      </c>
      <c r="BR109" s="2" t="n">
        <v>32197.68214847107</v>
      </c>
      <c r="BS109" s="2" t="n">
        <v>813.3618181818182</v>
      </c>
      <c r="BT109" s="2" t="n">
        <v>457.8512396694215</v>
      </c>
      <c r="BU109" s="2" t="n">
        <v>6627.959008264464</v>
      </c>
      <c r="BV109" s="2" t="n">
        <v>7899.172066115703</v>
      </c>
      <c r="BW109" s="2" t="n">
        <v>40096.85421458678</v>
      </c>
      <c r="BX109" s="2" t="n">
        <v>22975.84</v>
      </c>
      <c r="BY109" s="2" t="n">
        <v>1401.95</v>
      </c>
      <c r="BZ109" s="2" t="n">
        <v>3349.7</v>
      </c>
      <c r="CA109" s="2" t="n">
        <v>24377.79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1287</v>
      </c>
      <c r="B110" t="inlineStr">
        <is>
          <t>Kościuszki 54, 82-500 Kwidzyn</t>
        </is>
      </c>
      <c r="C110" t="inlineStr">
        <is>
          <t>Kwidzyn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3914.31</v>
      </c>
      <c r="AP110" s="2" t="n">
        <v>4060</v>
      </c>
      <c r="AQ110" s="2" t="n">
        <v>3624.361111111111</v>
      </c>
      <c r="AR110" s="2" t="n">
        <v>0</v>
      </c>
      <c r="AS110" s="2" t="n">
        <v>3663</v>
      </c>
      <c r="AT110" s="2" t="n">
        <v>251.31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3914.31</v>
      </c>
      <c r="BB110" s="2" t="n">
        <v>3914.31</v>
      </c>
      <c r="BC110" s="2">
        <f>F110+L110+R110+X110+AD110+AJ110+AP110+AV110+IF(BE110="",0,BE110)</f>
        <v/>
      </c>
      <c r="BD110" s="2" t="n">
        <v>60.280374</v>
      </c>
      <c r="BE110" s="2" t="n"/>
      <c r="BF110" s="2" t="n">
        <v>3624.361111111111</v>
      </c>
      <c r="BG110" s="2" t="n">
        <v>0</v>
      </c>
      <c r="BH110" s="2" t="n">
        <v>0</v>
      </c>
      <c r="BI110" s="2" t="n">
        <v>31296.94</v>
      </c>
      <c r="BJ110" s="2" t="n">
        <v>88.06198347107438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52.843185</v>
      </c>
      <c r="BQ110" s="2" t="n">
        <v>0</v>
      </c>
      <c r="BR110" s="2" t="n">
        <v>31462.84516847107</v>
      </c>
      <c r="BS110" s="2" t="n">
        <v>813.3618181818182</v>
      </c>
      <c r="BT110" s="2" t="n">
        <v>457.8512396694215</v>
      </c>
      <c r="BU110" s="2" t="n">
        <v>6536.243008264463</v>
      </c>
      <c r="BV110" s="2" t="n">
        <v>7807.456066115703</v>
      </c>
      <c r="BW110" s="2" t="n">
        <v>39270.30123458678</v>
      </c>
      <c r="BX110" s="2" t="n">
        <v>3663</v>
      </c>
      <c r="BY110" s="2" t="n">
        <v>251.31</v>
      </c>
      <c r="BZ110" s="2" t="n">
        <v>0</v>
      </c>
      <c r="CA110" s="2" t="n">
        <v>3914.31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1288</v>
      </c>
      <c r="B111" t="inlineStr">
        <is>
          <t>Ks. Stefańskiego 6, 84-140 Jastarnia</t>
        </is>
      </c>
      <c r="C111" t="inlineStr">
        <is>
          <t>Jastania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6574.33</v>
      </c>
      <c r="AP111" s="2" t="n">
        <v>4494</v>
      </c>
      <c r="AQ111" s="2" t="n">
        <v>6087.342592592592</v>
      </c>
      <c r="AR111" s="2" t="n">
        <v>0</v>
      </c>
      <c r="AS111" s="2" t="n">
        <v>6193.33</v>
      </c>
      <c r="AT111" s="2" t="n">
        <v>381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6574.33</v>
      </c>
      <c r="BB111" s="2" t="n">
        <v>6574.33</v>
      </c>
      <c r="BC111" s="2">
        <f>F111+L111+R111+X111+AD111+AJ111+AP111+AV111+IF(BE111="",0,BE111)</f>
        <v/>
      </c>
      <c r="BD111" s="2" t="n">
        <v>101.244682</v>
      </c>
      <c r="BE111" s="2" t="n"/>
      <c r="BF111" s="2" t="n">
        <v>6087.342592592592</v>
      </c>
      <c r="BG111" s="2" t="n">
        <v>0</v>
      </c>
      <c r="BH111" s="2" t="n">
        <v>0</v>
      </c>
      <c r="BI111" s="2" t="n">
        <v>31296.94</v>
      </c>
      <c r="BJ111" s="2" t="n">
        <v>88.06198347107438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88.753455</v>
      </c>
      <c r="BQ111" s="2" t="n">
        <v>0</v>
      </c>
      <c r="BR111" s="2" t="n">
        <v>31498.75543847107</v>
      </c>
      <c r="BS111" s="2" t="n">
        <v>813.3618181818182</v>
      </c>
      <c r="BT111" s="2" t="n">
        <v>457.8512396694215</v>
      </c>
      <c r="BU111" s="2" t="n">
        <v>6536.243008264463</v>
      </c>
      <c r="BV111" s="2" t="n">
        <v>7807.456066115703</v>
      </c>
      <c r="BW111" s="2" t="n">
        <v>39306.21150458678</v>
      </c>
      <c r="BX111" s="2" t="n">
        <v>6193.33</v>
      </c>
      <c r="BY111" s="2" t="n">
        <v>381</v>
      </c>
      <c r="BZ111" s="2" t="n">
        <v>0</v>
      </c>
      <c r="CA111" s="2" t="n">
        <v>6574.33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1289</v>
      </c>
      <c r="B112" t="inlineStr">
        <is>
          <t>Dworcowa 1, 84-150 Hel</t>
        </is>
      </c>
      <c r="C112" t="inlineStr">
        <is>
          <t>Hel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13066.26</v>
      </c>
      <c r="AP112" s="2" t="n">
        <v>4494</v>
      </c>
      <c r="AQ112" s="2" t="n">
        <v>12098.38888888889</v>
      </c>
      <c r="AR112" s="2" t="n">
        <v>0</v>
      </c>
      <c r="AS112" s="2" t="n">
        <v>11771.52</v>
      </c>
      <c r="AT112" s="2" t="n">
        <v>1294.74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13066.26</v>
      </c>
      <c r="BB112" s="2" t="n">
        <v>13066.26</v>
      </c>
      <c r="BC112" s="2">
        <f>F112+L112+R112+X112+AD112+AJ112+AP112+AV112+IF(BE112="",0,BE112)</f>
        <v/>
      </c>
      <c r="BD112" s="2" t="n">
        <v>201.220404</v>
      </c>
      <c r="BE112" s="2" t="n"/>
      <c r="BF112" s="2" t="n">
        <v>12098.38888888889</v>
      </c>
      <c r="BG112" s="2" t="n">
        <v>0</v>
      </c>
      <c r="BH112" s="2" t="n">
        <v>0</v>
      </c>
      <c r="BI112" s="2" t="n">
        <v>31296.94</v>
      </c>
      <c r="BJ112" s="2" t="n">
        <v>88.06198347107438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176.39451</v>
      </c>
      <c r="BQ112" s="2" t="n">
        <v>0</v>
      </c>
      <c r="BR112" s="2" t="n">
        <v>31586.39649347107</v>
      </c>
      <c r="BS112" s="2" t="n">
        <v>813.3618181818182</v>
      </c>
      <c r="BT112" s="2" t="n">
        <v>457.8512396694215</v>
      </c>
      <c r="BU112" s="2" t="n">
        <v>6536.243008264463</v>
      </c>
      <c r="BV112" s="2" t="n">
        <v>7807.456066115703</v>
      </c>
      <c r="BW112" s="2" t="n">
        <v>39393.85255958678</v>
      </c>
      <c r="BX112" s="2" t="n">
        <v>11771.52</v>
      </c>
      <c r="BY112" s="2" t="n">
        <v>1294.74</v>
      </c>
      <c r="BZ112" s="2" t="n">
        <v>0</v>
      </c>
      <c r="CA112" s="2" t="n">
        <v>13066.26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1290</v>
      </c>
      <c r="B113" t="inlineStr">
        <is>
          <t>Kolumba 2, 70-035 Szczecin</t>
        </is>
      </c>
      <c r="C113" t="inlineStr">
        <is>
          <t>Szczecin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25020.03</v>
      </c>
      <c r="L113" s="2" t="n">
        <v>2082.685830555556</v>
      </c>
      <c r="M113" s="2" t="n">
        <v>23166.69444444444</v>
      </c>
      <c r="N113" s="2" t="n">
        <v>7716.96</v>
      </c>
      <c r="O113" s="2" t="n">
        <v>16196.82</v>
      </c>
      <c r="P113" s="2" t="n">
        <v>1106.25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37160.16</v>
      </c>
      <c r="AP113" s="2" t="n">
        <v>2718.196888888889</v>
      </c>
      <c r="AQ113" s="2" t="n">
        <v>34407.55555555555</v>
      </c>
      <c r="AR113" s="2" t="n">
        <v>10547.4</v>
      </c>
      <c r="AS113" s="2" t="n">
        <v>23538.08</v>
      </c>
      <c r="AT113" s="2" t="n">
        <v>3074.68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62180.19</v>
      </c>
      <c r="BB113" s="2" t="n">
        <v>43915.83</v>
      </c>
      <c r="BC113" s="2">
        <f>F113+L113+R113+X113+AD113+AJ113+AP113+AV113+IF(BE113="",0,BE113)</f>
        <v/>
      </c>
      <c r="BD113" s="2" t="n">
        <v>676.3037820000001</v>
      </c>
      <c r="BE113" s="2" t="n"/>
      <c r="BF113" s="2" t="n">
        <v>57574.25</v>
      </c>
      <c r="BG113" s="2" t="n">
        <v>1346.7</v>
      </c>
      <c r="BH113" s="2" t="n">
        <v>177.6</v>
      </c>
      <c r="BI113" s="2" t="n">
        <v>31296.94</v>
      </c>
      <c r="BJ113" s="2" t="n">
        <v>88.06198347107438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592.863705</v>
      </c>
      <c r="BQ113" s="2" t="n">
        <v>0</v>
      </c>
      <c r="BR113" s="2" t="n">
        <v>33527.16568847108</v>
      </c>
      <c r="BS113" s="2" t="n">
        <v>813.3618181818182</v>
      </c>
      <c r="BT113" s="2" t="n">
        <v>457.8512396694215</v>
      </c>
      <c r="BU113" s="2" t="n">
        <v>6841.103008264462</v>
      </c>
      <c r="BV113" s="2" t="n">
        <v>8112.316066115702</v>
      </c>
      <c r="BW113" s="2" t="n">
        <v>41639.48175458678</v>
      </c>
      <c r="BX113" s="2" t="n">
        <v>39734.9</v>
      </c>
      <c r="BY113" s="2" t="n">
        <v>4180.93</v>
      </c>
      <c r="BZ113" s="2" t="n">
        <v>18264.36</v>
      </c>
      <c r="CA113" s="2" t="n">
        <v>43915.83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1291</v>
      </c>
      <c r="B114" t="inlineStr">
        <is>
          <t>pl. Dworcowy 1, 82-300 Elbląg</t>
        </is>
      </c>
      <c r="C114" t="inlineStr">
        <is>
          <t>Elbląg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5601.5</v>
      </c>
      <c r="L114" s="2" t="n">
        <v>466.2730092592593</v>
      </c>
      <c r="M114" s="2" t="n">
        <v>5186.574074074074</v>
      </c>
      <c r="N114" s="2" t="n">
        <v>1120.65</v>
      </c>
      <c r="O114" s="2" t="n">
        <v>4347.45</v>
      </c>
      <c r="P114" s="2" t="n">
        <v>133.4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18247.84</v>
      </c>
      <c r="AP114" s="2" t="n">
        <v>1334.795703703704</v>
      </c>
      <c r="AQ114" s="2" t="n">
        <v>16896.14814814815</v>
      </c>
      <c r="AR114" s="2" t="n">
        <v>4253.97</v>
      </c>
      <c r="AS114" s="2" t="n">
        <v>13425.37</v>
      </c>
      <c r="AT114" s="2" t="n">
        <v>568.5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23849.34</v>
      </c>
      <c r="BB114" s="2" t="n">
        <v>18474.72</v>
      </c>
      <c r="BC114" s="2">
        <f>F114+L114+R114+X114+AD114+AJ114+AP114+AV114+IF(BE114="",0,BE114)</f>
        <v/>
      </c>
      <c r="BD114" s="2" t="n">
        <v>284.510688</v>
      </c>
      <c r="BE114" s="2" t="n"/>
      <c r="BF114" s="2" t="n">
        <v>22082.72222222222</v>
      </c>
      <c r="BG114" s="2" t="n">
        <v>359.86</v>
      </c>
      <c r="BH114" s="2" t="n">
        <v>363</v>
      </c>
      <c r="BI114" s="2" t="n">
        <v>31296.94</v>
      </c>
      <c r="BJ114" s="2" t="n">
        <v>88.06198347107438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249.40872</v>
      </c>
      <c r="BQ114" s="2" t="n">
        <v>0</v>
      </c>
      <c r="BR114" s="2" t="n">
        <v>32382.27070347107</v>
      </c>
      <c r="BS114" s="2" t="n">
        <v>813.3618181818182</v>
      </c>
      <c r="BT114" s="2" t="n">
        <v>457.8512396694215</v>
      </c>
      <c r="BU114" s="2" t="n">
        <v>6680.815008264463</v>
      </c>
      <c r="BV114" s="2" t="n">
        <v>7952.028066115703</v>
      </c>
      <c r="BW114" s="2" t="n">
        <v>40334.29876958678</v>
      </c>
      <c r="BX114" s="2" t="n">
        <v>17772.82</v>
      </c>
      <c r="BY114" s="2" t="n">
        <v>701.9</v>
      </c>
      <c r="BZ114" s="2" t="n">
        <v>5374.620000000001</v>
      </c>
      <c r="CA114" s="2" t="n">
        <v>18474.72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1292</v>
      </c>
      <c r="B115" t="inlineStr">
        <is>
          <t>Dworcowa 8A, 84-310 Lębork</t>
        </is>
      </c>
      <c r="C115" t="inlineStr">
        <is>
          <t>Lębork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4422.74</v>
      </c>
      <c r="L115" s="2" t="n">
        <v>368.1521537037037</v>
      </c>
      <c r="M115" s="2" t="n">
        <v>4095.129629629629</v>
      </c>
      <c r="N115" s="2" t="n">
        <v>2112.93</v>
      </c>
      <c r="O115" s="2" t="n">
        <v>2227.71</v>
      </c>
      <c r="P115" s="2" t="n">
        <v>82.09999999999999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8982.269999999999</v>
      </c>
      <c r="AP115" s="2" t="n">
        <v>4127</v>
      </c>
      <c r="AQ115" s="2" t="n">
        <v>8316.916666666664</v>
      </c>
      <c r="AR115" s="2" t="n">
        <v>4281.44</v>
      </c>
      <c r="AS115" s="2" t="n">
        <v>4144.91</v>
      </c>
      <c r="AT115" s="2" t="n">
        <v>555.92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13405.01</v>
      </c>
      <c r="BB115" s="2" t="n">
        <v>7010.639999999999</v>
      </c>
      <c r="BC115" s="2">
        <f>F115+L115+R115+X115+AD115+AJ115+AP115+AV115+IF(BE115="",0,BE115)</f>
        <v/>
      </c>
      <c r="BD115" s="2" t="n">
        <v>107.963856</v>
      </c>
      <c r="BE115" s="2" t="n"/>
      <c r="BF115" s="2" t="n">
        <v>12412.04629629629</v>
      </c>
      <c r="BG115" s="2" t="n">
        <v>0</v>
      </c>
      <c r="BH115" s="2" t="n">
        <v>0</v>
      </c>
      <c r="BI115" s="2" t="n">
        <v>31296.94</v>
      </c>
      <c r="BJ115" s="2" t="n">
        <v>88.06198347107438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94.64364</v>
      </c>
      <c r="BQ115" s="2" t="n">
        <v>0</v>
      </c>
      <c r="BR115" s="2" t="n">
        <v>31504.64562347107</v>
      </c>
      <c r="BS115" s="2" t="n">
        <v>813.3618181818182</v>
      </c>
      <c r="BT115" s="2" t="n">
        <v>457.8512396694215</v>
      </c>
      <c r="BU115" s="2" t="n">
        <v>6536.243008264463</v>
      </c>
      <c r="BV115" s="2" t="n">
        <v>7807.456066115703</v>
      </c>
      <c r="BW115" s="2" t="n">
        <v>39312.10168958677</v>
      </c>
      <c r="BX115" s="2" t="n">
        <v>6372.62</v>
      </c>
      <c r="BY115" s="2" t="n">
        <v>638.02</v>
      </c>
      <c r="BZ115" s="2" t="n">
        <v>6394.369999999999</v>
      </c>
      <c r="CA115" s="2" t="n">
        <v>7010.639999999999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1293</v>
      </c>
      <c r="B116" t="inlineStr">
        <is>
          <t>Dworcowa 10, 84-100 Puck</t>
        </is>
      </c>
      <c r="C116" t="inlineStr">
        <is>
          <t>Puck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81</v>
      </c>
      <c r="L116" s="2" t="n">
        <v>6.742500000000001</v>
      </c>
      <c r="M116" s="2" t="n">
        <v>75</v>
      </c>
      <c r="N116" s="2" t="n">
        <v>0</v>
      </c>
      <c r="O116" s="2" t="n">
        <v>81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8400.190000000001</v>
      </c>
      <c r="AP116" s="2" t="n">
        <v>4227</v>
      </c>
      <c r="AQ116" s="2" t="n">
        <v>7777.953703703703</v>
      </c>
      <c r="AR116" s="2" t="n">
        <v>2318.89</v>
      </c>
      <c r="AS116" s="2" t="n">
        <v>5569.38</v>
      </c>
      <c r="AT116" s="2" t="n">
        <v>511.92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8481.190000000001</v>
      </c>
      <c r="BB116" s="2" t="n">
        <v>6162.3</v>
      </c>
      <c r="BC116" s="2">
        <f>F116+L116+R116+X116+AD116+AJ116+AP116+AV116+IF(BE116="",0,BE116)</f>
        <v/>
      </c>
      <c r="BD116" s="2" t="n">
        <v>94.89942000000001</v>
      </c>
      <c r="BE116" s="2" t="n"/>
      <c r="BF116" s="2" t="n">
        <v>7852.953703703703</v>
      </c>
      <c r="BG116" s="2" t="n">
        <v>0</v>
      </c>
      <c r="BH116" s="2" t="n">
        <v>0</v>
      </c>
      <c r="BI116" s="2" t="n">
        <v>31296.94</v>
      </c>
      <c r="BJ116" s="2" t="n">
        <v>88.06198347107438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83.19105</v>
      </c>
      <c r="BQ116" s="2" t="n">
        <v>0</v>
      </c>
      <c r="BR116" s="2" t="n">
        <v>31493.19303347107</v>
      </c>
      <c r="BS116" s="2" t="n">
        <v>813.3618181818182</v>
      </c>
      <c r="BT116" s="2" t="n">
        <v>457.8512396694215</v>
      </c>
      <c r="BU116" s="2" t="n">
        <v>6536.243008264463</v>
      </c>
      <c r="BV116" s="2" t="n">
        <v>7807.456066115703</v>
      </c>
      <c r="BW116" s="2" t="n">
        <v>39300.64909958678</v>
      </c>
      <c r="BX116" s="2" t="n">
        <v>5650.38</v>
      </c>
      <c r="BY116" s="2" t="n">
        <v>511.92</v>
      </c>
      <c r="BZ116" s="2" t="n">
        <v>2318.89</v>
      </c>
      <c r="CA116" s="2" t="n">
        <v>6162.3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1294</v>
      </c>
      <c r="B117" t="inlineStr">
        <is>
          <t>Plac Dworcowy 3, 49-300 Brzeg</t>
        </is>
      </c>
      <c r="C117" t="inlineStr">
        <is>
          <t>Brzeg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15641.09</v>
      </c>
      <c r="L117" s="2" t="n">
        <v>1301.975917592593</v>
      </c>
      <c r="M117" s="2" t="n">
        <v>14482.49074074074</v>
      </c>
      <c r="N117" s="2" t="n">
        <v>1833.06</v>
      </c>
      <c r="O117" s="2" t="n">
        <v>13178.56</v>
      </c>
      <c r="P117" s="2" t="n">
        <v>629.47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21886.53</v>
      </c>
      <c r="AP117" s="2" t="n">
        <v>1600.959138888889</v>
      </c>
      <c r="AQ117" s="2" t="n">
        <v>20265.30555555555</v>
      </c>
      <c r="AR117" s="2" t="n">
        <v>3441.29</v>
      </c>
      <c r="AS117" s="2" t="n">
        <v>17828.31</v>
      </c>
      <c r="AT117" s="2" t="n">
        <v>616.9299999999999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37527.62</v>
      </c>
      <c r="BB117" s="2" t="n">
        <v>32253.27</v>
      </c>
      <c r="BC117" s="2">
        <f>F117+L117+R117+X117+AD117+AJ117+AP117+AV117+IF(BE117="",0,BE117)</f>
        <v/>
      </c>
      <c r="BD117" s="2" t="n">
        <v>496.7003580000001</v>
      </c>
      <c r="BE117" s="2" t="n"/>
      <c r="BF117" s="2" t="n">
        <v>34747.79629629629</v>
      </c>
      <c r="BG117" s="2" t="n">
        <v>0</v>
      </c>
      <c r="BH117" s="2" t="n">
        <v>219.2</v>
      </c>
      <c r="BI117" s="2" t="n">
        <v>31296.94</v>
      </c>
      <c r="BJ117" s="2" t="n">
        <v>88.06198347107438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435.419145</v>
      </c>
      <c r="BQ117" s="2" t="n">
        <v>0</v>
      </c>
      <c r="BR117" s="2" t="n">
        <v>32064.62112847107</v>
      </c>
      <c r="BS117" s="2" t="n">
        <v>813.3618181818182</v>
      </c>
      <c r="BT117" s="2" t="n">
        <v>457.8512396694215</v>
      </c>
      <c r="BU117" s="2" t="n">
        <v>6580.083008264462</v>
      </c>
      <c r="BV117" s="2" t="n">
        <v>7851.296066115702</v>
      </c>
      <c r="BW117" s="2" t="n">
        <v>39915.91719458678</v>
      </c>
      <c r="BX117" s="2" t="n">
        <v>31006.87</v>
      </c>
      <c r="BY117" s="2" t="n">
        <v>1246.4</v>
      </c>
      <c r="BZ117" s="2" t="n">
        <v>5274.35</v>
      </c>
      <c r="CA117" s="2" t="n">
        <v>32253.27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1295</v>
      </c>
      <c r="B118" t="inlineStr">
        <is>
          <t>Zygmunta Starego 1, 64-920 Piła</t>
        </is>
      </c>
      <c r="C118" t="inlineStr">
        <is>
          <t>Piła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5371.7</v>
      </c>
      <c r="L118" s="2" t="n">
        <v>447.144287037037</v>
      </c>
      <c r="M118" s="2" t="n">
        <v>4973.796296296296</v>
      </c>
      <c r="N118" s="2" t="n">
        <v>1128.69</v>
      </c>
      <c r="O118" s="2" t="n">
        <v>3831.04</v>
      </c>
      <c r="P118" s="2" t="n">
        <v>411.97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4418.47</v>
      </c>
      <c r="AD118" s="2" t="n">
        <v>282.291138888889</v>
      </c>
      <c r="AE118" s="2" t="n">
        <v>4091.175925925926</v>
      </c>
      <c r="AF118" s="2" t="n">
        <v>1060.69</v>
      </c>
      <c r="AG118" s="2" t="n">
        <v>3186.59</v>
      </c>
      <c r="AH118" s="2" t="n">
        <v>171.19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13683.06</v>
      </c>
      <c r="AP118" s="2" t="n">
        <v>1000.8905</v>
      </c>
      <c r="AQ118" s="2" t="n">
        <v>12669.5</v>
      </c>
      <c r="AR118" s="2" t="n">
        <v>3480.06</v>
      </c>
      <c r="AS118" s="2" t="n">
        <v>9403.209999999999</v>
      </c>
      <c r="AT118" s="2" t="n">
        <v>799.79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23473.23</v>
      </c>
      <c r="BB118" s="2" t="n">
        <v>17803.79</v>
      </c>
      <c r="BC118" s="2">
        <f>F118+L118+R118+X118+AD118+AJ118+AP118+AV118+IF(BE118="",0,BE118)</f>
        <v/>
      </c>
      <c r="BD118" s="2" t="n">
        <v>274.178366</v>
      </c>
      <c r="BE118" s="2" t="n"/>
      <c r="BF118" s="2" t="n">
        <v>21734.47222222222</v>
      </c>
      <c r="BG118" s="2" t="n">
        <v>0</v>
      </c>
      <c r="BH118" s="2" t="n">
        <v>0</v>
      </c>
      <c r="BI118" s="2" t="n">
        <v>31296.94</v>
      </c>
      <c r="BJ118" s="2" t="n">
        <v>88.06198347107438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240.351165</v>
      </c>
      <c r="BQ118" s="2" t="n">
        <v>0</v>
      </c>
      <c r="BR118" s="2" t="n">
        <v>31650.35314847107</v>
      </c>
      <c r="BS118" s="2" t="n">
        <v>813.3618181818182</v>
      </c>
      <c r="BT118" s="2" t="n">
        <v>457.8512396694215</v>
      </c>
      <c r="BU118" s="2" t="n">
        <v>6536.243008264463</v>
      </c>
      <c r="BV118" s="2" t="n">
        <v>7807.456066115703</v>
      </c>
      <c r="BW118" s="2" t="n">
        <v>39457.80921458678</v>
      </c>
      <c r="BX118" s="2" t="n">
        <v>16420.84</v>
      </c>
      <c r="BY118" s="2" t="n">
        <v>1382.95</v>
      </c>
      <c r="BZ118" s="2" t="n">
        <v>5669.440000000001</v>
      </c>
      <c r="CA118" s="2" t="n">
        <v>17803.79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1296</v>
      </c>
      <c r="B119" t="inlineStr">
        <is>
          <t>Dworcowa 2, 61-801 Poznań</t>
        </is>
      </c>
      <c r="C119" t="inlineStr">
        <is>
          <t>Poznań Główny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13267.89</v>
      </c>
      <c r="L119" s="2" t="n">
        <v>1104.428991666667</v>
      </c>
      <c r="M119" s="2" t="n">
        <v>12285.08333333333</v>
      </c>
      <c r="N119" s="2" t="n">
        <v>2297.98</v>
      </c>
      <c r="O119" s="2" t="n">
        <v>10632.57</v>
      </c>
      <c r="P119" s="2" t="n">
        <v>337.34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19748.49</v>
      </c>
      <c r="AD119" s="2" t="n">
        <v>1261.709083333334</v>
      </c>
      <c r="AE119" s="2" t="n">
        <v>18285.63888888889</v>
      </c>
      <c r="AF119" s="2" t="n">
        <v>3668.93</v>
      </c>
      <c r="AG119" s="2" t="n">
        <v>15039.09</v>
      </c>
      <c r="AH119" s="2" t="n">
        <v>1040.47</v>
      </c>
      <c r="AI119" s="2" t="n">
        <v>91.77</v>
      </c>
      <c r="AJ119" s="2" t="n">
        <v>6.372916666666666</v>
      </c>
      <c r="AK119" s="2" t="n">
        <v>84.97222222222221</v>
      </c>
      <c r="AL119" s="2" t="n">
        <v>20.78</v>
      </c>
      <c r="AM119" s="2" t="n">
        <v>70.98999999999999</v>
      </c>
      <c r="AN119" s="2" t="n">
        <v>0</v>
      </c>
      <c r="AO119" s="2" t="n">
        <v>5768.030000000001</v>
      </c>
      <c r="AP119" s="2" t="n">
        <v>421.920712962963</v>
      </c>
      <c r="AQ119" s="2" t="n">
        <v>5340.768518518519</v>
      </c>
      <c r="AR119" s="2" t="n">
        <v>1430.98</v>
      </c>
      <c r="AS119" s="2" t="n">
        <v>4161.31</v>
      </c>
      <c r="AT119" s="2" t="n">
        <v>175.74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38876.18</v>
      </c>
      <c r="BB119" s="2" t="n">
        <v>31457.51</v>
      </c>
      <c r="BC119" s="2">
        <f>F119+L119+R119+X119+AD119+AJ119+AP119+AV119+IF(BE119="",0,BE119)</f>
        <v/>
      </c>
      <c r="BD119" s="2" t="n">
        <v>484.445654</v>
      </c>
      <c r="BE119" s="2" t="n"/>
      <c r="BF119" s="2" t="n">
        <v>35996.46296296296</v>
      </c>
      <c r="BG119" s="2" t="n">
        <v>458.58</v>
      </c>
      <c r="BH119" s="2" t="n">
        <v>0</v>
      </c>
      <c r="BI119" s="2" t="n">
        <v>31296.94</v>
      </c>
      <c r="BJ119" s="2" t="n">
        <v>88.06198347107438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424.676385</v>
      </c>
      <c r="BQ119" s="2" t="n">
        <v>0</v>
      </c>
      <c r="BR119" s="2" t="n">
        <v>32293.25836847107</v>
      </c>
      <c r="BS119" s="2" t="n">
        <v>813.3618181818182</v>
      </c>
      <c r="BT119" s="2" t="n">
        <v>457.8512396694215</v>
      </c>
      <c r="BU119" s="2" t="n">
        <v>6627.959008264464</v>
      </c>
      <c r="BV119" s="2" t="n">
        <v>7899.172066115703</v>
      </c>
      <c r="BW119" s="2" t="n">
        <v>40192.43043458678</v>
      </c>
      <c r="BX119" s="2" t="n">
        <v>29903.96</v>
      </c>
      <c r="BY119" s="2" t="n">
        <v>1553.55</v>
      </c>
      <c r="BZ119" s="2" t="n">
        <v>7418.67</v>
      </c>
      <c r="CA119" s="2" t="n">
        <v>31457.51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1297</v>
      </c>
      <c r="B120" t="inlineStr">
        <is>
          <t>Dworcowa 2, 61-801 Poznań</t>
        </is>
      </c>
      <c r="C120" t="inlineStr">
        <is>
          <t>Poznań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6298.59</v>
      </c>
      <c r="L120" s="2" t="n">
        <v>524.2992972222222</v>
      </c>
      <c r="M120" s="2" t="n">
        <v>5832.027777777777</v>
      </c>
      <c r="N120" s="2" t="n">
        <v>886.77</v>
      </c>
      <c r="O120" s="2" t="n">
        <v>4537.75</v>
      </c>
      <c r="P120" s="2" t="n">
        <v>874.0700000000001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8798.59</v>
      </c>
      <c r="AD120" s="2" t="n">
        <v>562.1321388888889</v>
      </c>
      <c r="AE120" s="2" t="n">
        <v>8146.842592592592</v>
      </c>
      <c r="AF120" s="2" t="n">
        <v>1213.45</v>
      </c>
      <c r="AG120" s="2" t="n">
        <v>6361.74</v>
      </c>
      <c r="AH120" s="2" t="n">
        <v>1223.4</v>
      </c>
      <c r="AI120" s="2" t="n">
        <v>61.67</v>
      </c>
      <c r="AJ120" s="2" t="n">
        <v>0</v>
      </c>
      <c r="AK120" s="2" t="n">
        <v>57.10185185185185</v>
      </c>
      <c r="AL120" s="2" t="n">
        <v>0</v>
      </c>
      <c r="AM120" s="2" t="n">
        <v>45.1</v>
      </c>
      <c r="AN120" s="2" t="n">
        <v>16.57</v>
      </c>
      <c r="AO120" s="2" t="n">
        <v>2568.97</v>
      </c>
      <c r="AP120" s="2" t="n">
        <v>187.9153981481482</v>
      </c>
      <c r="AQ120" s="2" t="n">
        <v>2378.675925925926</v>
      </c>
      <c r="AR120" s="2" t="n">
        <v>426.5</v>
      </c>
      <c r="AS120" s="2" t="n">
        <v>1873.97</v>
      </c>
      <c r="AT120" s="2" t="n">
        <v>268.5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17727.82</v>
      </c>
      <c r="BB120" s="2" t="n">
        <v>15201.1</v>
      </c>
      <c r="BC120" s="2">
        <f>F120+L120+R120+X120+AD120+AJ120+AP120+AV120+IF(BE120="",0,BE120)</f>
        <v/>
      </c>
      <c r="BD120" s="2" t="n">
        <v>234.09694</v>
      </c>
      <c r="BE120" s="2" t="n"/>
      <c r="BF120" s="2" t="n">
        <v>16414.64814814815</v>
      </c>
      <c r="BG120" s="2" t="n">
        <v>458.58</v>
      </c>
      <c r="BH120" s="2" t="n">
        <v>0</v>
      </c>
      <c r="BI120" s="2" t="n">
        <v>31296.94</v>
      </c>
      <c r="BJ120" s="2" t="n">
        <v>88.06198347107438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205.21485</v>
      </c>
      <c r="BQ120" s="2" t="n">
        <v>0</v>
      </c>
      <c r="BR120" s="2" t="n">
        <v>32073.79683347107</v>
      </c>
      <c r="BS120" s="2" t="n">
        <v>813.3618181818182</v>
      </c>
      <c r="BT120" s="2" t="n">
        <v>457.8512396694215</v>
      </c>
      <c r="BU120" s="2" t="n">
        <v>6627.959008264464</v>
      </c>
      <c r="BV120" s="2" t="n">
        <v>7899.172066115703</v>
      </c>
      <c r="BW120" s="2" t="n">
        <v>39972.96889958678</v>
      </c>
      <c r="BX120" s="2" t="n">
        <v>12818.56</v>
      </c>
      <c r="BY120" s="2" t="n">
        <v>2382.54</v>
      </c>
      <c r="BZ120" s="2" t="n">
        <v>2526.72</v>
      </c>
      <c r="CA120" s="2" t="n">
        <v>15201.1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1298</v>
      </c>
      <c r="B121" t="inlineStr">
        <is>
          <t>Kolumba 2, 70-035 Szczecin</t>
        </is>
      </c>
      <c r="C121" t="inlineStr">
        <is>
          <t>Szczecin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13653.63</v>
      </c>
      <c r="L121" s="2" t="n">
        <v>1136.538275</v>
      </c>
      <c r="M121" s="2" t="n">
        <v>12642.25</v>
      </c>
      <c r="N121" s="2" t="n">
        <v>4530.44</v>
      </c>
      <c r="O121" s="2" t="n">
        <v>8484.219999999999</v>
      </c>
      <c r="P121" s="2" t="n">
        <v>638.97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29233.15</v>
      </c>
      <c r="AP121" s="2" t="n">
        <v>2138.350787037037</v>
      </c>
      <c r="AQ121" s="2" t="n">
        <v>27067.73148148148</v>
      </c>
      <c r="AR121" s="2" t="n">
        <v>9574.469999999999</v>
      </c>
      <c r="AS121" s="2" t="n">
        <v>17846.78</v>
      </c>
      <c r="AT121" s="2" t="n">
        <v>1811.9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42886.78</v>
      </c>
      <c r="BB121" s="2" t="n">
        <v>28781.87</v>
      </c>
      <c r="BC121" s="2">
        <f>F121+L121+R121+X121+AD121+AJ121+AP121+AV121+IF(BE121="",0,BE121)</f>
        <v/>
      </c>
      <c r="BD121" s="2" t="n">
        <v>443.240798</v>
      </c>
      <c r="BE121" s="2" t="n"/>
      <c r="BF121" s="2" t="n">
        <v>39709.98148148148</v>
      </c>
      <c r="BG121" s="2" t="n">
        <v>1346.7</v>
      </c>
      <c r="BH121" s="2" t="n">
        <v>177.6</v>
      </c>
      <c r="BI121" s="2" t="n">
        <v>31296.94</v>
      </c>
      <c r="BJ121" s="2" t="n">
        <v>88.06198347107438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388.555245</v>
      </c>
      <c r="BQ121" s="2" t="n">
        <v>0</v>
      </c>
      <c r="BR121" s="2" t="n">
        <v>33322.85722847108</v>
      </c>
      <c r="BS121" s="2" t="n">
        <v>813.3618181818182</v>
      </c>
      <c r="BT121" s="2" t="n">
        <v>457.8512396694215</v>
      </c>
      <c r="BU121" s="2" t="n">
        <v>6841.103008264462</v>
      </c>
      <c r="BV121" s="2" t="n">
        <v>8112.316066115702</v>
      </c>
      <c r="BW121" s="2" t="n">
        <v>41435.17329458678</v>
      </c>
      <c r="BX121" s="2" t="n">
        <v>26331</v>
      </c>
      <c r="BY121" s="2" t="n">
        <v>2450.87</v>
      </c>
      <c r="BZ121" s="2" t="n">
        <v>14104.91</v>
      </c>
      <c r="CA121" s="2" t="n">
        <v>28781.87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t="n">
        <v>1299</v>
      </c>
      <c r="B122" t="inlineStr">
        <is>
          <t>Pawia 5a, 31-154 Kraków</t>
        </is>
      </c>
      <c r="C122" t="inlineStr">
        <is>
          <t>Kraków Główny</t>
        </is>
      </c>
      <c r="D122" t="inlineStr">
        <is>
          <t>FAA2000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23211.19</v>
      </c>
      <c r="L122" s="2" t="n">
        <v>1932.116649074075</v>
      </c>
      <c r="M122" s="2" t="n">
        <v>21491.84259259259</v>
      </c>
      <c r="N122" s="2" t="n">
        <v>5159.32</v>
      </c>
      <c r="O122" s="2" t="n">
        <v>17618.72</v>
      </c>
      <c r="P122" s="2" t="n">
        <v>433.15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13131.06</v>
      </c>
      <c r="X122" s="2" t="n">
        <v>750</v>
      </c>
      <c r="Y122" s="2" t="n">
        <v>12158.38888888889</v>
      </c>
      <c r="Z122" s="2" t="n">
        <v>1902.66</v>
      </c>
      <c r="AA122" s="2" t="n">
        <v>10895.24</v>
      </c>
      <c r="AB122" s="2" t="n">
        <v>333.16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10136.1</v>
      </c>
      <c r="AP122" s="2" t="n">
        <v>741.4369444444444</v>
      </c>
      <c r="AQ122" s="2" t="n">
        <v>9385.277777777777</v>
      </c>
      <c r="AR122" s="2" t="n">
        <v>1567.42</v>
      </c>
      <c r="AS122" s="2" t="n">
        <v>8332.18</v>
      </c>
      <c r="AT122" s="2" t="n">
        <v>236.5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46478.35</v>
      </c>
      <c r="BB122" s="2" t="n">
        <v>37848.95</v>
      </c>
      <c r="BC122" s="2">
        <f>F122+L122+R122+X122+AD122+AJ122+AP122+AV122+IF(BE122="",0,BE122)</f>
        <v/>
      </c>
      <c r="BD122" s="2" t="n">
        <v>561.5398700000001</v>
      </c>
      <c r="BE122" s="2" t="n"/>
      <c r="BF122" s="2" t="n">
        <v>43035.50925925926</v>
      </c>
      <c r="BG122" s="2" t="n">
        <v>600</v>
      </c>
      <c r="BH122" s="2" t="n">
        <v>100</v>
      </c>
      <c r="BI122" s="2" t="n">
        <v>31296.94</v>
      </c>
      <c r="BJ122" s="2" t="n">
        <v>88.06198347107438</v>
      </c>
      <c r="BK122" s="2" t="n">
        <v>0</v>
      </c>
      <c r="BL122" s="2" t="n">
        <v>20</v>
      </c>
      <c r="BM122" s="2" t="n">
        <v>0</v>
      </c>
      <c r="BN122" s="2" t="n">
        <v>5</v>
      </c>
      <c r="BO122" s="2" t="n">
        <v>0</v>
      </c>
      <c r="BP122" s="2" t="n">
        <v>510.960825</v>
      </c>
      <c r="BQ122" s="2" t="n">
        <v>0</v>
      </c>
      <c r="BR122" s="2" t="n">
        <v>32620.96280847107</v>
      </c>
      <c r="BS122" s="2" t="n">
        <v>813.3618181818182</v>
      </c>
      <c r="BT122" s="2" t="n">
        <v>457.8512396694215</v>
      </c>
      <c r="BU122" s="2" t="n">
        <v>6676.243008264463</v>
      </c>
      <c r="BV122" s="2" t="n">
        <v>7947.456066115703</v>
      </c>
      <c r="BW122" s="2" t="n">
        <v>40568.41887458677</v>
      </c>
      <c r="BX122" s="2" t="n">
        <v>36846.14</v>
      </c>
      <c r="BY122" s="2" t="n">
        <v>1002.81</v>
      </c>
      <c r="BZ122" s="2" t="n">
        <v>8629.4</v>
      </c>
      <c r="CA122" s="2" t="n">
        <v>37848.95</v>
      </c>
      <c r="CB122" s="2">
        <f>(BC122+IF(BD122="",0,BD122))-BW122</f>
        <v/>
      </c>
      <c r="CC122" t="inlineStr">
        <is>
          <t>ALERT: profit/loss &lt;= -5000</t>
        </is>
      </c>
    </row>
    <row r="123">
      <c r="A123" s="3" t="inlineStr">
        <is>
          <t>PODSUMOWANIE</t>
        </is>
      </c>
      <c r="B123" s="3" t="n"/>
      <c r="C123" s="3" t="n"/>
      <c r="D123" s="3" t="n"/>
      <c r="E123" s="4">
        <f>SUM(E2:E122)</f>
        <v/>
      </c>
      <c r="F123" s="4">
        <f>SUM(F2:F122)</f>
        <v/>
      </c>
      <c r="G123" s="4">
        <f>SUM(G2:G122)</f>
        <v/>
      </c>
      <c r="H123" s="4">
        <f>SUM(H2:H122)</f>
        <v/>
      </c>
      <c r="I123" s="4">
        <f>SUM(I2:I122)</f>
        <v/>
      </c>
      <c r="J123" s="4">
        <f>SUM(J2:J122)</f>
        <v/>
      </c>
      <c r="K123" s="4">
        <f>SUM(K2:K122)</f>
        <v/>
      </c>
      <c r="L123" s="4">
        <f>SUM(L2:L122)</f>
        <v/>
      </c>
      <c r="M123" s="4">
        <f>SUM(M2:M122)</f>
        <v/>
      </c>
      <c r="N123" s="4">
        <f>SUM(N2:N122)</f>
        <v/>
      </c>
      <c r="O123" s="4">
        <f>SUM(O2:O122)</f>
        <v/>
      </c>
      <c r="P123" s="4">
        <f>SUM(P2:P122)</f>
        <v/>
      </c>
      <c r="Q123" s="4">
        <f>SUM(Q2:Q122)</f>
        <v/>
      </c>
      <c r="R123" s="4">
        <f>SUM(R2:R122)</f>
        <v/>
      </c>
      <c r="S123" s="4">
        <f>SUM(S2:S122)</f>
        <v/>
      </c>
      <c r="T123" s="4">
        <f>SUM(T2:T122)</f>
        <v/>
      </c>
      <c r="U123" s="4">
        <f>SUM(U2:U122)</f>
        <v/>
      </c>
      <c r="V123" s="4">
        <f>SUM(V2:V122)</f>
        <v/>
      </c>
      <c r="W123" s="4">
        <f>SUM(W2:W122)</f>
        <v/>
      </c>
      <c r="X123" s="4">
        <f>SUM(X2:X122)</f>
        <v/>
      </c>
      <c r="Y123" s="4">
        <f>SUM(Y2:Y122)</f>
        <v/>
      </c>
      <c r="Z123" s="4">
        <f>SUM(Z2:Z122)</f>
        <v/>
      </c>
      <c r="AA123" s="4">
        <f>SUM(AA2:AA122)</f>
        <v/>
      </c>
      <c r="AB123" s="4">
        <f>SUM(AB2:AB122)</f>
        <v/>
      </c>
      <c r="AC123" s="4">
        <f>SUM(AC2:AC122)</f>
        <v/>
      </c>
      <c r="AD123" s="4">
        <f>SUM(AD2:AD122)</f>
        <v/>
      </c>
      <c r="AE123" s="4">
        <f>SUM(AE2:AE122)</f>
        <v/>
      </c>
      <c r="AF123" s="4">
        <f>SUM(AF2:AF122)</f>
        <v/>
      </c>
      <c r="AG123" s="4">
        <f>SUM(AG2:AG122)</f>
        <v/>
      </c>
      <c r="AH123" s="4">
        <f>SUM(AH2:AH122)</f>
        <v/>
      </c>
      <c r="AI123" s="4">
        <f>SUM(AI2:AI122)</f>
        <v/>
      </c>
      <c r="AJ123" s="4">
        <f>SUM(AJ2:AJ122)</f>
        <v/>
      </c>
      <c r="AK123" s="4">
        <f>SUM(AK2:AK122)</f>
        <v/>
      </c>
      <c r="AL123" s="4">
        <f>SUM(AL2:AL122)</f>
        <v/>
      </c>
      <c r="AM123" s="4">
        <f>SUM(AM2:AM122)</f>
        <v/>
      </c>
      <c r="AN123" s="4">
        <f>SUM(AN2:AN122)</f>
        <v/>
      </c>
      <c r="AO123" s="4">
        <f>SUM(AO2:AO122)</f>
        <v/>
      </c>
      <c r="AP123" s="4">
        <f>SUM(AP2:AP122)</f>
        <v/>
      </c>
      <c r="AQ123" s="4">
        <f>SUM(AQ2:AQ122)</f>
        <v/>
      </c>
      <c r="AR123" s="4">
        <f>SUM(AR2:AR122)</f>
        <v/>
      </c>
      <c r="AS123" s="4">
        <f>SUM(AS2:AS122)</f>
        <v/>
      </c>
      <c r="AT123" s="4">
        <f>SUM(AT2:AT122)</f>
        <v/>
      </c>
      <c r="AU123" s="4">
        <f>SUM(AU2:AU122)</f>
        <v/>
      </c>
      <c r="AV123" s="4">
        <f>SUM(AV2:AV122)</f>
        <v/>
      </c>
      <c r="AW123" s="4">
        <f>SUM(AW2:AW122)</f>
        <v/>
      </c>
      <c r="AX123" s="4">
        <f>SUM(AX2:AX122)</f>
        <v/>
      </c>
      <c r="AY123" s="4">
        <f>SUM(AY2:AY122)</f>
        <v/>
      </c>
      <c r="AZ123" s="4">
        <f>SUM(AZ2:AZ122)</f>
        <v/>
      </c>
      <c r="BA123" s="4">
        <f>SUM(BA2:BA122)</f>
        <v/>
      </c>
      <c r="BB123" s="4">
        <f>SUM(BB2:BB122)</f>
        <v/>
      </c>
      <c r="BC123" s="4">
        <f>SUM(BC2:BC122)</f>
        <v/>
      </c>
      <c r="BD123" s="4">
        <f>SUM(BD2:BD122)</f>
        <v/>
      </c>
      <c r="BE123" s="4">
        <f>SUM(BE2:BE122)</f>
        <v/>
      </c>
      <c r="BF123" s="4">
        <f>SUM(BF2:BF122)</f>
        <v/>
      </c>
      <c r="BG123" s="4">
        <f>SUM(BG2:BG122)</f>
        <v/>
      </c>
      <c r="BH123" s="4">
        <f>SUM(BH2:BH122)</f>
        <v/>
      </c>
      <c r="BI123" s="4">
        <f>SUM(BI2:BI122)</f>
        <v/>
      </c>
      <c r="BJ123" s="4">
        <f>SUM(BJ2:BJ122)</f>
        <v/>
      </c>
      <c r="BK123" s="4">
        <f>SUM(BK2:BK122)</f>
        <v/>
      </c>
      <c r="BL123" s="4">
        <f>SUM(BL2:BL122)</f>
        <v/>
      </c>
      <c r="BM123" s="4">
        <f>SUM(BM2:BM122)</f>
        <v/>
      </c>
      <c r="BN123" s="4">
        <f>SUM(BN2:BN122)</f>
        <v/>
      </c>
      <c r="BO123" s="4">
        <f>SUM(BO2:BO122)</f>
        <v/>
      </c>
      <c r="BP123" s="4">
        <f>SUM(BP2:BP122)</f>
        <v/>
      </c>
      <c r="BQ123" s="4">
        <f>SUM(BQ2:BQ122)</f>
        <v/>
      </c>
      <c r="BR123" s="4">
        <f>SUM(BR2:BR122)</f>
        <v/>
      </c>
      <c r="BS123" s="4">
        <f>SUM(BS2:BS122)</f>
        <v/>
      </c>
      <c r="BT123" s="4">
        <f>SUM(BT2:BT122)</f>
        <v/>
      </c>
      <c r="BU123" s="4">
        <f>SUM(BU2:BU122)</f>
        <v/>
      </c>
      <c r="BV123" s="4">
        <f>SUM(BV2:BV122)</f>
        <v/>
      </c>
      <c r="BW123" s="4">
        <f>SUM(BW2:BW122)</f>
        <v/>
      </c>
      <c r="BX123" s="4">
        <f>SUM(BX2:BX122)</f>
        <v/>
      </c>
      <c r="BY123" s="4">
        <f>SUM(BY2:BY122)</f>
        <v/>
      </c>
      <c r="BZ123" s="4">
        <f>SUM(BZ2:BZ122)</f>
        <v/>
      </c>
      <c r="CA123" s="4">
        <f>SUM(CA2:CA122)</f>
        <v/>
      </c>
      <c r="CB123" s="4">
        <f>SUM(CB2:CB122)</f>
        <v/>
      </c>
      <c r="CC123" s="3" t="n"/>
    </row>
  </sheetData>
  <conditionalFormatting sqref="CB2:CB122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12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0" customWidth="1" min="6" max="6"/>
    <col width="19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1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1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20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17155.98</v>
      </c>
      <c r="L2" s="2" t="n">
        <v>1428.076483333333</v>
      </c>
      <c r="M2" s="2" t="n">
        <v>15885.16666666667</v>
      </c>
      <c r="N2" s="2" t="n">
        <v>0</v>
      </c>
      <c r="O2" s="2" t="n">
        <v>16837.53</v>
      </c>
      <c r="P2" s="2" t="n">
        <v>318.45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23131.3</v>
      </c>
      <c r="X2" s="2" t="n">
        <v>750</v>
      </c>
      <c r="Y2" s="2" t="n">
        <v>21417.87037037037</v>
      </c>
      <c r="Z2" s="2" t="n">
        <v>0</v>
      </c>
      <c r="AA2" s="2" t="n">
        <v>22409.83</v>
      </c>
      <c r="AB2" s="2" t="n">
        <v>721.47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12650.67</v>
      </c>
      <c r="AP2" s="2" t="n">
        <v>585.6791666666667</v>
      </c>
      <c r="AQ2" s="2" t="n">
        <v>11713.58333333333</v>
      </c>
      <c r="AR2" s="2" t="n">
        <v>0</v>
      </c>
      <c r="AS2" s="2" t="n">
        <v>11978.54</v>
      </c>
      <c r="AT2" s="2" t="n">
        <v>672.13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52937.95</v>
      </c>
      <c r="BB2" s="2" t="n">
        <v>52937.95</v>
      </c>
      <c r="BC2" s="2">
        <f>F2+L2+R2+X2+AD2+AJ2+AP2+AV2+IF(BE2="",0,BE2)</f>
        <v/>
      </c>
      <c r="BD2" s="2" t="n">
        <v>771.2949600000001</v>
      </c>
      <c r="BE2" s="2" t="n"/>
      <c r="BF2" s="2" t="n">
        <v>49016.62037037036</v>
      </c>
      <c r="BG2" s="2" t="n">
        <v>1175.06</v>
      </c>
      <c r="BH2" s="2" t="n">
        <v>264</v>
      </c>
      <c r="BI2" s="2" t="n">
        <v>32586.6</v>
      </c>
      <c r="BJ2" s="2" t="n">
        <v>87.34377049180328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714.662325</v>
      </c>
      <c r="BQ2" s="2" t="n">
        <v>0</v>
      </c>
      <c r="BR2" s="2" t="n">
        <v>34852.6660954918</v>
      </c>
      <c r="BS2" s="2" t="n">
        <v>938.6213934426229</v>
      </c>
      <c r="BT2" s="2" t="n">
        <v>393.4426229508197</v>
      </c>
      <c r="BU2" s="2" t="n">
        <v>7094.013557377049</v>
      </c>
      <c r="BV2" s="2" t="n">
        <v>8426.077573770492</v>
      </c>
      <c r="BW2" s="2" t="n">
        <v>43278.74366926229</v>
      </c>
      <c r="BX2" s="2" t="n">
        <v>51225.9</v>
      </c>
      <c r="BY2" s="2" t="n">
        <v>1712.05</v>
      </c>
      <c r="BZ2" s="2" t="n">
        <v>0</v>
      </c>
      <c r="CA2" s="2" t="n">
        <v>52937.95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3281.33</v>
      </c>
      <c r="L3" s="2" t="n">
        <v>273.1403398148149</v>
      </c>
      <c r="M3" s="2" t="n">
        <v>3038.268518518519</v>
      </c>
      <c r="N3" s="2" t="n">
        <v>0</v>
      </c>
      <c r="O3" s="2" t="n">
        <v>3145.8</v>
      </c>
      <c r="P3" s="2" t="n">
        <v>135.53</v>
      </c>
      <c r="Q3" s="2" t="n">
        <v>3448.67</v>
      </c>
      <c r="R3" s="2" t="n">
        <v>239.4909722222222</v>
      </c>
      <c r="S3" s="2" t="n">
        <v>3193.212962962963</v>
      </c>
      <c r="T3" s="2" t="n">
        <v>0</v>
      </c>
      <c r="U3" s="2" t="n">
        <v>3196.65</v>
      </c>
      <c r="V3" s="2" t="n">
        <v>252.02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8523.710000000001</v>
      </c>
      <c r="AP3" s="2" t="n">
        <v>394.6162037037038</v>
      </c>
      <c r="AQ3" s="2" t="n">
        <v>7892.324074074075</v>
      </c>
      <c r="AR3" s="2" t="n">
        <v>0</v>
      </c>
      <c r="AS3" s="2" t="n">
        <v>7890.81</v>
      </c>
      <c r="AT3" s="2" t="n">
        <v>632.9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15253.71</v>
      </c>
      <c r="BB3" s="2" t="n">
        <v>15253.71</v>
      </c>
      <c r="BC3" s="2">
        <f>F3+L3+R3+X3+AD3+AJ3+AP3+AV3+IF(BE3="",0,BE3)</f>
        <v/>
      </c>
      <c r="BD3" s="2" t="n">
        <v>234.907134</v>
      </c>
      <c r="BE3" s="2" t="n"/>
      <c r="BF3" s="2" t="n">
        <v>14123.80555555556</v>
      </c>
      <c r="BG3" s="2" t="n">
        <v>0</v>
      </c>
      <c r="BH3" s="2" t="n">
        <v>0</v>
      </c>
      <c r="BI3" s="2" t="n">
        <v>32586.6</v>
      </c>
      <c r="BJ3" s="2" t="n">
        <v>87.34377049180328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205.925085</v>
      </c>
      <c r="BQ3" s="2" t="n">
        <v>0</v>
      </c>
      <c r="BR3" s="2" t="n">
        <v>32904.8688554918</v>
      </c>
      <c r="BS3" s="2" t="n">
        <v>938.6213934426229</v>
      </c>
      <c r="BT3" s="2" t="n">
        <v>393.4426229508197</v>
      </c>
      <c r="BU3" s="2" t="n">
        <v>6806.20155737705</v>
      </c>
      <c r="BV3" s="2" t="n">
        <v>8138.265573770492</v>
      </c>
      <c r="BW3" s="2" t="n">
        <v>41043.1344292623</v>
      </c>
      <c r="BX3" s="2" t="n">
        <v>14233.26</v>
      </c>
      <c r="BY3" s="2" t="n">
        <v>1020.45</v>
      </c>
      <c r="BZ3" s="2" t="n">
        <v>0</v>
      </c>
      <c r="CA3" s="2" t="n">
        <v>15253.71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7460.4</v>
      </c>
      <c r="L4" s="2" t="n">
        <v>621.0092222222222</v>
      </c>
      <c r="M4" s="2" t="n">
        <v>6907.777777777777</v>
      </c>
      <c r="N4" s="2" t="n">
        <v>0</v>
      </c>
      <c r="O4" s="2" t="n">
        <v>6981.53</v>
      </c>
      <c r="P4" s="2" t="n">
        <v>478.87</v>
      </c>
      <c r="Q4" s="2" t="n">
        <v>15596.78</v>
      </c>
      <c r="R4" s="2" t="n">
        <v>500</v>
      </c>
      <c r="S4" s="2" t="n">
        <v>14441.46296296296</v>
      </c>
      <c r="T4" s="2" t="n">
        <v>0</v>
      </c>
      <c r="U4" s="2" t="n">
        <v>15000.61</v>
      </c>
      <c r="V4" s="2" t="n">
        <v>596.17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5591.25</v>
      </c>
      <c r="AP4" s="2" t="n">
        <v>258.8541666666667</v>
      </c>
      <c r="AQ4" s="2" t="n">
        <v>5177.083333333333</v>
      </c>
      <c r="AR4" s="2" t="n">
        <v>0</v>
      </c>
      <c r="AS4" s="2" t="n">
        <v>5364.61</v>
      </c>
      <c r="AT4" s="2" t="n">
        <v>226.64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28648.43</v>
      </c>
      <c r="BB4" s="2" t="n">
        <v>28648.43</v>
      </c>
      <c r="BC4" s="2">
        <f>F4+L4+R4+X4+AD4+AJ4+AP4+AV4+IF(BE4="",0,BE4)</f>
        <v/>
      </c>
      <c r="BD4" s="2" t="n">
        <v>441.185822</v>
      </c>
      <c r="BE4" s="2" t="n"/>
      <c r="BF4" s="2" t="n">
        <v>26526.32407407407</v>
      </c>
      <c r="BG4" s="2" t="n">
        <v>0</v>
      </c>
      <c r="BH4" s="2" t="n">
        <v>0</v>
      </c>
      <c r="BI4" s="2" t="n">
        <v>32586.6</v>
      </c>
      <c r="BJ4" s="2" t="n">
        <v>87.34377049180328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386.753805</v>
      </c>
      <c r="BQ4" s="2" t="n">
        <v>0</v>
      </c>
      <c r="BR4" s="2" t="n">
        <v>33085.6975754918</v>
      </c>
      <c r="BS4" s="2" t="n">
        <v>938.6213934426229</v>
      </c>
      <c r="BT4" s="2" t="n">
        <v>393.4426229508197</v>
      </c>
      <c r="BU4" s="2" t="n">
        <v>6806.20155737705</v>
      </c>
      <c r="BV4" s="2" t="n">
        <v>8138.265573770492</v>
      </c>
      <c r="BW4" s="2" t="n">
        <v>41223.96314926229</v>
      </c>
      <c r="BX4" s="2" t="n">
        <v>27346.75</v>
      </c>
      <c r="BY4" s="2" t="n">
        <v>1301.68</v>
      </c>
      <c r="BZ4" s="2" t="n">
        <v>0</v>
      </c>
      <c r="CA4" s="2" t="n">
        <v>28648.43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24808.35</v>
      </c>
      <c r="L5" s="2" t="n">
        <v>2065.065430555555</v>
      </c>
      <c r="M5" s="2" t="n">
        <v>22970.69444444444</v>
      </c>
      <c r="N5" s="2" t="n">
        <v>0</v>
      </c>
      <c r="O5" s="2" t="n">
        <v>22745.71</v>
      </c>
      <c r="P5" s="2" t="n">
        <v>2062.64</v>
      </c>
      <c r="Q5" s="2" t="n">
        <v>22</v>
      </c>
      <c r="R5" s="2" t="n">
        <v>1.527777777777778</v>
      </c>
      <c r="S5" s="2" t="n">
        <v>20.37037037037037</v>
      </c>
      <c r="T5" s="2" t="n">
        <v>0</v>
      </c>
      <c r="U5" s="2" t="n">
        <v>22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37329.57</v>
      </c>
      <c r="AD5" s="2" t="n">
        <v>2384.94475</v>
      </c>
      <c r="AE5" s="2" t="n">
        <v>34564.41666666666</v>
      </c>
      <c r="AF5" s="2" t="n">
        <v>0</v>
      </c>
      <c r="AG5" s="2" t="n">
        <v>34510.4</v>
      </c>
      <c r="AH5" s="2" t="n">
        <v>2819.17</v>
      </c>
      <c r="AI5" s="2" t="n">
        <v>26.3</v>
      </c>
      <c r="AJ5" s="2" t="n">
        <v>1.826388888888889</v>
      </c>
      <c r="AK5" s="2" t="n">
        <v>24.35185185185185</v>
      </c>
      <c r="AL5" s="2" t="n">
        <v>0</v>
      </c>
      <c r="AM5" s="2" t="n">
        <v>26.3</v>
      </c>
      <c r="AN5" s="2" t="n">
        <v>0</v>
      </c>
      <c r="AO5" s="2" t="n">
        <v>14524.17</v>
      </c>
      <c r="AP5" s="2" t="n">
        <v>672.4152777777778</v>
      </c>
      <c r="AQ5" s="2" t="n">
        <v>13448.30555555555</v>
      </c>
      <c r="AR5" s="2" t="n">
        <v>0</v>
      </c>
      <c r="AS5" s="2" t="n">
        <v>13233.86</v>
      </c>
      <c r="AT5" s="2" t="n">
        <v>1290.31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76710.39</v>
      </c>
      <c r="BB5" s="2" t="n">
        <v>76710.39</v>
      </c>
      <c r="BC5" s="2">
        <f>F5+L5+R5+X5+AD5+AJ5+AP5+AV5+IF(BE5="",0,BE5)</f>
        <v/>
      </c>
      <c r="BD5" s="2" t="n">
        <v>1181.340006</v>
      </c>
      <c r="BE5" s="2" t="n"/>
      <c r="BF5" s="2" t="n">
        <v>71028.13888888888</v>
      </c>
      <c r="BG5" s="2" t="n">
        <v>0</v>
      </c>
      <c r="BH5" s="2" t="n">
        <v>0</v>
      </c>
      <c r="BI5" s="2" t="n">
        <v>32586.6</v>
      </c>
      <c r="BJ5" s="2" t="n">
        <v>87.34377049180328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1035.590265</v>
      </c>
      <c r="BQ5" s="2" t="n">
        <v>0</v>
      </c>
      <c r="BR5" s="2" t="n">
        <v>33734.5340354918</v>
      </c>
      <c r="BS5" s="2" t="n">
        <v>938.6213934426229</v>
      </c>
      <c r="BT5" s="2" t="n">
        <v>393.4426229508197</v>
      </c>
      <c r="BU5" s="2" t="n">
        <v>6806.20155737705</v>
      </c>
      <c r="BV5" s="2" t="n">
        <v>8138.265573770492</v>
      </c>
      <c r="BW5" s="2" t="n">
        <v>41872.79960926229</v>
      </c>
      <c r="BX5" s="2" t="n">
        <v>70538.27</v>
      </c>
      <c r="BY5" s="2" t="n">
        <v>6172.119999999999</v>
      </c>
      <c r="BZ5" s="2" t="n">
        <v>0</v>
      </c>
      <c r="CA5" s="2" t="n">
        <v>76710.39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3203.59</v>
      </c>
      <c r="L6" s="2" t="n">
        <v>266.6692046296296</v>
      </c>
      <c r="M6" s="2" t="n">
        <v>2966.287037037036</v>
      </c>
      <c r="N6" s="2" t="n">
        <v>0</v>
      </c>
      <c r="O6" s="2" t="n">
        <v>3089.74</v>
      </c>
      <c r="P6" s="2" t="n">
        <v>113.85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9721.51</v>
      </c>
      <c r="AP6" s="2" t="n">
        <v>450.0699074074074</v>
      </c>
      <c r="AQ6" s="2" t="n">
        <v>9001.398148148148</v>
      </c>
      <c r="AR6" s="2" t="n">
        <v>0</v>
      </c>
      <c r="AS6" s="2" t="n">
        <v>8944.620000000001</v>
      </c>
      <c r="AT6" s="2" t="n">
        <v>776.89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12925.1</v>
      </c>
      <c r="BB6" s="2" t="n">
        <v>12925.1</v>
      </c>
      <c r="BC6" s="2">
        <f>F6+L6+R6+X6+AD6+AJ6+AP6+AV6+IF(BE6="",0,BE6)</f>
        <v/>
      </c>
      <c r="BD6" s="2" t="n">
        <v>199.04654</v>
      </c>
      <c r="BE6" s="2" t="n"/>
      <c r="BF6" s="2" t="n">
        <v>11967.68518518518</v>
      </c>
      <c r="BG6" s="2" t="n">
        <v>0</v>
      </c>
      <c r="BH6" s="2" t="n">
        <v>0</v>
      </c>
      <c r="BI6" s="2" t="n">
        <v>32586.6</v>
      </c>
      <c r="BJ6" s="2" t="n">
        <v>87.34377049180328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174.48885</v>
      </c>
      <c r="BQ6" s="2" t="n">
        <v>0</v>
      </c>
      <c r="BR6" s="2" t="n">
        <v>32873.4326204918</v>
      </c>
      <c r="BS6" s="2" t="n">
        <v>938.6213934426229</v>
      </c>
      <c r="BT6" s="2" t="n">
        <v>393.4426229508197</v>
      </c>
      <c r="BU6" s="2" t="n">
        <v>6806.20155737705</v>
      </c>
      <c r="BV6" s="2" t="n">
        <v>8138.265573770492</v>
      </c>
      <c r="BW6" s="2" t="n">
        <v>41011.6981942623</v>
      </c>
      <c r="BX6" s="2" t="n">
        <v>12034.36</v>
      </c>
      <c r="BY6" s="2" t="n">
        <v>890.74</v>
      </c>
      <c r="BZ6" s="2" t="n">
        <v>0</v>
      </c>
      <c r="CA6" s="2" t="n">
        <v>12925.1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4.22</v>
      </c>
      <c r="F7" s="2" t="n">
        <v>0.2735185185185185</v>
      </c>
      <c r="G7" s="2" t="n">
        <v>3.907407407407407</v>
      </c>
      <c r="H7" s="2" t="n">
        <v>0</v>
      </c>
      <c r="I7" s="2" t="n">
        <v>4.22</v>
      </c>
      <c r="J7" s="2" t="n">
        <v>0</v>
      </c>
      <c r="K7" s="2" t="n">
        <v>15799.92</v>
      </c>
      <c r="L7" s="2" t="n">
        <v>1315.197044444444</v>
      </c>
      <c r="M7" s="2" t="n">
        <v>14629.55555555555</v>
      </c>
      <c r="N7" s="2" t="n">
        <v>0</v>
      </c>
      <c r="O7" s="2" t="n">
        <v>14251.86</v>
      </c>
      <c r="P7" s="2" t="n">
        <v>1548.06</v>
      </c>
      <c r="Q7" s="2" t="n">
        <v>53.8</v>
      </c>
      <c r="R7" s="2" t="n">
        <v>3.736111111111111</v>
      </c>
      <c r="S7" s="2" t="n">
        <v>49.81481481481481</v>
      </c>
      <c r="T7" s="2" t="n">
        <v>0</v>
      </c>
      <c r="U7" s="2" t="n">
        <v>53.8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31943.42</v>
      </c>
      <c r="AP7" s="2" t="n">
        <v>1478.862037037037</v>
      </c>
      <c r="AQ7" s="2" t="n">
        <v>29577.24074074074</v>
      </c>
      <c r="AR7" s="2" t="n">
        <v>0</v>
      </c>
      <c r="AS7" s="2" t="n">
        <v>29338.38</v>
      </c>
      <c r="AT7" s="2" t="n">
        <v>2605.04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47801.36</v>
      </c>
      <c r="BB7" s="2" t="n">
        <v>47801.36</v>
      </c>
      <c r="BC7" s="2">
        <f>F7+L7+R7+X7+AD7+AJ7+AP7+AV7+IF(BE7="",0,BE7)</f>
        <v/>
      </c>
      <c r="BD7" s="2" t="n">
        <v>736.1409440000001</v>
      </c>
      <c r="BE7" s="2" t="n"/>
      <c r="BF7" s="2" t="n">
        <v>44260.51851851852</v>
      </c>
      <c r="BG7" s="2" t="n">
        <v>0</v>
      </c>
      <c r="BH7" s="2" t="n">
        <v>0</v>
      </c>
      <c r="BI7" s="2" t="n">
        <v>32586.6</v>
      </c>
      <c r="BJ7" s="2" t="n">
        <v>87.34377049180328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645.31836</v>
      </c>
      <c r="BQ7" s="2" t="n">
        <v>0</v>
      </c>
      <c r="BR7" s="2" t="n">
        <v>33344.2621304918</v>
      </c>
      <c r="BS7" s="2" t="n">
        <v>938.6213934426229</v>
      </c>
      <c r="BT7" s="2" t="n">
        <v>393.4426229508197</v>
      </c>
      <c r="BU7" s="2" t="n">
        <v>6806.20155737705</v>
      </c>
      <c r="BV7" s="2" t="n">
        <v>8138.265573770492</v>
      </c>
      <c r="BW7" s="2" t="n">
        <v>41482.52770426229</v>
      </c>
      <c r="BX7" s="2" t="n">
        <v>43648.26</v>
      </c>
      <c r="BY7" s="2" t="n">
        <v>4153.1</v>
      </c>
      <c r="BZ7" s="2" t="n">
        <v>0</v>
      </c>
      <c r="CA7" s="2" t="n">
        <v>47801.36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9838.019999999999</v>
      </c>
      <c r="L8" s="2" t="n">
        <v>818.9240722222221</v>
      </c>
      <c r="M8" s="2" t="n">
        <v>9109.277777777776</v>
      </c>
      <c r="N8" s="2" t="n">
        <v>0</v>
      </c>
      <c r="O8" s="2" t="n">
        <v>9090.459999999999</v>
      </c>
      <c r="P8" s="2" t="n">
        <v>747.5599999999999</v>
      </c>
      <c r="Q8" s="2" t="n">
        <v>3.84</v>
      </c>
      <c r="R8" s="2" t="n">
        <v>0.2666666666666667</v>
      </c>
      <c r="S8" s="2" t="n">
        <v>3.555555555555555</v>
      </c>
      <c r="T8" s="2" t="n">
        <v>0</v>
      </c>
      <c r="U8" s="2" t="n">
        <v>3.84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18803.3</v>
      </c>
      <c r="AP8" s="2" t="n">
        <v>870.523148148148</v>
      </c>
      <c r="AQ8" s="2" t="n">
        <v>17410.46296296296</v>
      </c>
      <c r="AR8" s="2" t="n">
        <v>0</v>
      </c>
      <c r="AS8" s="2" t="n">
        <v>17921.13</v>
      </c>
      <c r="AT8" s="2" t="n">
        <v>882.17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28645.16</v>
      </c>
      <c r="BB8" s="2" t="n">
        <v>28645.16</v>
      </c>
      <c r="BC8" s="2">
        <f>F8+L8+R8+X8+AD8+AJ8+AP8+AV8+IF(BE8="",0,BE8)</f>
        <v/>
      </c>
      <c r="BD8" s="2" t="n">
        <v>441.135464</v>
      </c>
      <c r="BE8" s="2" t="n"/>
      <c r="BF8" s="2" t="n">
        <v>26523.29629629629</v>
      </c>
      <c r="BG8" s="2" t="n">
        <v>0</v>
      </c>
      <c r="BH8" s="2" t="n">
        <v>0</v>
      </c>
      <c r="BI8" s="2" t="n">
        <v>1086.22</v>
      </c>
      <c r="BJ8" s="2" t="n">
        <v>87.34377049180328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386.70966</v>
      </c>
      <c r="BQ8" s="2" t="n">
        <v>0</v>
      </c>
      <c r="BR8" s="2" t="n">
        <v>1585.273430491803</v>
      </c>
      <c r="BS8" s="2" t="n">
        <v>938.6213934426229</v>
      </c>
      <c r="BT8" s="2" t="n">
        <v>393.4426229508197</v>
      </c>
      <c r="BU8" s="2" t="n">
        <v>506.1255573770492</v>
      </c>
      <c r="BV8" s="2" t="n">
        <v>1838.189573770492</v>
      </c>
      <c r="BW8" s="2" t="n">
        <v>3423.463004262295</v>
      </c>
      <c r="BX8" s="2" t="n">
        <v>27015.43</v>
      </c>
      <c r="BY8" s="2" t="n">
        <v>1629.73</v>
      </c>
      <c r="BZ8" s="2" t="n">
        <v>0</v>
      </c>
      <c r="CA8" s="2" t="n">
        <v>28645.16</v>
      </c>
      <c r="CB8" s="2">
        <f>(BC8+IF(BD8="",0,BD8))-BW8</f>
        <v/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8053.23</v>
      </c>
      <c r="L9" s="2" t="n">
        <v>670.3568305555556</v>
      </c>
      <c r="M9" s="2" t="n">
        <v>7456.694444444443</v>
      </c>
      <c r="N9" s="2" t="n">
        <v>0</v>
      </c>
      <c r="O9" s="2" t="n">
        <v>7744.23</v>
      </c>
      <c r="P9" s="2" t="n">
        <v>309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17728.58</v>
      </c>
      <c r="AP9" s="2" t="n">
        <v>820.7675925925928</v>
      </c>
      <c r="AQ9" s="2" t="n">
        <v>16415.35185185185</v>
      </c>
      <c r="AR9" s="2" t="n">
        <v>0</v>
      </c>
      <c r="AS9" s="2" t="n">
        <v>16190.1</v>
      </c>
      <c r="AT9" s="2" t="n">
        <v>1538.48</v>
      </c>
      <c r="AU9" s="2" t="n">
        <v>170.7</v>
      </c>
      <c r="AV9" s="2" t="n">
        <v>6.796388888888888</v>
      </c>
      <c r="AW9" s="2" t="n">
        <v>158.0555555555555</v>
      </c>
      <c r="AX9" s="2" t="n">
        <v>0</v>
      </c>
      <c r="AY9" s="2" t="n">
        <v>144.5</v>
      </c>
      <c r="AZ9" s="2" t="n">
        <v>26.2</v>
      </c>
      <c r="BA9" s="2" t="n">
        <v>25952.51</v>
      </c>
      <c r="BB9" s="2" t="n">
        <v>25952.51</v>
      </c>
      <c r="BC9" s="2">
        <f>F9+L9+R9+X9+AD9+AJ9+AP9+AV9+IF(BE9="",0,BE9)</f>
        <v/>
      </c>
      <c r="BD9" s="2" t="n">
        <v>399.6686540000001</v>
      </c>
      <c r="BE9" s="2" t="n"/>
      <c r="BF9" s="2" t="n">
        <v>24030.10185185185</v>
      </c>
      <c r="BG9" s="2" t="n">
        <v>0</v>
      </c>
      <c r="BH9" s="2" t="n">
        <v>0</v>
      </c>
      <c r="BI9" s="2" t="n">
        <v>32586.6</v>
      </c>
      <c r="BJ9" s="2" t="n">
        <v>87.34377049180328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350.358885</v>
      </c>
      <c r="BQ9" s="2" t="n">
        <v>0</v>
      </c>
      <c r="BR9" s="2" t="n">
        <v>33049.3026554918</v>
      </c>
      <c r="BS9" s="2" t="n">
        <v>938.6213934426229</v>
      </c>
      <c r="BT9" s="2" t="n">
        <v>393.4426229508197</v>
      </c>
      <c r="BU9" s="2" t="n">
        <v>6806.20155737705</v>
      </c>
      <c r="BV9" s="2" t="n">
        <v>8138.265573770492</v>
      </c>
      <c r="BW9" s="2" t="n">
        <v>41187.5682292623</v>
      </c>
      <c r="BX9" s="2" t="n">
        <v>24078.83</v>
      </c>
      <c r="BY9" s="2" t="n">
        <v>1873.68</v>
      </c>
      <c r="BZ9" s="2" t="n">
        <v>0</v>
      </c>
      <c r="CA9" s="2" t="n">
        <v>25952.51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3158.54</v>
      </c>
      <c r="L10" s="2" t="n">
        <v>262.9192092592593</v>
      </c>
      <c r="M10" s="2" t="n">
        <v>2924.574074074074</v>
      </c>
      <c r="N10" s="2" t="n">
        <v>0</v>
      </c>
      <c r="O10" s="2" t="n">
        <v>3022.54</v>
      </c>
      <c r="P10" s="2" t="n">
        <v>136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4393.82</v>
      </c>
      <c r="AP10" s="2" t="n">
        <v>203.4175925925926</v>
      </c>
      <c r="AQ10" s="2" t="n">
        <v>4068.351851851851</v>
      </c>
      <c r="AR10" s="2" t="n">
        <v>0</v>
      </c>
      <c r="AS10" s="2" t="n">
        <v>4236.09</v>
      </c>
      <c r="AT10" s="2" t="n">
        <v>157.73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7552.36</v>
      </c>
      <c r="BB10" s="2" t="n">
        <v>7552.36</v>
      </c>
      <c r="BC10" s="2">
        <f>F10+L10+R10+X10+AD10+AJ10+AP10+AV10+IF(BE10="",0,BE10)</f>
        <v/>
      </c>
      <c r="BD10" s="2" t="n">
        <v>116.306344</v>
      </c>
      <c r="BE10" s="2" t="n"/>
      <c r="BF10" s="2" t="n">
        <v>6992.925925925925</v>
      </c>
      <c r="BG10" s="2" t="n">
        <v>0</v>
      </c>
      <c r="BH10" s="2" t="n">
        <v>0</v>
      </c>
      <c r="BI10" s="2" t="n">
        <v>32586.6</v>
      </c>
      <c r="BJ10" s="2" t="n">
        <v>87.34377049180328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101.95686</v>
      </c>
      <c r="BQ10" s="2" t="n">
        <v>0</v>
      </c>
      <c r="BR10" s="2" t="n">
        <v>32800.9006304918</v>
      </c>
      <c r="BS10" s="2" t="n">
        <v>938.6213934426229</v>
      </c>
      <c r="BT10" s="2" t="n">
        <v>393.4426229508197</v>
      </c>
      <c r="BU10" s="2" t="n">
        <v>6806.20155737705</v>
      </c>
      <c r="BV10" s="2" t="n">
        <v>8138.265573770492</v>
      </c>
      <c r="BW10" s="2" t="n">
        <v>40939.16620426229</v>
      </c>
      <c r="BX10" s="2" t="n">
        <v>7258.63</v>
      </c>
      <c r="BY10" s="2" t="n">
        <v>293.73</v>
      </c>
      <c r="BZ10" s="2" t="n">
        <v>0</v>
      </c>
      <c r="CA10" s="2" t="n">
        <v>7552.360000000001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2650.47</v>
      </c>
      <c r="L11" s="2" t="n">
        <v>220.6270861111111</v>
      </c>
      <c r="M11" s="2" t="n">
        <v>2454.138888888889</v>
      </c>
      <c r="N11" s="2" t="n">
        <v>0</v>
      </c>
      <c r="O11" s="2" t="n">
        <v>2194.89</v>
      </c>
      <c r="P11" s="2" t="n">
        <v>455.58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5510.950000000001</v>
      </c>
      <c r="AP11" s="2" t="n">
        <v>255.1365740740741</v>
      </c>
      <c r="AQ11" s="2" t="n">
        <v>5102.731481481482</v>
      </c>
      <c r="AR11" s="2" t="n">
        <v>0</v>
      </c>
      <c r="AS11" s="2" t="n">
        <v>4806.18</v>
      </c>
      <c r="AT11" s="2" t="n">
        <v>704.77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8161.42</v>
      </c>
      <c r="BB11" s="2" t="n">
        <v>8161.42</v>
      </c>
      <c r="BC11" s="2">
        <f>F11+L11+R11+X11+AD11+AJ11+AP11+AV11+IF(BE11="",0,BE11)</f>
        <v/>
      </c>
      <c r="BD11" s="2" t="n">
        <v>125.685868</v>
      </c>
      <c r="BE11" s="2" t="n"/>
      <c r="BF11" s="2" t="n">
        <v>7556.87037037037</v>
      </c>
      <c r="BG11" s="2" t="n">
        <v>0</v>
      </c>
      <c r="BH11" s="2" t="n">
        <v>0</v>
      </c>
      <c r="BI11" s="2" t="n">
        <v>1086.22</v>
      </c>
      <c r="BJ11" s="2" t="n">
        <v>87.34377049180328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110.17917</v>
      </c>
      <c r="BQ11" s="2" t="n">
        <v>0</v>
      </c>
      <c r="BR11" s="2" t="n">
        <v>1308.742940491803</v>
      </c>
      <c r="BS11" s="2" t="n">
        <v>938.6213934426229</v>
      </c>
      <c r="BT11" s="2" t="n">
        <v>393.4426229508197</v>
      </c>
      <c r="BU11" s="2" t="n">
        <v>506.1255573770492</v>
      </c>
      <c r="BV11" s="2" t="n">
        <v>1838.189573770492</v>
      </c>
      <c r="BW11" s="2" t="n">
        <v>3146.932514262295</v>
      </c>
      <c r="BX11" s="2" t="n">
        <v>7001.07</v>
      </c>
      <c r="BY11" s="2" t="n">
        <v>1160.35</v>
      </c>
      <c r="BZ11" s="2" t="n">
        <v>0</v>
      </c>
      <c r="CA11" s="2" t="n">
        <v>8161.42</v>
      </c>
      <c r="CB11" s="2">
        <f>(BC11+IF(BD11="",0,BD11))-BW11</f>
        <v/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182</v>
      </c>
      <c r="L12" s="2" t="n">
        <v>15.14981481481482</v>
      </c>
      <c r="M12" s="2" t="n">
        <v>168.5185185185185</v>
      </c>
      <c r="N12" s="2" t="n">
        <v>0</v>
      </c>
      <c r="O12" s="2" t="n">
        <v>182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3814.67</v>
      </c>
      <c r="AP12" s="2" t="n">
        <v>3500</v>
      </c>
      <c r="AQ12" s="2" t="n">
        <v>3532.101851851852</v>
      </c>
      <c r="AR12" s="2" t="n">
        <v>0</v>
      </c>
      <c r="AS12" s="2" t="n">
        <v>3543.82</v>
      </c>
      <c r="AT12" s="2" t="n">
        <v>270.85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3996.67</v>
      </c>
      <c r="BB12" s="2" t="n">
        <v>3996.67</v>
      </c>
      <c r="BC12" s="2">
        <f>F12+L12+R12+X12+AD12+AJ12+AP12+AV12+IF(BE12="",0,BE12)</f>
        <v/>
      </c>
      <c r="BD12" s="2" t="n">
        <v>61.548718</v>
      </c>
      <c r="BE12" s="2" t="n"/>
      <c r="BF12" s="2" t="n">
        <v>3700.62037037037</v>
      </c>
      <c r="BG12" s="2" t="n">
        <v>0</v>
      </c>
      <c r="BH12" s="2" t="n">
        <v>0</v>
      </c>
      <c r="BI12" s="2" t="n">
        <v>32586.6</v>
      </c>
      <c r="BJ12" s="2" t="n">
        <v>87.34377049180328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53.955045</v>
      </c>
      <c r="BQ12" s="2" t="n">
        <v>0</v>
      </c>
      <c r="BR12" s="2" t="n">
        <v>32752.8988154918</v>
      </c>
      <c r="BS12" s="2" t="n">
        <v>938.6213934426229</v>
      </c>
      <c r="BT12" s="2" t="n">
        <v>393.4426229508197</v>
      </c>
      <c r="BU12" s="2" t="n">
        <v>6806.20155737705</v>
      </c>
      <c r="BV12" s="2" t="n">
        <v>8138.265573770492</v>
      </c>
      <c r="BW12" s="2" t="n">
        <v>40891.1643892623</v>
      </c>
      <c r="BX12" s="2" t="n">
        <v>3725.82</v>
      </c>
      <c r="BY12" s="2" t="n">
        <v>270.85</v>
      </c>
      <c r="BZ12" s="2" t="n">
        <v>0</v>
      </c>
      <c r="CA12" s="2" t="n">
        <v>3996.67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2457.93</v>
      </c>
      <c r="F13" s="2" t="n">
        <v>159.3102777777778</v>
      </c>
      <c r="G13" s="2" t="n">
        <v>2275.861111111111</v>
      </c>
      <c r="H13" s="2" t="n">
        <v>0</v>
      </c>
      <c r="I13" s="2" t="n">
        <v>2146.23</v>
      </c>
      <c r="J13" s="2" t="n">
        <v>311.7</v>
      </c>
      <c r="K13" s="2" t="n">
        <v>686.95</v>
      </c>
      <c r="L13" s="2" t="n">
        <v>57.18222685185185</v>
      </c>
      <c r="M13" s="2" t="n">
        <v>636.0648148148148</v>
      </c>
      <c r="N13" s="2" t="n">
        <v>0</v>
      </c>
      <c r="O13" s="2" t="n">
        <v>621.12</v>
      </c>
      <c r="P13" s="2" t="n">
        <v>65.83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6579.02</v>
      </c>
      <c r="AP13" s="2" t="n">
        <v>3740</v>
      </c>
      <c r="AQ13" s="2" t="n">
        <v>6091.685185185185</v>
      </c>
      <c r="AR13" s="2" t="n">
        <v>0</v>
      </c>
      <c r="AS13" s="2" t="n">
        <v>5964.58</v>
      </c>
      <c r="AT13" s="2" t="n">
        <v>614.4400000000001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9723.900000000001</v>
      </c>
      <c r="BB13" s="2" t="n">
        <v>9723.900000000001</v>
      </c>
      <c r="BC13" s="2">
        <f>F13+L13+R13+X13+AD13+AJ13+AP13+AV13+IF(BE13="",0,BE13)</f>
        <v/>
      </c>
      <c r="BD13" s="2" t="n">
        <v>149.74806</v>
      </c>
      <c r="BE13" s="2" t="n"/>
      <c r="BF13" s="2" t="n">
        <v>9003.611111111111</v>
      </c>
      <c r="BG13" s="2" t="n">
        <v>0</v>
      </c>
      <c r="BH13" s="2" t="n">
        <v>0</v>
      </c>
      <c r="BI13" s="2" t="n">
        <v>32586.6</v>
      </c>
      <c r="BJ13" s="2" t="n">
        <v>87.34377049180328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131.27265</v>
      </c>
      <c r="BQ13" s="2" t="n">
        <v>0</v>
      </c>
      <c r="BR13" s="2" t="n">
        <v>32830.2164204918</v>
      </c>
      <c r="BS13" s="2" t="n">
        <v>938.6213934426229</v>
      </c>
      <c r="BT13" s="2" t="n">
        <v>393.4426229508197</v>
      </c>
      <c r="BU13" s="2" t="n">
        <v>6806.20155737705</v>
      </c>
      <c r="BV13" s="2" t="n">
        <v>8138.265573770492</v>
      </c>
      <c r="BW13" s="2" t="n">
        <v>40968.48199426229</v>
      </c>
      <c r="BX13" s="2" t="n">
        <v>8731.93</v>
      </c>
      <c r="BY13" s="2" t="n">
        <v>991.97</v>
      </c>
      <c r="BZ13" s="2" t="n">
        <v>0</v>
      </c>
      <c r="CA13" s="2" t="n">
        <v>9723.9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15364.63</v>
      </c>
      <c r="L14" s="2" t="n">
        <v>1278.963182407407</v>
      </c>
      <c r="M14" s="2" t="n">
        <v>14226.50925925926</v>
      </c>
      <c r="N14" s="2" t="n">
        <v>0</v>
      </c>
      <c r="O14" s="2" t="n">
        <v>14251.5</v>
      </c>
      <c r="P14" s="2" t="n">
        <v>1113.13</v>
      </c>
      <c r="Q14" s="2" t="n">
        <v>135.8</v>
      </c>
      <c r="R14" s="2" t="n">
        <v>9.430555555555555</v>
      </c>
      <c r="S14" s="2" t="n">
        <v>125.7407407407407</v>
      </c>
      <c r="T14" s="2" t="n">
        <v>0</v>
      </c>
      <c r="U14" s="2" t="n">
        <v>135.8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21372.34</v>
      </c>
      <c r="AP14" s="2" t="n">
        <v>4100</v>
      </c>
      <c r="AQ14" s="2" t="n">
        <v>19789.2037037037</v>
      </c>
      <c r="AR14" s="2" t="n">
        <v>0</v>
      </c>
      <c r="AS14" s="2" t="n">
        <v>20443.16</v>
      </c>
      <c r="AT14" s="2" t="n">
        <v>929.1799999999999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36872.77</v>
      </c>
      <c r="BB14" s="2" t="n">
        <v>36872.77</v>
      </c>
      <c r="BC14" s="2">
        <f>F14+L14+R14+X14+AD14+AJ14+AP14+AV14+IF(BE14="",0,BE14)</f>
        <v/>
      </c>
      <c r="BD14" s="2" t="n">
        <v>567.8406580000001</v>
      </c>
      <c r="BE14" s="2" t="n"/>
      <c r="BF14" s="2" t="n">
        <v>34141.4537037037</v>
      </c>
      <c r="BG14" s="2" t="n">
        <v>0</v>
      </c>
      <c r="BH14" s="2" t="n">
        <v>0</v>
      </c>
      <c r="BI14" s="2" t="n">
        <v>32586.6</v>
      </c>
      <c r="BJ14" s="2" t="n">
        <v>87.34377049180328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497.782395</v>
      </c>
      <c r="BQ14" s="2" t="n">
        <v>0</v>
      </c>
      <c r="BR14" s="2" t="n">
        <v>33196.7261654918</v>
      </c>
      <c r="BS14" s="2" t="n">
        <v>938.6213934426229</v>
      </c>
      <c r="BT14" s="2" t="n">
        <v>393.4426229508197</v>
      </c>
      <c r="BU14" s="2" t="n">
        <v>6806.20155737705</v>
      </c>
      <c r="BV14" s="2" t="n">
        <v>8138.265573770492</v>
      </c>
      <c r="BW14" s="2" t="n">
        <v>41334.9917392623</v>
      </c>
      <c r="BX14" s="2" t="n">
        <v>34830.46</v>
      </c>
      <c r="BY14" s="2" t="n">
        <v>2042.31</v>
      </c>
      <c r="BZ14" s="2" t="n">
        <v>0</v>
      </c>
      <c r="CA14" s="2" t="n">
        <v>36872.77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244</v>
      </c>
      <c r="L15" s="2" t="n">
        <v>20.31074074074074</v>
      </c>
      <c r="M15" s="2" t="n">
        <v>225.9259259259259</v>
      </c>
      <c r="N15" s="2" t="n">
        <v>0</v>
      </c>
      <c r="O15" s="2" t="n">
        <v>164</v>
      </c>
      <c r="P15" s="2" t="n">
        <v>80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2085.83</v>
      </c>
      <c r="AP15" s="2" t="n">
        <v>3500</v>
      </c>
      <c r="AQ15" s="2" t="n">
        <v>1931.324074074074</v>
      </c>
      <c r="AR15" s="2" t="n">
        <v>0</v>
      </c>
      <c r="AS15" s="2" t="n">
        <v>1712.25</v>
      </c>
      <c r="AT15" s="2" t="n">
        <v>373.58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2329.83</v>
      </c>
      <c r="BB15" s="2" t="n">
        <v>2329.83</v>
      </c>
      <c r="BC15" s="2">
        <f>F15+L15+R15+X15+AD15+AJ15+AP15+AV15+IF(BE15="",0,BE15)</f>
        <v/>
      </c>
      <c r="BD15" s="2" t="n">
        <v>35.87938200000001</v>
      </c>
      <c r="BE15" s="2" t="n"/>
      <c r="BF15" s="2" t="n">
        <v>2157.25</v>
      </c>
      <c r="BG15" s="2" t="n">
        <v>0</v>
      </c>
      <c r="BH15" s="2" t="n">
        <v>0</v>
      </c>
      <c r="BI15" s="2" t="n">
        <v>32586.6</v>
      </c>
      <c r="BJ15" s="2" t="n">
        <v>87.34377049180328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31.452705</v>
      </c>
      <c r="BQ15" s="2" t="n">
        <v>0</v>
      </c>
      <c r="BR15" s="2" t="n">
        <v>32730.3964754918</v>
      </c>
      <c r="BS15" s="2" t="n">
        <v>938.6213934426229</v>
      </c>
      <c r="BT15" s="2" t="n">
        <v>393.4426229508197</v>
      </c>
      <c r="BU15" s="2" t="n">
        <v>6806.20155737705</v>
      </c>
      <c r="BV15" s="2" t="n">
        <v>8138.265573770492</v>
      </c>
      <c r="BW15" s="2" t="n">
        <v>40868.66204926229</v>
      </c>
      <c r="BX15" s="2" t="n">
        <v>1876.25</v>
      </c>
      <c r="BY15" s="2" t="n">
        <v>453.58</v>
      </c>
      <c r="BZ15" s="2" t="n">
        <v>0</v>
      </c>
      <c r="CA15" s="2" t="n">
        <v>2329.83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13650.13</v>
      </c>
      <c r="L16" s="2" t="n">
        <v>1136.246932407407</v>
      </c>
      <c r="M16" s="2" t="n">
        <v>12639.00925925926</v>
      </c>
      <c r="N16" s="2" t="n">
        <v>0</v>
      </c>
      <c r="O16" s="2" t="n">
        <v>13200.22</v>
      </c>
      <c r="P16" s="2" t="n">
        <v>449.91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38800.21</v>
      </c>
      <c r="X16" s="2" t="n">
        <v>750</v>
      </c>
      <c r="Y16" s="2" t="n">
        <v>35926.12037037036</v>
      </c>
      <c r="Z16" s="2" t="n">
        <v>0</v>
      </c>
      <c r="AA16" s="2" t="n">
        <v>37587.11</v>
      </c>
      <c r="AB16" s="2" t="n">
        <v>1213.1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6724.68</v>
      </c>
      <c r="AP16" s="2" t="n">
        <v>4150</v>
      </c>
      <c r="AQ16" s="2" t="n">
        <v>6226.555555555556</v>
      </c>
      <c r="AR16" s="2" t="n">
        <v>0</v>
      </c>
      <c r="AS16" s="2" t="n">
        <v>6207.33</v>
      </c>
      <c r="AT16" s="2" t="n">
        <v>517.35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59175.02</v>
      </c>
      <c r="BB16" s="2" t="n">
        <v>59175.02</v>
      </c>
      <c r="BC16" s="2">
        <f>F16+L16+R16+X16+AD16+AJ16+AP16+AV16+IF(BE16="",0,BE16)</f>
        <v/>
      </c>
      <c r="BD16" s="2" t="n">
        <v>837.5749089999999</v>
      </c>
      <c r="BE16" s="2" t="n"/>
      <c r="BF16" s="2" t="n">
        <v>54791.68518518518</v>
      </c>
      <c r="BG16" s="2" t="n">
        <v>1056.72</v>
      </c>
      <c r="BH16" s="2" t="n">
        <v>317.4</v>
      </c>
      <c r="BI16" s="2" t="n">
        <v>32586.6</v>
      </c>
      <c r="BJ16" s="2" t="n">
        <v>87.34377049180328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798.86277</v>
      </c>
      <c r="BQ16" s="2" t="n">
        <v>0</v>
      </c>
      <c r="BR16" s="2" t="n">
        <v>34871.9265404918</v>
      </c>
      <c r="BS16" s="2" t="n">
        <v>938.6213934426229</v>
      </c>
      <c r="BT16" s="2" t="n">
        <v>393.4426229508197</v>
      </c>
      <c r="BU16" s="2" t="n">
        <v>7081.02555737705</v>
      </c>
      <c r="BV16" s="2" t="n">
        <v>8413.089573770492</v>
      </c>
      <c r="BW16" s="2" t="n">
        <v>43285.0161142623</v>
      </c>
      <c r="BX16" s="2" t="n">
        <v>56994.66</v>
      </c>
      <c r="BY16" s="2" t="n">
        <v>2180.36</v>
      </c>
      <c r="BZ16" s="2" t="n">
        <v>0</v>
      </c>
      <c r="CA16" s="2" t="n">
        <v>59175.02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33</v>
      </c>
      <c r="L17" s="2" t="n">
        <v>2.746944444444444</v>
      </c>
      <c r="M17" s="2" t="n">
        <v>30.55555555555555</v>
      </c>
      <c r="N17" s="2" t="n">
        <v>0</v>
      </c>
      <c r="O17" s="2" t="n">
        <v>33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1406.93</v>
      </c>
      <c r="AP17" s="2" t="n">
        <v>3500</v>
      </c>
      <c r="AQ17" s="2" t="n">
        <v>1302.712962962963</v>
      </c>
      <c r="AR17" s="2" t="n">
        <v>0</v>
      </c>
      <c r="AS17" s="2" t="n">
        <v>1302.17</v>
      </c>
      <c r="AT17" s="2" t="n">
        <v>104.76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1439.93</v>
      </c>
      <c r="BB17" s="2" t="n">
        <v>1439.93</v>
      </c>
      <c r="BC17" s="2">
        <f>F17+L17+R17+X17+AD17+AJ17+AP17+AV17+IF(BE17="",0,BE17)</f>
        <v/>
      </c>
      <c r="BD17" s="2" t="n">
        <v>22.174922</v>
      </c>
      <c r="BE17" s="2" t="n"/>
      <c r="BF17" s="2" t="n">
        <v>1333.268518518519</v>
      </c>
      <c r="BG17" s="2" t="n">
        <v>0</v>
      </c>
      <c r="BH17" s="2" t="n">
        <v>0</v>
      </c>
      <c r="BI17" s="2" t="n">
        <v>32586.6</v>
      </c>
      <c r="BJ17" s="2" t="n">
        <v>87.34377049180328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19.439055</v>
      </c>
      <c r="BQ17" s="2" t="n">
        <v>0</v>
      </c>
      <c r="BR17" s="2" t="n">
        <v>32718.3828254918</v>
      </c>
      <c r="BS17" s="2" t="n">
        <v>938.6213934426229</v>
      </c>
      <c r="BT17" s="2" t="n">
        <v>393.4426229508197</v>
      </c>
      <c r="BU17" s="2" t="n">
        <v>6806.20155737705</v>
      </c>
      <c r="BV17" s="2" t="n">
        <v>8138.265573770492</v>
      </c>
      <c r="BW17" s="2" t="n">
        <v>40856.6483992623</v>
      </c>
      <c r="BX17" s="2" t="n">
        <v>1335.17</v>
      </c>
      <c r="BY17" s="2" t="n">
        <v>104.76</v>
      </c>
      <c r="BZ17" s="2" t="n">
        <v>0</v>
      </c>
      <c r="CA17" s="2" t="n">
        <v>1439.93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4323.42</v>
      </c>
      <c r="L18" s="2" t="n">
        <v>359.8846833333333</v>
      </c>
      <c r="M18" s="2" t="n">
        <v>4003.166666666667</v>
      </c>
      <c r="N18" s="2" t="n">
        <v>0</v>
      </c>
      <c r="O18" s="2" t="n">
        <v>3755.92</v>
      </c>
      <c r="P18" s="2" t="n">
        <v>567.5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1342.63</v>
      </c>
      <c r="AP18" s="2" t="n">
        <v>4150</v>
      </c>
      <c r="AQ18" s="2" t="n">
        <v>1243.175925925926</v>
      </c>
      <c r="AR18" s="2" t="n">
        <v>0</v>
      </c>
      <c r="AS18" s="2" t="n">
        <v>1267.95</v>
      </c>
      <c r="AT18" s="2" t="n">
        <v>74.68000000000001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5666.05</v>
      </c>
      <c r="BB18" s="2" t="n">
        <v>5666.05</v>
      </c>
      <c r="BC18" s="2">
        <f>F18+L18+R18+X18+AD18+AJ18+AP18+AV18+IF(BE18="",0,BE18)</f>
        <v/>
      </c>
      <c r="BD18" s="2" t="n">
        <v>87.25717</v>
      </c>
      <c r="BE18" s="2" t="n"/>
      <c r="BF18" s="2" t="n">
        <v>5246.342592592592</v>
      </c>
      <c r="BG18" s="2" t="n">
        <v>0</v>
      </c>
      <c r="BH18" s="2" t="n">
        <v>0</v>
      </c>
      <c r="BI18" s="2" t="n">
        <v>2172.44</v>
      </c>
      <c r="BJ18" s="2" t="n">
        <v>87.34377049180328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76.491675</v>
      </c>
      <c r="BQ18" s="2" t="n">
        <v>0</v>
      </c>
      <c r="BR18" s="2" t="n">
        <v>2361.275445491804</v>
      </c>
      <c r="BS18" s="2" t="n">
        <v>938.6213934426229</v>
      </c>
      <c r="BT18" s="2" t="n">
        <v>393.4426229508197</v>
      </c>
      <c r="BU18" s="2" t="n">
        <v>723.3695573770492</v>
      </c>
      <c r="BV18" s="2" t="n">
        <v>2055.433573770492</v>
      </c>
      <c r="BW18" s="2" t="n">
        <v>4416.709019262295</v>
      </c>
      <c r="BX18" s="2" t="n">
        <v>5023.87</v>
      </c>
      <c r="BY18" s="2" t="n">
        <v>642.1800000000001</v>
      </c>
      <c r="BZ18" s="2" t="n">
        <v>0</v>
      </c>
      <c r="CA18" s="2" t="n">
        <v>5666.05</v>
      </c>
      <c r="CB18" s="2">
        <f>(BC18+IF(BD18="",0,BD18))-BW18</f>
        <v/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7898.32</v>
      </c>
      <c r="L19" s="2" t="n">
        <v>657.4620074074073</v>
      </c>
      <c r="M19" s="2" t="n">
        <v>7313.259259259258</v>
      </c>
      <c r="N19" s="2" t="n">
        <v>0</v>
      </c>
      <c r="O19" s="2" t="n">
        <v>7655.23</v>
      </c>
      <c r="P19" s="2" t="n">
        <v>243.09</v>
      </c>
      <c r="Q19" s="2" t="n">
        <v>14960.25</v>
      </c>
      <c r="R19" s="2" t="n">
        <v>1038.90625</v>
      </c>
      <c r="S19" s="2" t="n">
        <v>13852.08333333333</v>
      </c>
      <c r="T19" s="2" t="n">
        <v>0</v>
      </c>
      <c r="U19" s="2" t="n">
        <v>14561.01</v>
      </c>
      <c r="V19" s="2" t="n">
        <v>399.24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7292.360000000001</v>
      </c>
      <c r="AP19" s="2" t="n">
        <v>4150</v>
      </c>
      <c r="AQ19" s="2" t="n">
        <v>6752.185185185185</v>
      </c>
      <c r="AR19" s="2" t="n">
        <v>0</v>
      </c>
      <c r="AS19" s="2" t="n">
        <v>7155.05</v>
      </c>
      <c r="AT19" s="2" t="n">
        <v>137.31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30150.93</v>
      </c>
      <c r="BB19" s="2" t="n">
        <v>30150.93</v>
      </c>
      <c r="BC19" s="2">
        <f>F19+L19+R19+X19+AD19+AJ19+AP19+AV19+IF(BE19="",0,BE19)</f>
        <v/>
      </c>
      <c r="BD19" s="2" t="n">
        <v>464.324322</v>
      </c>
      <c r="BE19" s="2" t="n"/>
      <c r="BF19" s="2" t="n">
        <v>27917.52777777778</v>
      </c>
      <c r="BG19" s="2" t="n">
        <v>0</v>
      </c>
      <c r="BH19" s="2" t="n">
        <v>0</v>
      </c>
      <c r="BI19" s="2" t="n">
        <v>32586.6</v>
      </c>
      <c r="BJ19" s="2" t="n">
        <v>87.34377049180328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407.037555</v>
      </c>
      <c r="BQ19" s="2" t="n">
        <v>0</v>
      </c>
      <c r="BR19" s="2" t="n">
        <v>33105.9813254918</v>
      </c>
      <c r="BS19" s="2" t="n">
        <v>938.6213934426229</v>
      </c>
      <c r="BT19" s="2" t="n">
        <v>393.4426229508197</v>
      </c>
      <c r="BU19" s="2" t="n">
        <v>6806.20155737705</v>
      </c>
      <c r="BV19" s="2" t="n">
        <v>8138.265573770492</v>
      </c>
      <c r="BW19" s="2" t="n">
        <v>41244.2468992623</v>
      </c>
      <c r="BX19" s="2" t="n">
        <v>29371.29</v>
      </c>
      <c r="BY19" s="2" t="n">
        <v>779.6400000000001</v>
      </c>
      <c r="BZ19" s="2" t="n">
        <v>0</v>
      </c>
      <c r="CA19" s="2" t="n">
        <v>30150.93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1119</v>
      </c>
      <c r="B20" t="inlineStr">
        <is>
          <t>Glogow</t>
        </is>
      </c>
      <c r="C20" t="inlineStr"/>
      <c r="D20" t="inlineStr"/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876.27</v>
      </c>
      <c r="L20" s="2" t="n">
        <v>72.94136388888889</v>
      </c>
      <c r="M20" s="2" t="n">
        <v>811.3611111111111</v>
      </c>
      <c r="N20" s="2" t="n">
        <v>0</v>
      </c>
      <c r="O20" s="2" t="n">
        <v>699.87</v>
      </c>
      <c r="P20" s="2" t="n">
        <v>176.4</v>
      </c>
      <c r="Q20" s="2" t="n">
        <v>2351.75</v>
      </c>
      <c r="R20" s="2" t="n">
        <v>163.3159722222222</v>
      </c>
      <c r="S20" s="2" t="n">
        <v>2177.546296296296</v>
      </c>
      <c r="T20" s="2" t="n">
        <v>0</v>
      </c>
      <c r="U20" s="2" t="n">
        <v>2186.1</v>
      </c>
      <c r="V20" s="2" t="n">
        <v>165.65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565.42</v>
      </c>
      <c r="AP20" s="2" t="n">
        <v>4150</v>
      </c>
      <c r="AQ20" s="2" t="n">
        <v>523.537037037037</v>
      </c>
      <c r="AR20" s="2" t="n">
        <v>0</v>
      </c>
      <c r="AS20" s="2" t="n">
        <v>561.01</v>
      </c>
      <c r="AT20" s="2" t="n">
        <v>4.41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3793.44</v>
      </c>
      <c r="BB20" s="2" t="n">
        <v>3793.44</v>
      </c>
      <c r="BC20" s="2">
        <f>F20+L20+R20+X20+AD20+AJ20+AP20+AV20+IF(BE20="",0,BE20)</f>
        <v/>
      </c>
      <c r="BD20" s="2" t="n">
        <v>58.418976</v>
      </c>
      <c r="BE20" s="2" t="n"/>
      <c r="BF20" s="2" t="n">
        <v>3512.444444444444</v>
      </c>
      <c r="BG20" s="2" t="n">
        <v>0</v>
      </c>
      <c r="BH20" s="2" t="n">
        <v>0</v>
      </c>
      <c r="BI20" s="2" t="n">
        <v>32586.6</v>
      </c>
      <c r="BJ20" s="2" t="n">
        <v>87.34377049180328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51.21144</v>
      </c>
      <c r="BQ20" s="2" t="n">
        <v>0</v>
      </c>
      <c r="BR20" s="2" t="n">
        <v>32750.1552104918</v>
      </c>
      <c r="BS20" s="2" t="n">
        <v>938.6213934426229</v>
      </c>
      <c r="BT20" s="2" t="n">
        <v>393.4426229508197</v>
      </c>
      <c r="BU20" s="2" t="n">
        <v>6806.20155737705</v>
      </c>
      <c r="BV20" s="2" t="n">
        <v>8138.265573770492</v>
      </c>
      <c r="BW20" s="2" t="n">
        <v>40888.42078426229</v>
      </c>
      <c r="BX20" s="2" t="n">
        <v>3446.98</v>
      </c>
      <c r="BY20" s="2" t="n">
        <v>346.46</v>
      </c>
      <c r="BZ20" s="2" t="n">
        <v>0</v>
      </c>
      <c r="CA20" s="2" t="n">
        <v>3793.44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1120</v>
      </c>
      <c r="B21" t="inlineStr">
        <is>
          <t>Dworcowa 1, 47-220 Kędzierzyn-Koźle</t>
        </is>
      </c>
      <c r="C21" t="inlineStr">
        <is>
          <t>Kędzierzyn-Koźle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2680.28</v>
      </c>
      <c r="L21" s="2" t="n">
        <v>223.1084925925926</v>
      </c>
      <c r="M21" s="2" t="n">
        <v>2481.740740740741</v>
      </c>
      <c r="N21" s="2" t="n">
        <v>0</v>
      </c>
      <c r="O21" s="2" t="n">
        <v>2360.9</v>
      </c>
      <c r="P21" s="2" t="n">
        <v>319.38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3496.16</v>
      </c>
      <c r="AP21" s="2" t="n">
        <v>4150</v>
      </c>
      <c r="AQ21" s="2" t="n">
        <v>3237.185185185185</v>
      </c>
      <c r="AR21" s="2" t="n">
        <v>0</v>
      </c>
      <c r="AS21" s="2" t="n">
        <v>3262.85</v>
      </c>
      <c r="AT21" s="2" t="n">
        <v>233.31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6176.440000000001</v>
      </c>
      <c r="BB21" s="2" t="n">
        <v>6176.440000000001</v>
      </c>
      <c r="BC21" s="2">
        <f>F21+L21+R21+X21+AD21+AJ21+AP21+AV21+IF(BE21="",0,BE21)</f>
        <v/>
      </c>
      <c r="BD21" s="2" t="n">
        <v>95.117176</v>
      </c>
      <c r="BE21" s="2" t="n"/>
      <c r="BF21" s="2" t="n">
        <v>5718.925925925925</v>
      </c>
      <c r="BG21" s="2" t="n">
        <v>0</v>
      </c>
      <c r="BH21" s="2" t="n">
        <v>0</v>
      </c>
      <c r="BI21" s="2" t="n">
        <v>0</v>
      </c>
      <c r="BJ21" s="2" t="n">
        <v>87.34377049180328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83.38194</v>
      </c>
      <c r="BQ21" s="2" t="n">
        <v>0</v>
      </c>
      <c r="BR21" s="2" t="n">
        <v>195.7257104918033</v>
      </c>
      <c r="BS21" s="2" t="n">
        <v>938.6213934426229</v>
      </c>
      <c r="BT21" s="2" t="n">
        <v>393.4426229508197</v>
      </c>
      <c r="BU21" s="2" t="n">
        <v>288.8815573770492</v>
      </c>
      <c r="BV21" s="2" t="n">
        <v>1620.945573770492</v>
      </c>
      <c r="BW21" s="2" t="n">
        <v>1816.671284262295</v>
      </c>
      <c r="BX21" s="2" t="n">
        <v>5623.75</v>
      </c>
      <c r="BY21" s="2" t="n">
        <v>552.6900000000001</v>
      </c>
      <c r="BZ21" s="2" t="n">
        <v>0</v>
      </c>
      <c r="CA21" s="2" t="n">
        <v>6176.440000000001</v>
      </c>
      <c r="CB21" s="2">
        <f>(BC21+IF(BD21="",0,BD21))-BW21</f>
        <v/>
      </c>
    </row>
    <row r="22">
      <c r="A22" t="n">
        <v>1121</v>
      </c>
      <c r="B22" t="inlineStr">
        <is>
          <t>pl. Dworcowy, 47-320 Gogolin</t>
        </is>
      </c>
      <c r="C22" t="inlineStr">
        <is>
          <t>Gogolin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3259.09</v>
      </c>
      <c r="L22" s="2" t="n">
        <v>271.2890657407407</v>
      </c>
      <c r="M22" s="2" t="n">
        <v>3017.675925925926</v>
      </c>
      <c r="N22" s="2" t="n">
        <v>0</v>
      </c>
      <c r="O22" s="2" t="n">
        <v>2502.13</v>
      </c>
      <c r="P22" s="2" t="n">
        <v>756.96</v>
      </c>
      <c r="Q22" s="2" t="n">
        <v>281.87</v>
      </c>
      <c r="R22" s="2" t="n">
        <v>19.57430555555555</v>
      </c>
      <c r="S22" s="2" t="n">
        <v>260.9907407407407</v>
      </c>
      <c r="T22" s="2" t="n">
        <v>0</v>
      </c>
      <c r="U22" s="2" t="n">
        <v>281.87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8690.809999999999</v>
      </c>
      <c r="AP22" s="2" t="n">
        <v>8300</v>
      </c>
      <c r="AQ22" s="2" t="n">
        <v>8047.046296296296</v>
      </c>
      <c r="AR22" s="2" t="n">
        <v>0</v>
      </c>
      <c r="AS22" s="2" t="n">
        <v>7697.75</v>
      </c>
      <c r="AT22" s="2" t="n">
        <v>993.0599999999999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12231.77</v>
      </c>
      <c r="BB22" s="2" t="n">
        <v>12231.77</v>
      </c>
      <c r="BC22" s="2">
        <f>F22+L22+R22+X22+AD22+AJ22+AP22+AV22+IF(BE22="",0,BE22)</f>
        <v/>
      </c>
      <c r="BD22" s="2" t="n">
        <v>188.369258</v>
      </c>
      <c r="BE22" s="2" t="n"/>
      <c r="BF22" s="2" t="n">
        <v>11325.71296296296</v>
      </c>
      <c r="BG22" s="2" t="n">
        <v>0</v>
      </c>
      <c r="BH22" s="2" t="n">
        <v>0</v>
      </c>
      <c r="BI22" s="2" t="n">
        <v>0</v>
      </c>
      <c r="BJ22" s="2" t="n">
        <v>87.34377049180328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165.128895</v>
      </c>
      <c r="BQ22" s="2" t="n">
        <v>0</v>
      </c>
      <c r="BR22" s="2" t="n">
        <v>277.4726654918033</v>
      </c>
      <c r="BS22" s="2" t="n">
        <v>938.6213934426229</v>
      </c>
      <c r="BT22" s="2" t="n">
        <v>393.4426229508197</v>
      </c>
      <c r="BU22" s="2" t="n">
        <v>288.8815573770492</v>
      </c>
      <c r="BV22" s="2" t="n">
        <v>1620.945573770492</v>
      </c>
      <c r="BW22" s="2" t="n">
        <v>1898.418239262295</v>
      </c>
      <c r="BX22" s="2" t="n">
        <v>10481.75</v>
      </c>
      <c r="BY22" s="2" t="n">
        <v>1750.02</v>
      </c>
      <c r="BZ22" s="2" t="n">
        <v>0</v>
      </c>
      <c r="CA22" s="2" t="n">
        <v>12231.77</v>
      </c>
      <c r="CB22" s="2">
        <f>(BC22+IF(BD22="",0,BD22))-BW22</f>
        <v/>
      </c>
    </row>
    <row r="23">
      <c r="A23" t="n">
        <v>1122</v>
      </c>
      <c r="B23" t="inlineStr">
        <is>
          <t>Elblag</t>
        </is>
      </c>
      <c r="C23" t="inlineStr">
        <is>
          <t>Gdańsk Główny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446.46</v>
      </c>
      <c r="L23" s="2" t="n">
        <v>37.16366111111111</v>
      </c>
      <c r="M23" s="2" t="n">
        <v>413.3888888888889</v>
      </c>
      <c r="N23" s="2" t="n">
        <v>0</v>
      </c>
      <c r="O23" s="2" t="n">
        <v>446.46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926.61</v>
      </c>
      <c r="AP23" s="2" t="n">
        <v>3500</v>
      </c>
      <c r="AQ23" s="2" t="n">
        <v>857.9722222222222</v>
      </c>
      <c r="AR23" s="2" t="n">
        <v>0</v>
      </c>
      <c r="AS23" s="2" t="n">
        <v>926.61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1373.07</v>
      </c>
      <c r="BB23" s="2" t="n">
        <v>1373.07</v>
      </c>
      <c r="BC23" s="2">
        <f>F23+L23+R23+X23+AD23+AJ23+AP23+AV23+IF(BE23="",0,BE23)</f>
        <v/>
      </c>
      <c r="BD23" s="2" t="n">
        <v>21.145278</v>
      </c>
      <c r="BE23" s="2" t="n"/>
      <c r="BF23" s="2" t="n">
        <v>1271.361111111111</v>
      </c>
      <c r="BG23" s="2" t="n">
        <v>0</v>
      </c>
      <c r="BH23" s="2" t="n">
        <v>0</v>
      </c>
      <c r="BI23" s="2" t="n">
        <v>32586.6</v>
      </c>
      <c r="BJ23" s="2" t="n">
        <v>87.34377049180328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18.536445</v>
      </c>
      <c r="BQ23" s="2" t="n">
        <v>0</v>
      </c>
      <c r="BR23" s="2" t="n">
        <v>32717.4802154918</v>
      </c>
      <c r="BS23" s="2" t="n">
        <v>938.6213934426229</v>
      </c>
      <c r="BT23" s="2" t="n">
        <v>393.4426229508197</v>
      </c>
      <c r="BU23" s="2" t="n">
        <v>6806.20155737705</v>
      </c>
      <c r="BV23" s="2" t="n">
        <v>8138.265573770492</v>
      </c>
      <c r="BW23" s="2" t="n">
        <v>40855.74578926229</v>
      </c>
      <c r="BX23" s="2" t="n">
        <v>1373.07</v>
      </c>
      <c r="BY23" s="2" t="n">
        <v>0</v>
      </c>
      <c r="BZ23" s="2" t="n">
        <v>0</v>
      </c>
      <c r="CA23" s="2" t="n">
        <v>1373.07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1123</v>
      </c>
      <c r="B24" t="inlineStr">
        <is>
          <t>Dmowskiego 1, 80-264 Gdańsk</t>
        </is>
      </c>
      <c r="C24" t="inlineStr">
        <is>
          <t>Gdańsk Wrzeszcz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13995.01</v>
      </c>
      <c r="L24" s="2" t="n">
        <v>1164.954999074074</v>
      </c>
      <c r="M24" s="2" t="n">
        <v>12958.34259259259</v>
      </c>
      <c r="N24" s="2" t="n">
        <v>0</v>
      </c>
      <c r="O24" s="2" t="n">
        <v>12794.46</v>
      </c>
      <c r="P24" s="2" t="n">
        <v>1200.55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16203.62</v>
      </c>
      <c r="AP24" s="2" t="n">
        <v>3500</v>
      </c>
      <c r="AQ24" s="2" t="n">
        <v>15003.35185185185</v>
      </c>
      <c r="AR24" s="2" t="n">
        <v>0</v>
      </c>
      <c r="AS24" s="2" t="n">
        <v>15205.65</v>
      </c>
      <c r="AT24" s="2" t="n">
        <v>997.97</v>
      </c>
      <c r="AU24" s="2" t="n">
        <v>7860</v>
      </c>
      <c r="AV24" s="2" t="n">
        <v>625.8888888888888</v>
      </c>
      <c r="AW24" s="2" t="n">
        <v>7277.777777777777</v>
      </c>
      <c r="AX24" s="2" t="n">
        <v>0</v>
      </c>
      <c r="AY24" s="2" t="n">
        <v>7645.15</v>
      </c>
      <c r="AZ24" s="2" t="n">
        <v>214.85</v>
      </c>
      <c r="BA24" s="2" t="n">
        <v>38058.63</v>
      </c>
      <c r="BB24" s="2" t="n">
        <v>38058.63</v>
      </c>
      <c r="BC24" s="2">
        <f>F24+L24+R24+X24+AD24+AJ24+AP24+AV24+IF(BE24="",0,BE24)</f>
        <v/>
      </c>
      <c r="BD24" s="2" t="n">
        <v>586.102902</v>
      </c>
      <c r="BE24" s="2" t="n"/>
      <c r="BF24" s="2" t="n">
        <v>35239.47222222222</v>
      </c>
      <c r="BG24" s="2" t="n">
        <v>0</v>
      </c>
      <c r="BH24" s="2" t="n">
        <v>0</v>
      </c>
      <c r="BI24" s="2" t="n">
        <v>32586.6</v>
      </c>
      <c r="BJ24" s="2" t="n">
        <v>87.34377049180328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513.7915049999999</v>
      </c>
      <c r="BQ24" s="2" t="n">
        <v>0</v>
      </c>
      <c r="BR24" s="2" t="n">
        <v>33212.7352754918</v>
      </c>
      <c r="BS24" s="2" t="n">
        <v>938.6213934426229</v>
      </c>
      <c r="BT24" s="2" t="n">
        <v>393.4426229508197</v>
      </c>
      <c r="BU24" s="2" t="n">
        <v>6806.20155737705</v>
      </c>
      <c r="BV24" s="2" t="n">
        <v>8138.265573770492</v>
      </c>
      <c r="BW24" s="2" t="n">
        <v>41351.00084926229</v>
      </c>
      <c r="BX24" s="2" t="n">
        <v>35645.26</v>
      </c>
      <c r="BY24" s="2" t="n">
        <v>2413.37</v>
      </c>
      <c r="BZ24" s="2" t="n">
        <v>0</v>
      </c>
      <c r="CA24" s="2" t="n">
        <v>38058.63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1124</v>
      </c>
      <c r="B25" t="inlineStr">
        <is>
          <t>Zwierzyn (Strzelce Krajenskie)</t>
        </is>
      </c>
      <c r="C25" t="inlineStr"/>
      <c r="D25" t="inlineStr"/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205.47</v>
      </c>
      <c r="L25" s="2" t="n">
        <v>17.103475</v>
      </c>
      <c r="M25" s="2" t="n">
        <v>190.25</v>
      </c>
      <c r="N25" s="2" t="n">
        <v>0</v>
      </c>
      <c r="O25" s="2" t="n">
        <v>190.47</v>
      </c>
      <c r="P25" s="2" t="n">
        <v>15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0.3</v>
      </c>
      <c r="AD25" s="2" t="n">
        <v>0.01916666666666667</v>
      </c>
      <c r="AE25" s="2" t="n">
        <v>0.2777777777777777</v>
      </c>
      <c r="AF25" s="2" t="n">
        <v>0</v>
      </c>
      <c r="AG25" s="2" t="n">
        <v>0.3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1534.44</v>
      </c>
      <c r="AP25" s="2" t="n">
        <v>4200</v>
      </c>
      <c r="AQ25" s="2" t="n">
        <v>1420.777777777778</v>
      </c>
      <c r="AR25" s="2" t="n">
        <v>0</v>
      </c>
      <c r="AS25" s="2" t="n">
        <v>1432.08</v>
      </c>
      <c r="AT25" s="2" t="n">
        <v>102.36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1740.21</v>
      </c>
      <c r="BB25" s="2" t="n">
        <v>1740.21</v>
      </c>
      <c r="BC25" s="2">
        <f>F25+L25+R25+X25+AD25+AJ25+AP25+AV25+IF(BE25="",0,BE25)</f>
        <v/>
      </c>
      <c r="BD25" s="2" t="n">
        <v>26.799234</v>
      </c>
      <c r="BE25" s="2" t="n"/>
      <c r="BF25" s="2" t="n">
        <v>1611.305555555555</v>
      </c>
      <c r="BG25" s="2" t="n">
        <v>0</v>
      </c>
      <c r="BH25" s="2" t="n">
        <v>0</v>
      </c>
      <c r="BI25" s="2" t="n">
        <v>32586.6</v>
      </c>
      <c r="BJ25" s="2" t="n">
        <v>87.34377049180328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23.492835</v>
      </c>
      <c r="BQ25" s="2" t="n">
        <v>0</v>
      </c>
      <c r="BR25" s="2" t="n">
        <v>32722.4366054918</v>
      </c>
      <c r="BS25" s="2" t="n">
        <v>938.6213934426229</v>
      </c>
      <c r="BT25" s="2" t="n">
        <v>393.4426229508197</v>
      </c>
      <c r="BU25" s="2" t="n">
        <v>6806.20155737705</v>
      </c>
      <c r="BV25" s="2" t="n">
        <v>8138.265573770492</v>
      </c>
      <c r="BW25" s="2" t="n">
        <v>40860.7021792623</v>
      </c>
      <c r="BX25" s="2" t="n">
        <v>1622.85</v>
      </c>
      <c r="BY25" s="2" t="n">
        <v>117.36</v>
      </c>
      <c r="BZ25" s="2" t="n">
        <v>0</v>
      </c>
      <c r="CA25" s="2" t="n">
        <v>1740.21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1125</v>
      </c>
      <c r="B26" t="inlineStr">
        <is>
          <t>Czestochowa</t>
        </is>
      </c>
      <c r="C26" t="inlineStr">
        <is>
          <t>Koluszki</t>
        </is>
      </c>
      <c r="D26" t="inlineStr">
        <is>
          <t>BB8</t>
        </is>
      </c>
      <c r="E26" s="2" t="n">
        <v>7.9</v>
      </c>
      <c r="F26" s="2" t="n">
        <v>0.5120370370370371</v>
      </c>
      <c r="G26" s="2" t="n">
        <v>7.314814814814815</v>
      </c>
      <c r="H26" s="2" t="n">
        <v>0</v>
      </c>
      <c r="I26" s="2" t="n">
        <v>7.9</v>
      </c>
      <c r="J26" s="2" t="n">
        <v>0</v>
      </c>
      <c r="K26" s="2" t="n">
        <v>2061.66</v>
      </c>
      <c r="L26" s="2" t="n">
        <v>171.6141055555555</v>
      </c>
      <c r="M26" s="2" t="n">
        <v>1908.944444444444</v>
      </c>
      <c r="N26" s="2" t="n">
        <v>0</v>
      </c>
      <c r="O26" s="2" t="n">
        <v>1726.9</v>
      </c>
      <c r="P26" s="2" t="n">
        <v>334.76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174.14</v>
      </c>
      <c r="AJ26" s="2" t="n">
        <v>12.09305555555556</v>
      </c>
      <c r="AK26" s="2" t="n">
        <v>161.2407407407407</v>
      </c>
      <c r="AL26" s="2" t="n">
        <v>0</v>
      </c>
      <c r="AM26" s="2" t="n">
        <v>157.84</v>
      </c>
      <c r="AN26" s="2" t="n">
        <v>16.3</v>
      </c>
      <c r="AO26" s="2" t="n">
        <v>2128.6</v>
      </c>
      <c r="AP26" s="2" t="n">
        <v>4200</v>
      </c>
      <c r="AQ26" s="2" t="n">
        <v>1970.925925925926</v>
      </c>
      <c r="AR26" s="2" t="n">
        <v>0</v>
      </c>
      <c r="AS26" s="2" t="n">
        <v>1951.22</v>
      </c>
      <c r="AT26" s="2" t="n">
        <v>177.38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4372.299999999999</v>
      </c>
      <c r="BB26" s="2" t="n">
        <v>4372.299999999999</v>
      </c>
      <c r="BC26" s="2">
        <f>F26+L26+R26+X26+AD26+AJ26+AP26+AV26+IF(BE26="",0,BE26)</f>
        <v/>
      </c>
      <c r="BD26" s="2" t="n">
        <v>67.33341999999999</v>
      </c>
      <c r="BE26" s="2" t="n"/>
      <c r="BF26" s="2" t="n">
        <v>4048.425925925925</v>
      </c>
      <c r="BG26" s="2" t="n">
        <v>0</v>
      </c>
      <c r="BH26" s="2" t="n">
        <v>0</v>
      </c>
      <c r="BI26" s="2" t="n">
        <v>32586.6</v>
      </c>
      <c r="BJ26" s="2" t="n">
        <v>87.34377049180328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59.02605</v>
      </c>
      <c r="BQ26" s="2" t="n">
        <v>0</v>
      </c>
      <c r="BR26" s="2" t="n">
        <v>32757.9698204918</v>
      </c>
      <c r="BS26" s="2" t="n">
        <v>938.6213934426229</v>
      </c>
      <c r="BT26" s="2" t="n">
        <v>393.4426229508197</v>
      </c>
      <c r="BU26" s="2" t="n">
        <v>6806.20155737705</v>
      </c>
      <c r="BV26" s="2" t="n">
        <v>8138.265573770492</v>
      </c>
      <c r="BW26" s="2" t="n">
        <v>40896.23539426229</v>
      </c>
      <c r="BX26" s="2" t="n">
        <v>3843.86</v>
      </c>
      <c r="BY26" s="2" t="n">
        <v>528.4400000000001</v>
      </c>
      <c r="BZ26" s="2" t="n">
        <v>0</v>
      </c>
      <c r="CA26" s="2" t="n">
        <v>4372.3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1126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28409.23</v>
      </c>
      <c r="L27" s="2" t="n">
        <v>2364.805349074074</v>
      </c>
      <c r="M27" s="2" t="n">
        <v>26304.84259259259</v>
      </c>
      <c r="N27" s="2" t="n">
        <v>0</v>
      </c>
      <c r="O27" s="2" t="n">
        <v>27530.35</v>
      </c>
      <c r="P27" s="2" t="n">
        <v>878.88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571.7</v>
      </c>
      <c r="AJ27" s="2" t="n">
        <v>39.70138888888889</v>
      </c>
      <c r="AK27" s="2" t="n">
        <v>529.3518518518518</v>
      </c>
      <c r="AL27" s="2" t="n">
        <v>0</v>
      </c>
      <c r="AM27" s="2" t="n">
        <v>571.7</v>
      </c>
      <c r="AN27" s="2" t="n">
        <v>0</v>
      </c>
      <c r="AO27" s="2" t="n">
        <v>1919.43</v>
      </c>
      <c r="AP27" s="2" t="n">
        <v>140.40275</v>
      </c>
      <c r="AQ27" s="2" t="n">
        <v>1777.25</v>
      </c>
      <c r="AR27" s="2" t="n">
        <v>0</v>
      </c>
      <c r="AS27" s="2" t="n">
        <v>1836.63</v>
      </c>
      <c r="AT27" s="2" t="n">
        <v>82.8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30900.36</v>
      </c>
      <c r="BB27" s="2" t="n">
        <v>30900.36</v>
      </c>
      <c r="BC27" s="2">
        <f>F27+L27+R27+X27+AD27+AJ27+AP27+AV27+IF(BE27="",0,BE27)</f>
        <v/>
      </c>
      <c r="BD27" s="2" t="n">
        <v>475.8655439999999</v>
      </c>
      <c r="BE27" s="2" t="n"/>
      <c r="BF27" s="2" t="n">
        <v>28611.44444444444</v>
      </c>
      <c r="BG27" s="2" t="n">
        <v>888.51</v>
      </c>
      <c r="BH27" s="2" t="n">
        <v>263.52</v>
      </c>
      <c r="BI27" s="2" t="n">
        <v>32586.6</v>
      </c>
      <c r="BJ27" s="2" t="n">
        <v>87.34377049180328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417.15486</v>
      </c>
      <c r="BQ27" s="2" t="n">
        <v>0</v>
      </c>
      <c r="BR27" s="2" t="n">
        <v>34268.1286304918</v>
      </c>
      <c r="BS27" s="2" t="n">
        <v>938.6213934426229</v>
      </c>
      <c r="BT27" s="2" t="n">
        <v>393.4426229508197</v>
      </c>
      <c r="BU27" s="2" t="n">
        <v>7036.607557377049</v>
      </c>
      <c r="BV27" s="2" t="n">
        <v>8368.671573770493</v>
      </c>
      <c r="BW27" s="2" t="n">
        <v>42636.8002042623</v>
      </c>
      <c r="BX27" s="2" t="n">
        <v>29938.68</v>
      </c>
      <c r="BY27" s="2" t="n">
        <v>961.6799999999999</v>
      </c>
      <c r="BZ27" s="2" t="n">
        <v>0</v>
      </c>
      <c r="CA27" s="2" t="n">
        <v>30900.36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1127</v>
      </c>
      <c r="B28" t="inlineStr">
        <is>
          <t>Warszawa Centralna</t>
        </is>
      </c>
      <c r="C28" t="inlineStr">
        <is>
          <t>Warszawa Centralna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28243.1</v>
      </c>
      <c r="L28" s="2" t="n">
        <v>2350.976564814815</v>
      </c>
      <c r="M28" s="2" t="n">
        <v>26151.01851851851</v>
      </c>
      <c r="N28" s="2" t="n">
        <v>0</v>
      </c>
      <c r="O28" s="2" t="n">
        <v>26441.1</v>
      </c>
      <c r="P28" s="2" t="n">
        <v>1802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492.41</v>
      </c>
      <c r="AJ28" s="2" t="n">
        <v>34.19513888888888</v>
      </c>
      <c r="AK28" s="2" t="n">
        <v>455.9351851851852</v>
      </c>
      <c r="AL28" s="2" t="n">
        <v>0</v>
      </c>
      <c r="AM28" s="2" t="n">
        <v>432.61</v>
      </c>
      <c r="AN28" s="2" t="n">
        <v>59.8</v>
      </c>
      <c r="AO28" s="2" t="n">
        <v>1012.5</v>
      </c>
      <c r="AP28" s="2" t="n">
        <v>74.06249999999999</v>
      </c>
      <c r="AQ28" s="2" t="n">
        <v>937.4999999999999</v>
      </c>
      <c r="AR28" s="2" t="n">
        <v>0</v>
      </c>
      <c r="AS28" s="2" t="n">
        <v>877.45</v>
      </c>
      <c r="AT28" s="2" t="n">
        <v>135.05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29748.01</v>
      </c>
      <c r="BB28" s="2" t="n">
        <v>29748.01</v>
      </c>
      <c r="BC28" s="2">
        <f>F28+L28+R28+X28+AD28+AJ28+AP28+AV28+IF(BE28="",0,BE28)</f>
        <v/>
      </c>
      <c r="BD28" s="2" t="n">
        <v>458.119354</v>
      </c>
      <c r="BE28" s="2" t="n"/>
      <c r="BF28" s="2" t="n">
        <v>27544.4537037037</v>
      </c>
      <c r="BG28" s="2" t="n">
        <v>888.51</v>
      </c>
      <c r="BH28" s="2" t="n">
        <v>263.52</v>
      </c>
      <c r="BI28" s="2" t="n">
        <v>32586.6</v>
      </c>
      <c r="BJ28" s="2" t="n">
        <v>87.34377049180328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401.598135</v>
      </c>
      <c r="BQ28" s="2" t="n">
        <v>0</v>
      </c>
      <c r="BR28" s="2" t="n">
        <v>34252.5719054918</v>
      </c>
      <c r="BS28" s="2" t="n">
        <v>938.6213934426229</v>
      </c>
      <c r="BT28" s="2" t="n">
        <v>393.4426229508197</v>
      </c>
      <c r="BU28" s="2" t="n">
        <v>7036.607557377049</v>
      </c>
      <c r="BV28" s="2" t="n">
        <v>8368.671573770493</v>
      </c>
      <c r="BW28" s="2" t="n">
        <v>42621.2434792623</v>
      </c>
      <c r="BX28" s="2" t="n">
        <v>27751.16</v>
      </c>
      <c r="BY28" s="2" t="n">
        <v>1996.85</v>
      </c>
      <c r="BZ28" s="2" t="n">
        <v>0</v>
      </c>
      <c r="CA28" s="2" t="n">
        <v>29748.01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1128</v>
      </c>
      <c r="B29" t="inlineStr">
        <is>
          <t>Wojska Polskiego 109, 64-761 Krzyż Wielkopolski</t>
        </is>
      </c>
      <c r="C29" t="inlineStr">
        <is>
          <t>Krzyż Wielkopolski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3746.85</v>
      </c>
      <c r="L29" s="2" t="n">
        <v>311.8905694444445</v>
      </c>
      <c r="M29" s="2" t="n">
        <v>3469.305555555555</v>
      </c>
      <c r="N29" s="2" t="n">
        <v>0</v>
      </c>
      <c r="O29" s="2" t="n">
        <v>2929.91</v>
      </c>
      <c r="P29" s="2" t="n">
        <v>816.9400000000001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381.61</v>
      </c>
      <c r="AD29" s="2" t="n">
        <v>24.38063888888889</v>
      </c>
      <c r="AE29" s="2" t="n">
        <v>353.3425925925926</v>
      </c>
      <c r="AF29" s="2" t="n">
        <v>0</v>
      </c>
      <c r="AG29" s="2" t="n">
        <v>343.26</v>
      </c>
      <c r="AH29" s="2" t="n">
        <v>38.35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2777.61</v>
      </c>
      <c r="AP29" s="2" t="n">
        <v>203.1770277777778</v>
      </c>
      <c r="AQ29" s="2" t="n">
        <v>2571.861111111111</v>
      </c>
      <c r="AR29" s="2" t="n">
        <v>0</v>
      </c>
      <c r="AS29" s="2" t="n">
        <v>2357.59</v>
      </c>
      <c r="AT29" s="2" t="n">
        <v>420.02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6906.07</v>
      </c>
      <c r="BB29" s="2" t="n">
        <v>6906.07</v>
      </c>
      <c r="BC29" s="2">
        <f>F29+L29+R29+X29+AD29+AJ29+AP29+AV29+IF(BE29="",0,BE29)</f>
        <v/>
      </c>
      <c r="BD29" s="2" t="n">
        <v>106.353478</v>
      </c>
      <c r="BE29" s="2" t="n"/>
      <c r="BF29" s="2" t="n">
        <v>6394.509259259259</v>
      </c>
      <c r="BG29" s="2" t="n">
        <v>518</v>
      </c>
      <c r="BH29" s="2" t="n">
        <v>332</v>
      </c>
      <c r="BI29" s="2" t="n">
        <v>32586.6</v>
      </c>
      <c r="BJ29" s="2" t="n">
        <v>87.34377049180328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93.231945</v>
      </c>
      <c r="BQ29" s="2" t="n">
        <v>0</v>
      </c>
      <c r="BR29" s="2" t="n">
        <v>33642.1757154918</v>
      </c>
      <c r="BS29" s="2" t="n">
        <v>938.6213934426229</v>
      </c>
      <c r="BT29" s="2" t="n">
        <v>393.4426229508197</v>
      </c>
      <c r="BU29" s="2" t="n">
        <v>6976.20155737705</v>
      </c>
      <c r="BV29" s="2" t="n">
        <v>8308.265573770492</v>
      </c>
      <c r="BW29" s="2" t="n">
        <v>41950.44128926229</v>
      </c>
      <c r="BX29" s="2" t="n">
        <v>5630.76</v>
      </c>
      <c r="BY29" s="2" t="n">
        <v>1275.31</v>
      </c>
      <c r="BZ29" s="2" t="n">
        <v>0</v>
      </c>
      <c r="CA29" s="2" t="n">
        <v>6906.07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1129</v>
      </c>
      <c r="B30" t="inlineStr">
        <is>
          <t>Dworcowa 1, 62-300 Września</t>
        </is>
      </c>
      <c r="C30" t="inlineStr">
        <is>
          <t>Września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1027.29</v>
      </c>
      <c r="L30" s="2" t="n">
        <v>85.51238055555555</v>
      </c>
      <c r="M30" s="2" t="n">
        <v>951.1944444444443</v>
      </c>
      <c r="N30" s="2" t="n">
        <v>0</v>
      </c>
      <c r="O30" s="2" t="n">
        <v>989.29</v>
      </c>
      <c r="P30" s="2" t="n">
        <v>38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3259.24</v>
      </c>
      <c r="AD30" s="2" t="n">
        <v>208.2292222222222</v>
      </c>
      <c r="AE30" s="2" t="n">
        <v>3017.814814814814</v>
      </c>
      <c r="AF30" s="2" t="n">
        <v>0</v>
      </c>
      <c r="AG30" s="2" t="n">
        <v>3162.04</v>
      </c>
      <c r="AH30" s="2" t="n">
        <v>97.2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5.88</v>
      </c>
      <c r="AP30" s="2" t="n">
        <v>0.4301111111111111</v>
      </c>
      <c r="AQ30" s="2" t="n">
        <v>5.444444444444444</v>
      </c>
      <c r="AR30" s="2" t="n">
        <v>0</v>
      </c>
      <c r="AS30" s="2" t="n">
        <v>5.88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4292.41</v>
      </c>
      <c r="BB30" s="2" t="n">
        <v>4292.41</v>
      </c>
      <c r="BC30" s="2">
        <f>F30+L30+R30+X30+AD30+AJ30+AP30+AV30+IF(BE30="",0,BE30)</f>
        <v/>
      </c>
      <c r="BD30" s="2" t="n">
        <v>66.10311400000001</v>
      </c>
      <c r="BE30" s="2" t="n"/>
      <c r="BF30" s="2" t="n">
        <v>3974.453703703703</v>
      </c>
      <c r="BG30" s="2" t="n">
        <v>200</v>
      </c>
      <c r="BH30" s="2" t="n">
        <v>121.9</v>
      </c>
      <c r="BI30" s="2" t="n">
        <v>9775.98</v>
      </c>
      <c r="BJ30" s="2" t="n">
        <v>87.34377049180328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57.94753499999999</v>
      </c>
      <c r="BQ30" s="2" t="n">
        <v>0</v>
      </c>
      <c r="BR30" s="2" t="n">
        <v>10268.1713054918</v>
      </c>
      <c r="BS30" s="2" t="n">
        <v>938.6213934426229</v>
      </c>
      <c r="BT30" s="2" t="n">
        <v>393.4426229508197</v>
      </c>
      <c r="BU30" s="2" t="n">
        <v>2308.457557377049</v>
      </c>
      <c r="BV30" s="2" t="n">
        <v>3640.521573770492</v>
      </c>
      <c r="BW30" s="2" t="n">
        <v>13908.69287926229</v>
      </c>
      <c r="BX30" s="2" t="n">
        <v>4157.21</v>
      </c>
      <c r="BY30" s="2" t="n">
        <v>135.2</v>
      </c>
      <c r="BZ30" s="2" t="n">
        <v>0</v>
      </c>
      <c r="CA30" s="2" t="n">
        <v>4292.41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1130</v>
      </c>
      <c r="B31" t="inlineStr">
        <is>
          <t>Plac Dworcowy 2, 64-300 Nowy Tomyśl</t>
        </is>
      </c>
      <c r="C31" t="inlineStr">
        <is>
          <t>Nowy Tomyśl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514.51</v>
      </c>
      <c r="L31" s="2" t="n">
        <v>42.82819351851852</v>
      </c>
      <c r="M31" s="2" t="n">
        <v>476.3981481481481</v>
      </c>
      <c r="N31" s="2" t="n">
        <v>0</v>
      </c>
      <c r="O31" s="2" t="n">
        <v>325.86</v>
      </c>
      <c r="P31" s="2" t="n">
        <v>188.65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1664.81</v>
      </c>
      <c r="AD31" s="2" t="n">
        <v>106.3628611111111</v>
      </c>
      <c r="AE31" s="2" t="n">
        <v>1541.490740740741</v>
      </c>
      <c r="AF31" s="2" t="n">
        <v>0</v>
      </c>
      <c r="AG31" s="2" t="n">
        <v>1486.44</v>
      </c>
      <c r="AH31" s="2" t="n">
        <v>178.37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590.14</v>
      </c>
      <c r="AP31" s="2" t="n">
        <v>43.16764814814815</v>
      </c>
      <c r="AQ31" s="2" t="n">
        <v>546.4259259259259</v>
      </c>
      <c r="AR31" s="2" t="n">
        <v>0</v>
      </c>
      <c r="AS31" s="2" t="n">
        <v>521.6</v>
      </c>
      <c r="AT31" s="2" t="n">
        <v>68.54000000000001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2769.46</v>
      </c>
      <c r="BB31" s="2" t="n">
        <v>2769.46</v>
      </c>
      <c r="BC31" s="2">
        <f>F31+L31+R31+X31+AD31+AJ31+AP31+AV31+IF(BE31="",0,BE31)</f>
        <v/>
      </c>
      <c r="BD31" s="2" t="n">
        <v>42.649684</v>
      </c>
      <c r="BE31" s="2" t="n"/>
      <c r="BF31" s="2" t="n">
        <v>2564.314814814815</v>
      </c>
      <c r="BG31" s="2" t="n">
        <v>123</v>
      </c>
      <c r="BH31" s="2" t="n">
        <v>246</v>
      </c>
      <c r="BI31" s="2" t="n">
        <v>14120.86</v>
      </c>
      <c r="BJ31" s="2" t="n">
        <v>87.34377049180328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37.38771</v>
      </c>
      <c r="BQ31" s="2" t="n">
        <v>0</v>
      </c>
      <c r="BR31" s="2" t="n">
        <v>14639.5914804918</v>
      </c>
      <c r="BS31" s="2" t="n">
        <v>938.6213934426229</v>
      </c>
      <c r="BT31" s="2" t="n">
        <v>393.4426229508197</v>
      </c>
      <c r="BU31" s="2" t="n">
        <v>3186.853557377049</v>
      </c>
      <c r="BV31" s="2" t="n">
        <v>4518.917573770492</v>
      </c>
      <c r="BW31" s="2" t="n">
        <v>19158.50905426229</v>
      </c>
      <c r="BX31" s="2" t="n">
        <v>2333.9</v>
      </c>
      <c r="BY31" s="2" t="n">
        <v>435.56</v>
      </c>
      <c r="BZ31" s="2" t="n">
        <v>0</v>
      </c>
      <c r="CA31" s="2" t="n">
        <v>2769.46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1131</v>
      </c>
      <c r="B32" t="inlineStr">
        <is>
          <t>Dworcowa 1, 64-000 Kościan</t>
        </is>
      </c>
      <c r="C32" t="inlineStr">
        <is>
          <t>Kościan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84.76000000000001</v>
      </c>
      <c r="L32" s="2" t="n">
        <v>7.055485185185185</v>
      </c>
      <c r="M32" s="2" t="n">
        <v>78.48148148148148</v>
      </c>
      <c r="N32" s="2" t="n">
        <v>0</v>
      </c>
      <c r="O32" s="2" t="n">
        <v>84.76000000000001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74.78</v>
      </c>
      <c r="AD32" s="2" t="n">
        <v>4.777611111111111</v>
      </c>
      <c r="AE32" s="2" t="n">
        <v>69.24074074074073</v>
      </c>
      <c r="AF32" s="2" t="n">
        <v>0</v>
      </c>
      <c r="AG32" s="2" t="n">
        <v>74.78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0.33</v>
      </c>
      <c r="AP32" s="2" t="n">
        <v>0</v>
      </c>
      <c r="AQ32" s="2" t="n">
        <v>0.3055555555555555</v>
      </c>
      <c r="AR32" s="2" t="n">
        <v>0</v>
      </c>
      <c r="AS32" s="2" t="n">
        <v>0.33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159.87</v>
      </c>
      <c r="BB32" s="2" t="n">
        <v>159.87</v>
      </c>
      <c r="BC32" s="2">
        <f>F32+L32+R32+X32+AD32+AJ32+AP32+AV32+IF(BE32="",0,BE32)</f>
        <v/>
      </c>
      <c r="BD32" s="2" t="n">
        <v>2.461998</v>
      </c>
      <c r="BE32" s="2" t="n"/>
      <c r="BF32" s="2" t="n">
        <v>148.0277777777778</v>
      </c>
      <c r="BG32" s="2" t="n">
        <v>300</v>
      </c>
      <c r="BH32" s="2" t="n">
        <v>340.5</v>
      </c>
      <c r="BI32" s="2" t="n">
        <v>30414.16</v>
      </c>
      <c r="BJ32" s="2" t="n">
        <v>87.34377049180328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2.158245</v>
      </c>
      <c r="BQ32" s="2" t="n">
        <v>0</v>
      </c>
      <c r="BR32" s="2" t="n">
        <v>31169.1620154918</v>
      </c>
      <c r="BS32" s="2" t="n">
        <v>938.6213934426229</v>
      </c>
      <c r="BT32" s="2" t="n">
        <v>393.4426229508197</v>
      </c>
      <c r="BU32" s="2" t="n">
        <v>6499.813557377049</v>
      </c>
      <c r="BV32" s="2" t="n">
        <v>7831.877573770491</v>
      </c>
      <c r="BW32" s="2" t="n">
        <v>39001.03958926229</v>
      </c>
      <c r="BX32" s="2" t="n">
        <v>159.87</v>
      </c>
      <c r="BY32" s="2" t="n">
        <v>0</v>
      </c>
      <c r="BZ32" s="2" t="n">
        <v>0</v>
      </c>
      <c r="CA32" s="2" t="n">
        <v>159.87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1203</v>
      </c>
      <c r="B33" t="inlineStr">
        <is>
          <t>Piłsudskiego 105, 50-085 Wrocław</t>
        </is>
      </c>
      <c r="C33" t="inlineStr">
        <is>
          <t>Wrocław Główny</t>
        </is>
      </c>
      <c r="D33" t="inlineStr">
        <is>
          <t>FAA2000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28223.71</v>
      </c>
      <c r="L33" s="2" t="n">
        <v>2349.362526851852</v>
      </c>
      <c r="M33" s="2" t="n">
        <v>26133.06481481481</v>
      </c>
      <c r="N33" s="2" t="n">
        <v>3819.24</v>
      </c>
      <c r="O33" s="2" t="n">
        <v>23041.18</v>
      </c>
      <c r="P33" s="2" t="n">
        <v>1363.29</v>
      </c>
      <c r="Q33" s="2" t="n">
        <v>26747.3</v>
      </c>
      <c r="R33" s="2" t="n">
        <v>1600</v>
      </c>
      <c r="S33" s="2" t="n">
        <v>24766.01851851851</v>
      </c>
      <c r="T33" s="2" t="n">
        <v>4759.73</v>
      </c>
      <c r="U33" s="2" t="n">
        <v>20733.07</v>
      </c>
      <c r="V33" s="2" t="n">
        <v>1254.5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15285.43</v>
      </c>
      <c r="AP33" s="2" t="n">
        <v>1118.100898148148</v>
      </c>
      <c r="AQ33" s="2" t="n">
        <v>14153.17592592593</v>
      </c>
      <c r="AR33" s="2" t="n">
        <v>2234.82</v>
      </c>
      <c r="AS33" s="2" t="n">
        <v>12229.86</v>
      </c>
      <c r="AT33" s="2" t="n">
        <v>820.75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70256.44</v>
      </c>
      <c r="BB33" s="2" t="n">
        <v>59442.65</v>
      </c>
      <c r="BC33" s="2">
        <f>F33+L33+R33+X33+AD33+AJ33+AP33+AV33+IF(BE33="",0,BE33)</f>
        <v/>
      </c>
      <c r="BD33" s="2" t="n">
        <v>915.4168099999999</v>
      </c>
      <c r="BE33" s="2" t="n"/>
      <c r="BF33" s="2" t="n">
        <v>65052.25925925926</v>
      </c>
      <c r="BG33" s="2" t="n">
        <v>0</v>
      </c>
      <c r="BH33" s="2" t="n">
        <v>0</v>
      </c>
      <c r="BI33" s="2" t="n">
        <v>32586.6</v>
      </c>
      <c r="BJ33" s="2" t="n">
        <v>87.34377049180328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802.475775</v>
      </c>
      <c r="BQ33" s="2" t="n">
        <v>0</v>
      </c>
      <c r="BR33" s="2" t="n">
        <v>33501.4195454918</v>
      </c>
      <c r="BS33" s="2" t="n">
        <v>938.6213934426229</v>
      </c>
      <c r="BT33" s="2" t="n">
        <v>393.4426229508197</v>
      </c>
      <c r="BU33" s="2" t="n">
        <v>6806.20155737705</v>
      </c>
      <c r="BV33" s="2" t="n">
        <v>8138.265573770492</v>
      </c>
      <c r="BW33" s="2" t="n">
        <v>41639.68511926229</v>
      </c>
      <c r="BX33" s="2" t="n">
        <v>56004.11</v>
      </c>
      <c r="BY33" s="2" t="n">
        <v>3438.54</v>
      </c>
      <c r="BZ33" s="2" t="n">
        <v>10813.79</v>
      </c>
      <c r="CA33" s="2" t="n">
        <v>59442.65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1204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9783.23</v>
      </c>
      <c r="L34" s="2" t="n">
        <v>814.3633120370371</v>
      </c>
      <c r="M34" s="2" t="n">
        <v>9058.546296296296</v>
      </c>
      <c r="N34" s="2" t="n">
        <v>1100.35</v>
      </c>
      <c r="O34" s="2" t="n">
        <v>8682.879999999999</v>
      </c>
      <c r="P34" s="2" t="n">
        <v>0</v>
      </c>
      <c r="Q34" s="2" t="n">
        <v>21635.96</v>
      </c>
      <c r="R34" s="2" t="n">
        <v>1600</v>
      </c>
      <c r="S34" s="2" t="n">
        <v>20033.2962962963</v>
      </c>
      <c r="T34" s="2" t="n">
        <v>3182.35</v>
      </c>
      <c r="U34" s="2" t="n">
        <v>18453.61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9913.070000000002</v>
      </c>
      <c r="AP34" s="2" t="n">
        <v>725.1227129629631</v>
      </c>
      <c r="AQ34" s="2" t="n">
        <v>9178.76851851852</v>
      </c>
      <c r="AR34" s="2" t="n">
        <v>1198.2</v>
      </c>
      <c r="AS34" s="2" t="n">
        <v>8714.870000000001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41332.26</v>
      </c>
      <c r="BB34" s="2" t="n">
        <v>35851.36</v>
      </c>
      <c r="BC34" s="2">
        <f>F34+L34+R34+X34+AD34+AJ34+AP34+AV34+IF(BE34="",0,BE34)</f>
        <v/>
      </c>
      <c r="BD34" s="2" t="n">
        <v>552.110944</v>
      </c>
      <c r="BE34" s="2" t="n"/>
      <c r="BF34" s="2" t="n">
        <v>38270.61111111111</v>
      </c>
      <c r="BG34" s="2" t="n">
        <v>652.9399999999999</v>
      </c>
      <c r="BH34" s="2" t="n">
        <v>82</v>
      </c>
      <c r="BI34" s="2" t="n">
        <v>32586.6</v>
      </c>
      <c r="BJ34" s="2" t="n">
        <v>87.34377049180328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483.9933600000001</v>
      </c>
      <c r="BQ34" s="2" t="n">
        <v>0</v>
      </c>
      <c r="BR34" s="2" t="n">
        <v>33917.8771304918</v>
      </c>
      <c r="BS34" s="2" t="n">
        <v>938.6213934426229</v>
      </c>
      <c r="BT34" s="2" t="n">
        <v>393.4426229508197</v>
      </c>
      <c r="BU34" s="2" t="n">
        <v>6953.18955737705</v>
      </c>
      <c r="BV34" s="2" t="n">
        <v>8285.253573770493</v>
      </c>
      <c r="BW34" s="2" t="n">
        <v>42203.13070426229</v>
      </c>
      <c r="BX34" s="2" t="n">
        <v>35851.36</v>
      </c>
      <c r="BY34" s="2" t="n">
        <v>0</v>
      </c>
      <c r="BZ34" s="2" t="n">
        <v>5480.9</v>
      </c>
      <c r="CA34" s="2" t="n">
        <v>35851.36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1205</v>
      </c>
      <c r="B35" t="inlineStr">
        <is>
          <t>Wroclaw</t>
        </is>
      </c>
      <c r="C35" t="inlineStr">
        <is>
          <t>Ciechocinek</t>
        </is>
      </c>
      <c r="D35" t="inlineStr">
        <is>
          <t>ST|40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10430.68</v>
      </c>
      <c r="L35" s="2" t="n">
        <v>868.2575296296296</v>
      </c>
      <c r="M35" s="2" t="n">
        <v>9658.037037037036</v>
      </c>
      <c r="N35" s="2" t="n">
        <v>1906.07</v>
      </c>
      <c r="O35" s="2" t="n">
        <v>7981.29</v>
      </c>
      <c r="P35" s="2" t="n">
        <v>543.3200000000001</v>
      </c>
      <c r="Q35" s="2" t="n">
        <v>19626.83</v>
      </c>
      <c r="R35" s="2" t="n">
        <v>800</v>
      </c>
      <c r="S35" s="2" t="n">
        <v>18172.99074074074</v>
      </c>
      <c r="T35" s="2" t="n">
        <v>3734.13</v>
      </c>
      <c r="U35" s="2" t="n">
        <v>14909.57</v>
      </c>
      <c r="V35" s="2" t="n">
        <v>983.13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4611.509999999999</v>
      </c>
      <c r="AP35" s="2" t="n">
        <v>337.3234166666666</v>
      </c>
      <c r="AQ35" s="2" t="n">
        <v>4269.916666666666</v>
      </c>
      <c r="AR35" s="2" t="n">
        <v>735.55</v>
      </c>
      <c r="AS35" s="2" t="n">
        <v>3639.6</v>
      </c>
      <c r="AT35" s="2" t="n">
        <v>236.36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34669.02</v>
      </c>
      <c r="BB35" s="2" t="n">
        <v>28293.27</v>
      </c>
      <c r="BC35" s="2">
        <f>F35+L35+R35+X35+AD35+AJ35+AP35+AV35+IF(BE35="",0,BE35)</f>
        <v/>
      </c>
      <c r="BD35" s="2" t="n">
        <v>435.716358</v>
      </c>
      <c r="BE35" s="2" t="n"/>
      <c r="BF35" s="2" t="n">
        <v>32100.94444444445</v>
      </c>
      <c r="BG35" s="2" t="n">
        <v>652.9399999999999</v>
      </c>
      <c r="BH35" s="2" t="n">
        <v>82</v>
      </c>
      <c r="BI35" s="2" t="n">
        <v>32586.6</v>
      </c>
      <c r="BJ35" s="2" t="n">
        <v>87.34377049180328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381.959145</v>
      </c>
      <c r="BQ35" s="2" t="n">
        <v>0</v>
      </c>
      <c r="BR35" s="2" t="n">
        <v>33815.8429154918</v>
      </c>
      <c r="BS35" s="2" t="n">
        <v>938.6213934426229</v>
      </c>
      <c r="BT35" s="2" t="n">
        <v>393.4426229508197</v>
      </c>
      <c r="BU35" s="2" t="n">
        <v>6953.18955737705</v>
      </c>
      <c r="BV35" s="2" t="n">
        <v>8285.253573770493</v>
      </c>
      <c r="BW35" s="2" t="n">
        <v>42101.0964892623</v>
      </c>
      <c r="BX35" s="2" t="n">
        <v>26530.46</v>
      </c>
      <c r="BY35" s="2" t="n">
        <v>1762.81</v>
      </c>
      <c r="BZ35" s="2" t="n">
        <v>6375.75</v>
      </c>
      <c r="CA35" s="2" t="n">
        <v>28293.27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1206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13529.24</v>
      </c>
      <c r="L36" s="2" t="n">
        <v>1126.183959259259</v>
      </c>
      <c r="M36" s="2" t="n">
        <v>12527.07407407407</v>
      </c>
      <c r="N36" s="2" t="n">
        <v>2476.6</v>
      </c>
      <c r="O36" s="2" t="n">
        <v>10284.22</v>
      </c>
      <c r="P36" s="2" t="n">
        <v>768.42</v>
      </c>
      <c r="Q36" s="2" t="n">
        <v>28506.62</v>
      </c>
      <c r="R36" s="2" t="n">
        <v>1600</v>
      </c>
      <c r="S36" s="2" t="n">
        <v>26395.01851851852</v>
      </c>
      <c r="T36" s="2" t="n">
        <v>5029.54</v>
      </c>
      <c r="U36" s="2" t="n">
        <v>22457.54</v>
      </c>
      <c r="V36" s="2" t="n">
        <v>1019.54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8371.200000000001</v>
      </c>
      <c r="AP36" s="2" t="n">
        <v>612.3377777777778</v>
      </c>
      <c r="AQ36" s="2" t="n">
        <v>7751.111111111111</v>
      </c>
      <c r="AR36" s="2" t="n">
        <v>1178.47</v>
      </c>
      <c r="AS36" s="2" t="n">
        <v>6958.7</v>
      </c>
      <c r="AT36" s="2" t="n">
        <v>234.03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50407.06</v>
      </c>
      <c r="BB36" s="2" t="n">
        <v>41722.45</v>
      </c>
      <c r="BC36" s="2">
        <f>F36+L36+R36+X36+AD36+AJ36+AP36+AV36+IF(BE36="",0,BE36)</f>
        <v/>
      </c>
      <c r="BD36" s="2" t="n">
        <v>642.5257300000001</v>
      </c>
      <c r="BE36" s="2" t="n"/>
      <c r="BF36" s="2" t="n">
        <v>46673.2037037037</v>
      </c>
      <c r="BG36" s="2" t="n">
        <v>652.9399999999999</v>
      </c>
      <c r="BH36" s="2" t="n">
        <v>82</v>
      </c>
      <c r="BI36" s="2" t="n">
        <v>32586.6</v>
      </c>
      <c r="BJ36" s="2" t="n">
        <v>87.34377049180328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563.253075</v>
      </c>
      <c r="BQ36" s="2" t="n">
        <v>0</v>
      </c>
      <c r="BR36" s="2" t="n">
        <v>33997.1368454918</v>
      </c>
      <c r="BS36" s="2" t="n">
        <v>938.6213934426229</v>
      </c>
      <c r="BT36" s="2" t="n">
        <v>393.4426229508197</v>
      </c>
      <c r="BU36" s="2" t="n">
        <v>6953.18955737705</v>
      </c>
      <c r="BV36" s="2" t="n">
        <v>8285.253573770493</v>
      </c>
      <c r="BW36" s="2" t="n">
        <v>42282.3904192623</v>
      </c>
      <c r="BX36" s="2" t="n">
        <v>39700.46</v>
      </c>
      <c r="BY36" s="2" t="n">
        <v>2021.99</v>
      </c>
      <c r="BZ36" s="2" t="n">
        <v>8684.609999999999</v>
      </c>
      <c r="CA36" s="2" t="n">
        <v>41722.45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1207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12690.57</v>
      </c>
      <c r="L37" s="2" t="n">
        <v>1056.372447222222</v>
      </c>
      <c r="M37" s="2" t="n">
        <v>11750.52777777778</v>
      </c>
      <c r="N37" s="2" t="n">
        <v>2599.05</v>
      </c>
      <c r="O37" s="2" t="n">
        <v>9669.9</v>
      </c>
      <c r="P37" s="2" t="n">
        <v>421.62</v>
      </c>
      <c r="Q37" s="2" t="n">
        <v>21383.54</v>
      </c>
      <c r="R37" s="2" t="n">
        <v>1600</v>
      </c>
      <c r="S37" s="2" t="n">
        <v>19799.57407407407</v>
      </c>
      <c r="T37" s="2" t="n">
        <v>3153.17</v>
      </c>
      <c r="U37" s="2" t="n">
        <v>17654</v>
      </c>
      <c r="V37" s="2" t="n">
        <v>576.37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5838.999999999999</v>
      </c>
      <c r="AP37" s="2" t="n">
        <v>427.1120370370369</v>
      </c>
      <c r="AQ37" s="2" t="n">
        <v>5406.48148148148</v>
      </c>
      <c r="AR37" s="2" t="n">
        <v>983.7</v>
      </c>
      <c r="AS37" s="2" t="n">
        <v>4675.44</v>
      </c>
      <c r="AT37" s="2" t="n">
        <v>179.86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39913.11</v>
      </c>
      <c r="BB37" s="2" t="n">
        <v>33177.19</v>
      </c>
      <c r="BC37" s="2">
        <f>F37+L37+R37+X37+AD37+AJ37+AP37+AV37+IF(BE37="",0,BE37)</f>
        <v/>
      </c>
      <c r="BD37" s="2" t="n">
        <v>510.928726</v>
      </c>
      <c r="BE37" s="2" t="n"/>
      <c r="BF37" s="2" t="n">
        <v>36956.58333333333</v>
      </c>
      <c r="BG37" s="2" t="n">
        <v>652.9399999999999</v>
      </c>
      <c r="BH37" s="2" t="n">
        <v>82</v>
      </c>
      <c r="BI37" s="2" t="n">
        <v>32586.6</v>
      </c>
      <c r="BJ37" s="2" t="n">
        <v>87.34377049180328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447.892065</v>
      </c>
      <c r="BQ37" s="2" t="n">
        <v>0</v>
      </c>
      <c r="BR37" s="2" t="n">
        <v>33881.7758354918</v>
      </c>
      <c r="BS37" s="2" t="n">
        <v>938.6213934426229</v>
      </c>
      <c r="BT37" s="2" t="n">
        <v>393.4426229508197</v>
      </c>
      <c r="BU37" s="2" t="n">
        <v>6953.18955737705</v>
      </c>
      <c r="BV37" s="2" t="n">
        <v>8285.253573770493</v>
      </c>
      <c r="BW37" s="2" t="n">
        <v>42167.02940926229</v>
      </c>
      <c r="BX37" s="2" t="n">
        <v>31999.34</v>
      </c>
      <c r="BY37" s="2" t="n">
        <v>1177.85</v>
      </c>
      <c r="BZ37" s="2" t="n">
        <v>6735.92</v>
      </c>
      <c r="CA37" s="2" t="n">
        <v>33177.19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1208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5737.27</v>
      </c>
      <c r="L38" s="2" t="n">
        <v>477.5746046296296</v>
      </c>
      <c r="M38" s="2" t="n">
        <v>5312.287037037036</v>
      </c>
      <c r="N38" s="2" t="n">
        <v>691.73</v>
      </c>
      <c r="O38" s="2" t="n">
        <v>4736.17</v>
      </c>
      <c r="P38" s="2" t="n">
        <v>309.37</v>
      </c>
      <c r="Q38" s="2" t="n">
        <v>15612.34</v>
      </c>
      <c r="R38" s="2" t="n">
        <v>1600</v>
      </c>
      <c r="S38" s="2" t="n">
        <v>14455.87037037037</v>
      </c>
      <c r="T38" s="2" t="n">
        <v>2591.55</v>
      </c>
      <c r="U38" s="2" t="n">
        <v>12445.41</v>
      </c>
      <c r="V38" s="2" t="n">
        <v>575.38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6315.68</v>
      </c>
      <c r="AP38" s="2" t="n">
        <v>461.9802962962963</v>
      </c>
      <c r="AQ38" s="2" t="n">
        <v>5847.851851851852</v>
      </c>
      <c r="AR38" s="2" t="n">
        <v>1347.76</v>
      </c>
      <c r="AS38" s="2" t="n">
        <v>4759.14</v>
      </c>
      <c r="AT38" s="2" t="n">
        <v>208.78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27665.29</v>
      </c>
      <c r="BB38" s="2" t="n">
        <v>23034.25</v>
      </c>
      <c r="BC38" s="2">
        <f>F38+L38+R38+X38+AD38+AJ38+AP38+AV38+IF(BE38="",0,BE38)</f>
        <v/>
      </c>
      <c r="BD38" s="2" t="n">
        <v>354.72745</v>
      </c>
      <c r="BE38" s="2" t="n"/>
      <c r="BF38" s="2" t="n">
        <v>25616.00925925926</v>
      </c>
      <c r="BG38" s="2" t="n">
        <v>652.9399999999999</v>
      </c>
      <c r="BH38" s="2" t="n">
        <v>82</v>
      </c>
      <c r="BI38" s="2" t="n">
        <v>32586.6</v>
      </c>
      <c r="BJ38" s="2" t="n">
        <v>87.34377049180328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310.962375</v>
      </c>
      <c r="BQ38" s="2" t="n">
        <v>0</v>
      </c>
      <c r="BR38" s="2" t="n">
        <v>33744.84614549181</v>
      </c>
      <c r="BS38" s="2" t="n">
        <v>938.6213934426229</v>
      </c>
      <c r="BT38" s="2" t="n">
        <v>393.4426229508197</v>
      </c>
      <c r="BU38" s="2" t="n">
        <v>6953.18955737705</v>
      </c>
      <c r="BV38" s="2" t="n">
        <v>8285.253573770493</v>
      </c>
      <c r="BW38" s="2" t="n">
        <v>42030.0997192623</v>
      </c>
      <c r="BX38" s="2" t="n">
        <v>21940.72</v>
      </c>
      <c r="BY38" s="2" t="n">
        <v>1093.53</v>
      </c>
      <c r="BZ38" s="2" t="n">
        <v>4631.04</v>
      </c>
      <c r="CA38" s="2" t="n">
        <v>23034.25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1209</v>
      </c>
      <c r="B39" t="inlineStr">
        <is>
          <t>tunel dworca od ul. Suchej, 50-085 Wrocław</t>
        </is>
      </c>
      <c r="C39" t="inlineStr"/>
      <c r="D39" t="inlineStr"/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7288.09</v>
      </c>
      <c r="L39" s="2" t="n">
        <v>606.6660101851852</v>
      </c>
      <c r="M39" s="2" t="n">
        <v>6748.231481481481</v>
      </c>
      <c r="N39" s="2" t="n">
        <v>1727.1</v>
      </c>
      <c r="O39" s="2" t="n">
        <v>5089.39</v>
      </c>
      <c r="P39" s="2" t="n">
        <v>471.6</v>
      </c>
      <c r="Q39" s="2" t="n">
        <v>15471.22</v>
      </c>
      <c r="R39" s="2" t="n">
        <v>800</v>
      </c>
      <c r="S39" s="2" t="n">
        <v>14325.2037037037</v>
      </c>
      <c r="T39" s="2" t="n">
        <v>2827.49</v>
      </c>
      <c r="U39" s="2" t="n">
        <v>12090.73</v>
      </c>
      <c r="V39" s="2" t="n">
        <v>553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3850.88</v>
      </c>
      <c r="AP39" s="2" t="n">
        <v>281.6847407407407</v>
      </c>
      <c r="AQ39" s="2" t="n">
        <v>3565.62962962963</v>
      </c>
      <c r="AR39" s="2" t="n">
        <v>944.78</v>
      </c>
      <c r="AS39" s="2" t="n">
        <v>2666.56</v>
      </c>
      <c r="AT39" s="2" t="n">
        <v>239.54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26610.19</v>
      </c>
      <c r="BB39" s="2" t="n">
        <v>21110.82</v>
      </c>
      <c r="BC39" s="2">
        <f>F39+L39+R39+X39+AD39+AJ39+AP39+AV39+IF(BE39="",0,BE39)</f>
        <v/>
      </c>
      <c r="BD39" s="2" t="n">
        <v>325.106628</v>
      </c>
      <c r="BE39" s="2" t="n"/>
      <c r="BF39" s="2" t="n">
        <v>24639.06481481481</v>
      </c>
      <c r="BG39" s="2" t="n">
        <v>652.9399999999999</v>
      </c>
      <c r="BH39" s="2" t="n">
        <v>82</v>
      </c>
      <c r="BI39" s="2" t="n">
        <v>32586.6</v>
      </c>
      <c r="BJ39" s="2" t="n">
        <v>87.34377049180328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284.99607</v>
      </c>
      <c r="BQ39" s="2" t="n">
        <v>0</v>
      </c>
      <c r="BR39" s="2" t="n">
        <v>33718.87984049181</v>
      </c>
      <c r="BS39" s="2" t="n">
        <v>938.6213934426229</v>
      </c>
      <c r="BT39" s="2" t="n">
        <v>393.4426229508197</v>
      </c>
      <c r="BU39" s="2" t="n">
        <v>6953.18955737705</v>
      </c>
      <c r="BV39" s="2" t="n">
        <v>8285.253573770493</v>
      </c>
      <c r="BW39" s="2" t="n">
        <v>42004.13341426229</v>
      </c>
      <c r="BX39" s="2" t="n">
        <v>19846.68</v>
      </c>
      <c r="BY39" s="2" t="n">
        <v>1264.14</v>
      </c>
      <c r="BZ39" s="2" t="n">
        <v>5499.37</v>
      </c>
      <c r="CA39" s="2" t="n">
        <v>21110.82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1210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37163.21</v>
      </c>
      <c r="L40" s="2" t="n">
        <v>3093.493128703704</v>
      </c>
      <c r="M40" s="2" t="n">
        <v>34410.37962962963</v>
      </c>
      <c r="N40" s="2" t="n">
        <v>4728.14</v>
      </c>
      <c r="O40" s="2" t="n">
        <v>32435.07</v>
      </c>
      <c r="P40" s="2" t="n">
        <v>0</v>
      </c>
      <c r="Q40" s="2" t="n">
        <v>26940.24</v>
      </c>
      <c r="R40" s="2" t="n">
        <v>1600</v>
      </c>
      <c r="S40" s="2" t="n">
        <v>24944.66666666666</v>
      </c>
      <c r="T40" s="2" t="n">
        <v>4975.62</v>
      </c>
      <c r="U40" s="2" t="n">
        <v>21964.62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13337.92</v>
      </c>
      <c r="AP40" s="2" t="n">
        <v>975.6441481481481</v>
      </c>
      <c r="AQ40" s="2" t="n">
        <v>12349.92592592593</v>
      </c>
      <c r="AR40" s="2" t="n">
        <v>2359.82</v>
      </c>
      <c r="AS40" s="2" t="n">
        <v>10978.1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77441.37</v>
      </c>
      <c r="BB40" s="2" t="n">
        <v>65377.79</v>
      </c>
      <c r="BC40" s="2">
        <f>F40+L40+R40+X40+AD40+AJ40+AP40+AV40+IF(BE40="",0,BE40)</f>
        <v/>
      </c>
      <c r="BD40" s="2" t="n">
        <v>1006.817966</v>
      </c>
      <c r="BE40" s="2" t="n"/>
      <c r="BF40" s="2" t="n">
        <v>71704.97222222222</v>
      </c>
      <c r="BG40" s="2" t="n">
        <v>760.5599999999999</v>
      </c>
      <c r="BH40" s="2" t="n">
        <v>260</v>
      </c>
      <c r="BI40" s="2" t="n">
        <v>32586.6</v>
      </c>
      <c r="BJ40" s="2" t="n">
        <v>87.34377049180328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882.6001649999999</v>
      </c>
      <c r="BQ40" s="2" t="n">
        <v>0</v>
      </c>
      <c r="BR40" s="2" t="n">
        <v>34602.1039354918</v>
      </c>
      <c r="BS40" s="2" t="n">
        <v>938.6213934426229</v>
      </c>
      <c r="BT40" s="2" t="n">
        <v>393.4426229508197</v>
      </c>
      <c r="BU40" s="2" t="n">
        <v>7010.313557377049</v>
      </c>
      <c r="BV40" s="2" t="n">
        <v>8342.377573770491</v>
      </c>
      <c r="BW40" s="2" t="n">
        <v>42944.4815092623</v>
      </c>
      <c r="BX40" s="2" t="n">
        <v>65377.79</v>
      </c>
      <c r="BY40" s="2" t="n">
        <v>0</v>
      </c>
      <c r="BZ40" s="2" t="n">
        <v>12063.58</v>
      </c>
      <c r="CA40" s="2" t="n">
        <v>65377.79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1211</v>
      </c>
      <c r="B41" t="inlineStr">
        <is>
          <t>Kolejowa, 59-300 Lubin</t>
        </is>
      </c>
      <c r="C41" t="inlineStr">
        <is>
          <t>Lubin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24357.67</v>
      </c>
      <c r="R41" s="2" t="n">
        <v>1600</v>
      </c>
      <c r="S41" s="2" t="n">
        <v>22553.39814814815</v>
      </c>
      <c r="T41" s="2" t="n">
        <v>10377.61</v>
      </c>
      <c r="U41" s="2" t="n">
        <v>13136.85</v>
      </c>
      <c r="V41" s="2" t="n">
        <v>843.21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24357.67</v>
      </c>
      <c r="BB41" s="2" t="n">
        <v>13980.06</v>
      </c>
      <c r="BC41" s="2">
        <f>F41+L41+R41+X41+AD41+AJ41+AP41+AV41+IF(BE41="",0,BE41)</f>
        <v/>
      </c>
      <c r="BD41" s="2" t="n">
        <v>215.292924</v>
      </c>
      <c r="BE41" s="2" t="n"/>
      <c r="BF41" s="2" t="n">
        <v>22553.39814814815</v>
      </c>
      <c r="BG41" s="2" t="n">
        <v>0</v>
      </c>
      <c r="BH41" s="2" t="n">
        <v>112.06</v>
      </c>
      <c r="BI41" s="2" t="n">
        <v>32586.6</v>
      </c>
      <c r="BJ41" s="2" t="n">
        <v>87.34377049180328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188.73081</v>
      </c>
      <c r="BQ41" s="2" t="n">
        <v>0</v>
      </c>
      <c r="BR41" s="2" t="n">
        <v>32999.7345804918</v>
      </c>
      <c r="BS41" s="2" t="n">
        <v>938.6213934426229</v>
      </c>
      <c r="BT41" s="2" t="n">
        <v>393.4426229508197</v>
      </c>
      <c r="BU41" s="2" t="n">
        <v>6828.613557377049</v>
      </c>
      <c r="BV41" s="2" t="n">
        <v>8160.677573770492</v>
      </c>
      <c r="BW41" s="2" t="n">
        <v>41160.41215426229</v>
      </c>
      <c r="BX41" s="2" t="n">
        <v>13136.85</v>
      </c>
      <c r="BY41" s="2" t="n">
        <v>843.21</v>
      </c>
      <c r="BZ41" s="2" t="n">
        <v>10377.61</v>
      </c>
      <c r="CA41" s="2" t="n">
        <v>13980.06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1212</v>
      </c>
      <c r="B42" t="inlineStr">
        <is>
          <t>Armii Krajowej 26C, 58-302 Wałbrzych</t>
        </is>
      </c>
      <c r="C42" t="inlineStr">
        <is>
          <t>Wałbrzych Miasto</t>
        </is>
      </c>
      <c r="D42" t="inlineStr">
        <is>
          <t>ST|40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2195.91</v>
      </c>
      <c r="L42" s="2" t="n">
        <v>182.789175</v>
      </c>
      <c r="M42" s="2" t="n">
        <v>2033.25</v>
      </c>
      <c r="N42" s="2" t="n">
        <v>827.45</v>
      </c>
      <c r="O42" s="2" t="n">
        <v>1307.46</v>
      </c>
      <c r="P42" s="2" t="n">
        <v>61</v>
      </c>
      <c r="Q42" s="2" t="n">
        <v>8336.559999999999</v>
      </c>
      <c r="R42" s="2" t="n">
        <v>1600</v>
      </c>
      <c r="S42" s="2" t="n">
        <v>7719.037037037036</v>
      </c>
      <c r="T42" s="2" t="n">
        <v>1762.98</v>
      </c>
      <c r="U42" s="2" t="n">
        <v>6371.01</v>
      </c>
      <c r="V42" s="2" t="n">
        <v>202.57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641.77</v>
      </c>
      <c r="AP42" s="2" t="n">
        <v>46.94428703703703</v>
      </c>
      <c r="AQ42" s="2" t="n">
        <v>594.2314814814814</v>
      </c>
      <c r="AR42" s="2" t="n">
        <v>100.8</v>
      </c>
      <c r="AS42" s="2" t="n">
        <v>540.97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11174.24</v>
      </c>
      <c r="BB42" s="2" t="n">
        <v>8483.01</v>
      </c>
      <c r="BC42" s="2">
        <f>F42+L42+R42+X42+AD42+AJ42+AP42+AV42+IF(BE42="",0,BE42)</f>
        <v/>
      </c>
      <c r="BD42" s="2" t="n">
        <v>130.638354</v>
      </c>
      <c r="BE42" s="2" t="n"/>
      <c r="BF42" s="2" t="n">
        <v>10346.51851851852</v>
      </c>
      <c r="BG42" s="2" t="n">
        <v>573.92</v>
      </c>
      <c r="BH42" s="2" t="n">
        <v>110.7</v>
      </c>
      <c r="BI42" s="2" t="n">
        <v>32586.6</v>
      </c>
      <c r="BJ42" s="2" t="n">
        <v>87.34377049180328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114.520635</v>
      </c>
      <c r="BQ42" s="2" t="n">
        <v>0</v>
      </c>
      <c r="BR42" s="2" t="n">
        <v>33498.08440549181</v>
      </c>
      <c r="BS42" s="2" t="n">
        <v>938.6213934426229</v>
      </c>
      <c r="BT42" s="2" t="n">
        <v>393.4426229508197</v>
      </c>
      <c r="BU42" s="2" t="n">
        <v>6943.12555737705</v>
      </c>
      <c r="BV42" s="2" t="n">
        <v>8275.189573770493</v>
      </c>
      <c r="BW42" s="2" t="n">
        <v>41773.2739792623</v>
      </c>
      <c r="BX42" s="2" t="n">
        <v>8219.440000000001</v>
      </c>
      <c r="BY42" s="2" t="n">
        <v>263.57</v>
      </c>
      <c r="BZ42" s="2" t="n">
        <v>2691.23</v>
      </c>
      <c r="CA42" s="2" t="n">
        <v>8483.01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1213</v>
      </c>
      <c r="B43" t="inlineStr">
        <is>
          <t>Plac 1000-Lecia 1, 67-200 Głogów</t>
        </is>
      </c>
      <c r="C43" t="inlineStr">
        <is>
          <t>Głogów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21844.91</v>
      </c>
      <c r="L43" s="2" t="n">
        <v>1818.386489814815</v>
      </c>
      <c r="M43" s="2" t="n">
        <v>20226.76851851852</v>
      </c>
      <c r="N43" s="2" t="n">
        <v>8112.99</v>
      </c>
      <c r="O43" s="2" t="n">
        <v>12851.17</v>
      </c>
      <c r="P43" s="2" t="n">
        <v>880.75</v>
      </c>
      <c r="Q43" s="2" t="n">
        <v>20025.83</v>
      </c>
      <c r="R43" s="2" t="n">
        <v>1600</v>
      </c>
      <c r="S43" s="2" t="n">
        <v>18542.43518518519</v>
      </c>
      <c r="T43" s="2" t="n">
        <v>5949.76</v>
      </c>
      <c r="U43" s="2" t="n">
        <v>13609.1</v>
      </c>
      <c r="V43" s="2" t="n">
        <v>466.97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4056.3</v>
      </c>
      <c r="AP43" s="2" t="n">
        <v>296.7108333333333</v>
      </c>
      <c r="AQ43" s="2" t="n">
        <v>3755.833333333333</v>
      </c>
      <c r="AR43" s="2" t="n">
        <v>2018.26</v>
      </c>
      <c r="AS43" s="2" t="n">
        <v>1923.82</v>
      </c>
      <c r="AT43" s="2" t="n">
        <v>114.22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45927.04000000001</v>
      </c>
      <c r="BB43" s="2" t="n">
        <v>29846.03</v>
      </c>
      <c r="BC43" s="2">
        <f>F43+L43+R43+X43+AD43+AJ43+AP43+AV43+IF(BE43="",0,BE43)</f>
        <v/>
      </c>
      <c r="BD43" s="2" t="n">
        <v>459.628862</v>
      </c>
      <c r="BE43" s="2" t="n"/>
      <c r="BF43" s="2" t="n">
        <v>42525.03703703704</v>
      </c>
      <c r="BG43" s="2" t="n">
        <v>573.92</v>
      </c>
      <c r="BH43" s="2" t="n">
        <v>134.1</v>
      </c>
      <c r="BI43" s="2" t="n">
        <v>32586.6</v>
      </c>
      <c r="BJ43" s="2" t="n">
        <v>87.34377049180328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402.921405</v>
      </c>
      <c r="BQ43" s="2" t="n">
        <v>0</v>
      </c>
      <c r="BR43" s="2" t="n">
        <v>33809.8851754918</v>
      </c>
      <c r="BS43" s="2" t="n">
        <v>938.6213934426229</v>
      </c>
      <c r="BT43" s="2" t="n">
        <v>393.4426229508197</v>
      </c>
      <c r="BU43" s="2" t="n">
        <v>6947.805557377049</v>
      </c>
      <c r="BV43" s="2" t="n">
        <v>8279.869573770491</v>
      </c>
      <c r="BW43" s="2" t="n">
        <v>42089.75474926229</v>
      </c>
      <c r="BX43" s="2" t="n">
        <v>28384.09</v>
      </c>
      <c r="BY43" s="2" t="n">
        <v>1461.94</v>
      </c>
      <c r="BZ43" s="2" t="n">
        <v>16081.01</v>
      </c>
      <c r="CA43" s="2" t="n">
        <v>29846.03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1214</v>
      </c>
      <c r="B44" t="inlineStr">
        <is>
          <t>Dworcowa 72A, 69-110 Rzepin</t>
        </is>
      </c>
      <c r="C44" t="inlineStr">
        <is>
          <t>Rzepin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7842.62</v>
      </c>
      <c r="L44" s="2" t="n">
        <v>652.8254981481481</v>
      </c>
      <c r="M44" s="2" t="n">
        <v>7261.685185185184</v>
      </c>
      <c r="N44" s="2" t="n">
        <v>2832.45</v>
      </c>
      <c r="O44" s="2" t="n">
        <v>4450.66</v>
      </c>
      <c r="P44" s="2" t="n">
        <v>559.51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7842.62</v>
      </c>
      <c r="BB44" s="2" t="n">
        <v>5010.17</v>
      </c>
      <c r="BC44" s="2">
        <f>F44+L44+R44+X44+AD44+AJ44+AP44+AV44+IF(BE44="",0,BE44)</f>
        <v/>
      </c>
      <c r="BD44" s="2" t="n">
        <v>77.15661800000001</v>
      </c>
      <c r="BE44" s="2" t="n"/>
      <c r="BF44" s="2" t="n">
        <v>7261.685185185184</v>
      </c>
      <c r="BG44" s="2" t="n">
        <v>430.45</v>
      </c>
      <c r="BH44" s="2" t="n">
        <v>0</v>
      </c>
      <c r="BI44" s="2" t="n">
        <v>32586.6</v>
      </c>
      <c r="BJ44" s="2" t="n">
        <v>87.34377049180328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67.63729499999999</v>
      </c>
      <c r="BQ44" s="2" t="n">
        <v>0</v>
      </c>
      <c r="BR44" s="2" t="n">
        <v>33197.0310654918</v>
      </c>
      <c r="BS44" s="2" t="n">
        <v>938.6213934426229</v>
      </c>
      <c r="BT44" s="2" t="n">
        <v>393.4426229508197</v>
      </c>
      <c r="BU44" s="2" t="n">
        <v>6892.291557377049</v>
      </c>
      <c r="BV44" s="2" t="n">
        <v>8224.355573770492</v>
      </c>
      <c r="BW44" s="2" t="n">
        <v>41421.38663926229</v>
      </c>
      <c r="BX44" s="2" t="n">
        <v>4450.66</v>
      </c>
      <c r="BY44" s="2" t="n">
        <v>559.51</v>
      </c>
      <c r="BZ44" s="2" t="n">
        <v>2832.45</v>
      </c>
      <c r="CA44" s="2" t="n">
        <v>5010.17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1216</v>
      </c>
      <c r="B45" t="inlineStr">
        <is>
          <t>Pszczyna</t>
        </is>
      </c>
      <c r="C45" t="inlineStr"/>
      <c r="D45" t="inlineStr"/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2022.24</v>
      </c>
      <c r="L45" s="2" t="n">
        <v>168.3327555555556</v>
      </c>
      <c r="M45" s="2" t="n">
        <v>1872.444444444444</v>
      </c>
      <c r="N45" s="2" t="n">
        <v>252.71</v>
      </c>
      <c r="O45" s="2" t="n">
        <v>1647.72</v>
      </c>
      <c r="P45" s="2" t="n">
        <v>121.81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2022.24</v>
      </c>
      <c r="BB45" s="2" t="n">
        <v>1769.53</v>
      </c>
      <c r="BC45" s="2">
        <f>F45+L45+R45+X45+AD45+AJ45+AP45+AV45+IF(BE45="",0,BE45)</f>
        <v/>
      </c>
      <c r="BD45" s="2" t="n">
        <v>27.250762</v>
      </c>
      <c r="BE45" s="2" t="n"/>
      <c r="BF45" s="2" t="n">
        <v>1872.444444444444</v>
      </c>
      <c r="BG45" s="2" t="n">
        <v>588.99</v>
      </c>
      <c r="BH45" s="2" t="n">
        <v>117.6</v>
      </c>
      <c r="BI45" s="2" t="n">
        <v>32586.6</v>
      </c>
      <c r="BJ45" s="2" t="n">
        <v>87.34377049180328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23.888655</v>
      </c>
      <c r="BQ45" s="2" t="n">
        <v>0</v>
      </c>
      <c r="BR45" s="2" t="n">
        <v>33429.4224254918</v>
      </c>
      <c r="BS45" s="2" t="n">
        <v>938.6213934426229</v>
      </c>
      <c r="BT45" s="2" t="n">
        <v>393.4426229508197</v>
      </c>
      <c r="BU45" s="2" t="n">
        <v>6947.519557377049</v>
      </c>
      <c r="BV45" s="2" t="n">
        <v>8279.583573770491</v>
      </c>
      <c r="BW45" s="2" t="n">
        <v>41709.00599926229</v>
      </c>
      <c r="BX45" s="2" t="n">
        <v>1647.72</v>
      </c>
      <c r="BY45" s="2" t="n">
        <v>121.81</v>
      </c>
      <c r="BZ45" s="2" t="n">
        <v>252.71</v>
      </c>
      <c r="CA45" s="2" t="n">
        <v>1769.53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1217</v>
      </c>
      <c r="B46" t="inlineStr">
        <is>
          <t>pl. Marii i Lecha Kaczyńskiego 2, 40-098 Katowice</t>
        </is>
      </c>
      <c r="C46" t="inlineStr">
        <is>
          <t>Katowice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23295.37</v>
      </c>
      <c r="L46" s="2" t="n">
        <v>1939.123854629629</v>
      </c>
      <c r="M46" s="2" t="n">
        <v>21569.78703703703</v>
      </c>
      <c r="N46" s="2" t="n">
        <v>6285.61</v>
      </c>
      <c r="O46" s="2" t="n">
        <v>15987.09</v>
      </c>
      <c r="P46" s="2" t="n">
        <v>1022.67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8383.48</v>
      </c>
      <c r="AP46" s="2" t="n">
        <v>613.236037037037</v>
      </c>
      <c r="AQ46" s="2" t="n">
        <v>7762.481481481481</v>
      </c>
      <c r="AR46" s="2" t="n">
        <v>1615.91</v>
      </c>
      <c r="AS46" s="2" t="n">
        <v>6469.74</v>
      </c>
      <c r="AT46" s="2" t="n">
        <v>297.83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31678.85</v>
      </c>
      <c r="BB46" s="2" t="n">
        <v>23777.33</v>
      </c>
      <c r="BC46" s="2">
        <f>F46+L46+R46+X46+AD46+AJ46+AP46+AV46+IF(BE46="",0,BE46)</f>
        <v/>
      </c>
      <c r="BD46" s="2" t="n">
        <v>366.1708819999999</v>
      </c>
      <c r="BE46" s="2" t="n"/>
      <c r="BF46" s="2" t="n">
        <v>29332.26851851851</v>
      </c>
      <c r="BG46" s="2" t="n">
        <v>775</v>
      </c>
      <c r="BH46" s="2" t="n">
        <v>540</v>
      </c>
      <c r="BI46" s="2" t="n">
        <v>32586.6</v>
      </c>
      <c r="BJ46" s="2" t="n">
        <v>87.34377049180328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320.993955</v>
      </c>
      <c r="BQ46" s="2" t="n">
        <v>0</v>
      </c>
      <c r="BR46" s="2" t="n">
        <v>34334.9377254918</v>
      </c>
      <c r="BS46" s="2" t="n">
        <v>938.6213934426229</v>
      </c>
      <c r="BT46" s="2" t="n">
        <v>393.4426229508197</v>
      </c>
      <c r="BU46" s="2" t="n">
        <v>7069.20155737705</v>
      </c>
      <c r="BV46" s="2" t="n">
        <v>8401.265573770492</v>
      </c>
      <c r="BW46" s="2" t="n">
        <v>42736.20329926229</v>
      </c>
      <c r="BX46" s="2" t="n">
        <v>22456.83</v>
      </c>
      <c r="BY46" s="2" t="n">
        <v>1320.5</v>
      </c>
      <c r="BZ46" s="2" t="n">
        <v>7901.52</v>
      </c>
      <c r="CA46" s="2" t="n">
        <v>23777.33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1219</v>
      </c>
      <c r="B47" t="inlineStr">
        <is>
          <t>Armii Krajowej 3, 75-200 Koszalin</t>
        </is>
      </c>
      <c r="C47" t="inlineStr">
        <is>
          <t>Koszalin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5854.47</v>
      </c>
      <c r="L47" s="2" t="n">
        <v>487.3304194444445</v>
      </c>
      <c r="M47" s="2" t="n">
        <v>5420.805555555556</v>
      </c>
      <c r="N47" s="2" t="n">
        <v>922.6900000000001</v>
      </c>
      <c r="O47" s="2" t="n">
        <v>4460.09</v>
      </c>
      <c r="P47" s="2" t="n">
        <v>471.69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5684.6</v>
      </c>
      <c r="AP47" s="2" t="n">
        <v>415.817962962963</v>
      </c>
      <c r="AQ47" s="2" t="n">
        <v>5263.518518518518</v>
      </c>
      <c r="AR47" s="2" t="n">
        <v>1535.23</v>
      </c>
      <c r="AS47" s="2" t="n">
        <v>3882.85</v>
      </c>
      <c r="AT47" s="2" t="n">
        <v>266.52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11539.07</v>
      </c>
      <c r="BB47" s="2" t="n">
        <v>9081.15</v>
      </c>
      <c r="BC47" s="2">
        <f>F47+L47+R47+X47+AD47+AJ47+AP47+AV47+IF(BE47="",0,BE47)</f>
        <v/>
      </c>
      <c r="BD47" s="2" t="n">
        <v>139.84971</v>
      </c>
      <c r="BE47" s="2" t="n"/>
      <c r="BF47" s="2" t="n">
        <v>10684.32407407407</v>
      </c>
      <c r="BG47" s="2" t="n">
        <v>0</v>
      </c>
      <c r="BH47" s="2" t="n">
        <v>0</v>
      </c>
      <c r="BI47" s="2" t="n">
        <v>32586.6</v>
      </c>
      <c r="BJ47" s="2" t="n">
        <v>87.34377049180328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122.595525</v>
      </c>
      <c r="BQ47" s="2" t="n">
        <v>0</v>
      </c>
      <c r="BR47" s="2" t="n">
        <v>32821.5392954918</v>
      </c>
      <c r="BS47" s="2" t="n">
        <v>938.6213934426229</v>
      </c>
      <c r="BT47" s="2" t="n">
        <v>393.4426229508197</v>
      </c>
      <c r="BU47" s="2" t="n">
        <v>6806.20155737705</v>
      </c>
      <c r="BV47" s="2" t="n">
        <v>8138.265573770492</v>
      </c>
      <c r="BW47" s="2" t="n">
        <v>40959.80486926229</v>
      </c>
      <c r="BX47" s="2" t="n">
        <v>8342.940000000001</v>
      </c>
      <c r="BY47" s="2" t="n">
        <v>738.21</v>
      </c>
      <c r="BZ47" s="2" t="n">
        <v>2457.92</v>
      </c>
      <c r="CA47" s="2" t="n">
        <v>9081.150000000001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1220</v>
      </c>
      <c r="B48" t="inlineStr">
        <is>
          <t>Kotłątaja 32, 76-200 Słupsk</t>
        </is>
      </c>
      <c r="C48" t="inlineStr">
        <is>
          <t>Słupsk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8525.960000000001</v>
      </c>
      <c r="L48" s="2" t="n">
        <v>709.7072259259261</v>
      </c>
      <c r="M48" s="2" t="n">
        <v>7894.407407407408</v>
      </c>
      <c r="N48" s="2" t="n">
        <v>3381.42</v>
      </c>
      <c r="O48" s="2" t="n">
        <v>4674.14</v>
      </c>
      <c r="P48" s="2" t="n">
        <v>470.4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10368.32</v>
      </c>
      <c r="AP48" s="2" t="n">
        <v>4144</v>
      </c>
      <c r="AQ48" s="2" t="n">
        <v>9600.296296296296</v>
      </c>
      <c r="AR48" s="2" t="n">
        <v>5780.69</v>
      </c>
      <c r="AS48" s="2" t="n">
        <v>4010.79</v>
      </c>
      <c r="AT48" s="2" t="n">
        <v>576.84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18894.28</v>
      </c>
      <c r="BB48" s="2" t="n">
        <v>9732.17</v>
      </c>
      <c r="BC48" s="2">
        <f>F48+L48+R48+X48+AD48+AJ48+AP48+AV48+IF(BE48="",0,BE48)</f>
        <v/>
      </c>
      <c r="BD48" s="2" t="n">
        <v>149.875418</v>
      </c>
      <c r="BE48" s="2" t="n"/>
      <c r="BF48" s="2" t="n">
        <v>17494.7037037037</v>
      </c>
      <c r="BG48" s="2" t="n">
        <v>0</v>
      </c>
      <c r="BH48" s="2" t="n">
        <v>0</v>
      </c>
      <c r="BI48" s="2" t="n">
        <v>32586.6</v>
      </c>
      <c r="BJ48" s="2" t="n">
        <v>87.34377049180328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131.384295</v>
      </c>
      <c r="BQ48" s="2" t="n">
        <v>0</v>
      </c>
      <c r="BR48" s="2" t="n">
        <v>32830.32806549181</v>
      </c>
      <c r="BS48" s="2" t="n">
        <v>938.6213934426229</v>
      </c>
      <c r="BT48" s="2" t="n">
        <v>393.4426229508197</v>
      </c>
      <c r="BU48" s="2" t="n">
        <v>6806.20155737705</v>
      </c>
      <c r="BV48" s="2" t="n">
        <v>8138.265573770492</v>
      </c>
      <c r="BW48" s="2" t="n">
        <v>40968.5936392623</v>
      </c>
      <c r="BX48" s="2" t="n">
        <v>8684.93</v>
      </c>
      <c r="BY48" s="2" t="n">
        <v>1047.24</v>
      </c>
      <c r="BZ48" s="2" t="n">
        <v>9162.110000000001</v>
      </c>
      <c r="CA48" s="2" t="n">
        <v>9732.17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1221</v>
      </c>
      <c r="B49" t="inlineStr">
        <is>
          <t>Dworcowa 2, 58-100 Świdnica</t>
        </is>
      </c>
      <c r="C49" t="inlineStr">
        <is>
          <t>Świdnica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36862.75</v>
      </c>
      <c r="R49" s="2" t="n">
        <v>1600</v>
      </c>
      <c r="S49" s="2" t="n">
        <v>34132.17592592593</v>
      </c>
      <c r="T49" s="2" t="n">
        <v>11624.38</v>
      </c>
      <c r="U49" s="2" t="n">
        <v>24034.23</v>
      </c>
      <c r="V49" s="2" t="n">
        <v>1204.14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36862.75</v>
      </c>
      <c r="BB49" s="2" t="n">
        <v>25238.37</v>
      </c>
      <c r="BC49" s="2">
        <f>F49+L49+R49+X49+AD49+AJ49+AP49+AV49+IF(BE49="",0,BE49)</f>
        <v/>
      </c>
      <c r="BD49" s="2" t="n">
        <v>388.670898</v>
      </c>
      <c r="BE49" s="2" t="n"/>
      <c r="BF49" s="2" t="n">
        <v>34132.17592592593</v>
      </c>
      <c r="BG49" s="2" t="n">
        <v>200</v>
      </c>
      <c r="BH49" s="2" t="n">
        <v>0</v>
      </c>
      <c r="BI49" s="2" t="n">
        <v>32586.6</v>
      </c>
      <c r="BJ49" s="2" t="n">
        <v>87.34377049180328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340.717995</v>
      </c>
      <c r="BQ49" s="2" t="n">
        <v>0</v>
      </c>
      <c r="BR49" s="2" t="n">
        <v>33239.6617654918</v>
      </c>
      <c r="BS49" s="2" t="n">
        <v>938.6213934426229</v>
      </c>
      <c r="BT49" s="2" t="n">
        <v>393.4426229508197</v>
      </c>
      <c r="BU49" s="2" t="n">
        <v>6846.20155737705</v>
      </c>
      <c r="BV49" s="2" t="n">
        <v>8178.265573770492</v>
      </c>
      <c r="BW49" s="2" t="n">
        <v>41417.92733926229</v>
      </c>
      <c r="BX49" s="2" t="n">
        <v>24034.23</v>
      </c>
      <c r="BY49" s="2" t="n">
        <v>1204.14</v>
      </c>
      <c r="BZ49" s="2" t="n">
        <v>11624.38</v>
      </c>
      <c r="CA49" s="2" t="n">
        <v>25238.37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1222</v>
      </c>
      <c r="B50" t="inlineStr">
        <is>
          <t>Dworcowa 33, 83-400 Kościerzyna</t>
        </is>
      </c>
      <c r="C50" t="inlineStr">
        <is>
          <t>Kościerzyna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3224.32</v>
      </c>
      <c r="AP50" s="2" t="n">
        <v>4050</v>
      </c>
      <c r="AQ50" s="2" t="n">
        <v>2985.481481481481</v>
      </c>
      <c r="AR50" s="2" t="n">
        <v>0</v>
      </c>
      <c r="AS50" s="2" t="n">
        <v>3000.88</v>
      </c>
      <c r="AT50" s="2" t="n">
        <v>223.44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3224.32</v>
      </c>
      <c r="BB50" s="2" t="n">
        <v>3224.32</v>
      </c>
      <c r="BC50" s="2">
        <f>F50+L50+R50+X50+AD50+AJ50+AP50+AV50+IF(BE50="",0,BE50)</f>
        <v/>
      </c>
      <c r="BD50" s="2" t="n">
        <v>49.65452800000001</v>
      </c>
      <c r="BE50" s="2" t="n"/>
      <c r="BF50" s="2" t="n">
        <v>2985.481481481481</v>
      </c>
      <c r="BG50" s="2" t="n">
        <v>0</v>
      </c>
      <c r="BH50" s="2" t="n">
        <v>0</v>
      </c>
      <c r="BI50" s="2" t="n">
        <v>32586.6</v>
      </c>
      <c r="BJ50" s="2" t="n">
        <v>87.34377049180328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43.52832</v>
      </c>
      <c r="BQ50" s="2" t="n">
        <v>0</v>
      </c>
      <c r="BR50" s="2" t="n">
        <v>32742.4720904918</v>
      </c>
      <c r="BS50" s="2" t="n">
        <v>938.6213934426229</v>
      </c>
      <c r="BT50" s="2" t="n">
        <v>393.4426229508197</v>
      </c>
      <c r="BU50" s="2" t="n">
        <v>6806.20155737705</v>
      </c>
      <c r="BV50" s="2" t="n">
        <v>8138.265573770492</v>
      </c>
      <c r="BW50" s="2" t="n">
        <v>40880.7376642623</v>
      </c>
      <c r="BX50" s="2" t="n">
        <v>3000.88</v>
      </c>
      <c r="BY50" s="2" t="n">
        <v>223.44</v>
      </c>
      <c r="BZ50" s="2" t="n">
        <v>0</v>
      </c>
      <c r="CA50" s="2" t="n">
        <v>3224.32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1223</v>
      </c>
      <c r="B51" t="inlineStr">
        <is>
          <t>Dworcowa 17, 82-200 Malbork</t>
        </is>
      </c>
      <c r="C51" t="inlineStr">
        <is>
          <t>Malbork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14792.55</v>
      </c>
      <c r="L51" s="2" t="n">
        <v>1231.342819444445</v>
      </c>
      <c r="M51" s="2" t="n">
        <v>13696.80555555556</v>
      </c>
      <c r="N51" s="2" t="n">
        <v>2664.2</v>
      </c>
      <c r="O51" s="2" t="n">
        <v>11563</v>
      </c>
      <c r="P51" s="2" t="n">
        <v>565.35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20204.94</v>
      </c>
      <c r="AP51" s="2" t="n">
        <v>1477.953944444444</v>
      </c>
      <c r="AQ51" s="2" t="n">
        <v>18708.27777777777</v>
      </c>
      <c r="AR51" s="2" t="n">
        <v>6578.97</v>
      </c>
      <c r="AS51" s="2" t="n">
        <v>12799.56</v>
      </c>
      <c r="AT51" s="2" t="n">
        <v>826.41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34997.49</v>
      </c>
      <c r="BB51" s="2" t="n">
        <v>25754.32</v>
      </c>
      <c r="BC51" s="2">
        <f>F51+L51+R51+X51+AD51+AJ51+AP51+AV51+IF(BE51="",0,BE51)</f>
        <v/>
      </c>
      <c r="BD51" s="2" t="n">
        <v>396.616528</v>
      </c>
      <c r="BE51" s="2" t="n"/>
      <c r="BF51" s="2" t="n">
        <v>32405.08333333333</v>
      </c>
      <c r="BG51" s="2" t="n">
        <v>456.34</v>
      </c>
      <c r="BH51" s="2" t="n">
        <v>117</v>
      </c>
      <c r="BI51" s="2" t="n">
        <v>32586.6</v>
      </c>
      <c r="BJ51" s="2" t="n">
        <v>87.34377049180328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347.68332</v>
      </c>
      <c r="BQ51" s="2" t="n">
        <v>0</v>
      </c>
      <c r="BR51" s="2" t="n">
        <v>33619.96709049179</v>
      </c>
      <c r="BS51" s="2" t="n">
        <v>938.6213934426229</v>
      </c>
      <c r="BT51" s="2" t="n">
        <v>393.4426229508197</v>
      </c>
      <c r="BU51" s="2" t="n">
        <v>6920.869557377049</v>
      </c>
      <c r="BV51" s="2" t="n">
        <v>8252.933573770491</v>
      </c>
      <c r="BW51" s="2" t="n">
        <v>41872.90066426228</v>
      </c>
      <c r="BX51" s="2" t="n">
        <v>24362.56</v>
      </c>
      <c r="BY51" s="2" t="n">
        <v>1391.76</v>
      </c>
      <c r="BZ51" s="2" t="n">
        <v>9243.17</v>
      </c>
      <c r="CA51" s="2" t="n">
        <v>25754.32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1224</v>
      </c>
      <c r="B52" t="inlineStr">
        <is>
          <t>Kuznica</t>
        </is>
      </c>
      <c r="C52" t="inlineStr">
        <is>
          <t>Kuźnica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2234.89</v>
      </c>
      <c r="AP52" s="2" t="n">
        <v>4052</v>
      </c>
      <c r="AQ52" s="2" t="n">
        <v>2069.342592592592</v>
      </c>
      <c r="AR52" s="2" t="n">
        <v>0</v>
      </c>
      <c r="AS52" s="2" t="n">
        <v>1974.61</v>
      </c>
      <c r="AT52" s="2" t="n">
        <v>260.28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2234.89</v>
      </c>
      <c r="BB52" s="2" t="n">
        <v>2234.89</v>
      </c>
      <c r="BC52" s="2">
        <f>F52+L52+R52+X52+AD52+AJ52+AP52+AV52+IF(BE52="",0,BE52)</f>
        <v/>
      </c>
      <c r="BD52" s="2" t="n">
        <v>34.417306</v>
      </c>
      <c r="BE52" s="2" t="n"/>
      <c r="BF52" s="2" t="n">
        <v>2069.342592592592</v>
      </c>
      <c r="BG52" s="2" t="n">
        <v>456.34</v>
      </c>
      <c r="BH52" s="2" t="n">
        <v>141</v>
      </c>
      <c r="BI52" s="2" t="n">
        <v>32586.6</v>
      </c>
      <c r="BJ52" s="2" t="n">
        <v>87.34377049180328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30.171015</v>
      </c>
      <c r="BQ52" s="2" t="n">
        <v>0</v>
      </c>
      <c r="BR52" s="2" t="n">
        <v>33326.4547854918</v>
      </c>
      <c r="BS52" s="2" t="n">
        <v>938.6213934426229</v>
      </c>
      <c r="BT52" s="2" t="n">
        <v>393.4426229508197</v>
      </c>
      <c r="BU52" s="2" t="n">
        <v>6925.669557377048</v>
      </c>
      <c r="BV52" s="2" t="n">
        <v>8257.733573770491</v>
      </c>
      <c r="BW52" s="2" t="n">
        <v>41584.18835926229</v>
      </c>
      <c r="BX52" s="2" t="n">
        <v>1974.61</v>
      </c>
      <c r="BY52" s="2" t="n">
        <v>260.28</v>
      </c>
      <c r="BZ52" s="2" t="n">
        <v>0</v>
      </c>
      <c r="CA52" s="2" t="n">
        <v>2234.89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1225</v>
      </c>
      <c r="B53" t="inlineStr">
        <is>
          <t>Plac Legionów 2, 37-700 Przemyśl</t>
        </is>
      </c>
      <c r="C53" t="inlineStr">
        <is>
          <t>Przemyśl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23339.84</v>
      </c>
      <c r="L53" s="2" t="n">
        <v>1942.82557037037</v>
      </c>
      <c r="M53" s="2" t="n">
        <v>21610.96296296296</v>
      </c>
      <c r="N53" s="2" t="n">
        <v>1525.16</v>
      </c>
      <c r="O53" s="2" t="n">
        <v>21584.98</v>
      </c>
      <c r="P53" s="2" t="n">
        <v>229.7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5762.75</v>
      </c>
      <c r="AP53" s="2" t="n">
        <v>421.5344907407408</v>
      </c>
      <c r="AQ53" s="2" t="n">
        <v>5335.87962962963</v>
      </c>
      <c r="AR53" s="2" t="n">
        <v>1255.7</v>
      </c>
      <c r="AS53" s="2" t="n">
        <v>4353.25</v>
      </c>
      <c r="AT53" s="2" t="n">
        <v>153.8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29102.59</v>
      </c>
      <c r="BB53" s="2" t="n">
        <v>26321.73</v>
      </c>
      <c r="BC53" s="2">
        <f>F53+L53+R53+X53+AD53+AJ53+AP53+AV53+IF(BE53="",0,BE53)</f>
        <v/>
      </c>
      <c r="BD53" s="2" t="n">
        <v>405.354642</v>
      </c>
      <c r="BE53" s="2" t="n"/>
      <c r="BF53" s="2" t="n">
        <v>26946.84259259259</v>
      </c>
      <c r="BG53" s="2" t="n">
        <v>456.34</v>
      </c>
      <c r="BH53" s="2" t="n">
        <v>113</v>
      </c>
      <c r="BI53" s="2" t="n">
        <v>32586.6</v>
      </c>
      <c r="BJ53" s="2" t="n">
        <v>87.34377049180328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355.343355</v>
      </c>
      <c r="BQ53" s="2" t="n">
        <v>0</v>
      </c>
      <c r="BR53" s="2" t="n">
        <v>33623.6271254918</v>
      </c>
      <c r="BS53" s="2" t="n">
        <v>938.6213934426229</v>
      </c>
      <c r="BT53" s="2" t="n">
        <v>393.4426229508197</v>
      </c>
      <c r="BU53" s="2" t="n">
        <v>6920.069557377049</v>
      </c>
      <c r="BV53" s="2" t="n">
        <v>8252.133573770492</v>
      </c>
      <c r="BW53" s="2" t="n">
        <v>41875.76069926229</v>
      </c>
      <c r="BX53" s="2" t="n">
        <v>25938.23</v>
      </c>
      <c r="BY53" s="2" t="n">
        <v>383.5</v>
      </c>
      <c r="BZ53" s="2" t="n">
        <v>2780.86</v>
      </c>
      <c r="CA53" s="2" t="n">
        <v>26321.73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1226</v>
      </c>
      <c r="B54" t="inlineStr">
        <is>
          <t>Plac Dworcowy 3, 33-100 Tarnów</t>
        </is>
      </c>
      <c r="C54" t="inlineStr">
        <is>
          <t>Tarnów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9946.610000000001</v>
      </c>
      <c r="L54" s="2" t="n">
        <v>827.9631842592594</v>
      </c>
      <c r="M54" s="2" t="n">
        <v>9209.824074074075</v>
      </c>
      <c r="N54" s="2" t="n">
        <v>1741.33</v>
      </c>
      <c r="O54" s="2" t="n">
        <v>8024.28</v>
      </c>
      <c r="P54" s="2" t="n">
        <v>181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8509.110000000001</v>
      </c>
      <c r="AP54" s="2" t="n">
        <v>622.4256388888889</v>
      </c>
      <c r="AQ54" s="2" t="n">
        <v>7878.805555555556</v>
      </c>
      <c r="AR54" s="2" t="n">
        <v>2279.65</v>
      </c>
      <c r="AS54" s="2" t="n">
        <v>5987.12</v>
      </c>
      <c r="AT54" s="2" t="n">
        <v>242.34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18455.72</v>
      </c>
      <c r="BB54" s="2" t="n">
        <v>14434.74</v>
      </c>
      <c r="BC54" s="2">
        <f>F54+L54+R54+X54+AD54+AJ54+AP54+AV54+IF(BE54="",0,BE54)</f>
        <v/>
      </c>
      <c r="BD54" s="2" t="n">
        <v>222.294996</v>
      </c>
      <c r="BE54" s="2" t="n"/>
      <c r="BF54" s="2" t="n">
        <v>17088.62962962963</v>
      </c>
      <c r="BG54" s="2" t="n">
        <v>456.34</v>
      </c>
      <c r="BH54" s="2" t="n">
        <v>142</v>
      </c>
      <c r="BI54" s="2" t="n">
        <v>32586.6</v>
      </c>
      <c r="BJ54" s="2" t="n">
        <v>87.34377049180328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194.86899</v>
      </c>
      <c r="BQ54" s="2" t="n">
        <v>0</v>
      </c>
      <c r="BR54" s="2" t="n">
        <v>33492.1527604918</v>
      </c>
      <c r="BS54" s="2" t="n">
        <v>938.6213934426229</v>
      </c>
      <c r="BT54" s="2" t="n">
        <v>393.4426229508197</v>
      </c>
      <c r="BU54" s="2" t="n">
        <v>6925.869557377049</v>
      </c>
      <c r="BV54" s="2" t="n">
        <v>8257.933573770491</v>
      </c>
      <c r="BW54" s="2" t="n">
        <v>41750.08633426229</v>
      </c>
      <c r="BX54" s="2" t="n">
        <v>14011.4</v>
      </c>
      <c r="BY54" s="2" t="n">
        <v>423.34</v>
      </c>
      <c r="BZ54" s="2" t="n">
        <v>4020.98</v>
      </c>
      <c r="CA54" s="2" t="n">
        <v>14434.74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1227</v>
      </c>
      <c r="B55" t="inlineStr">
        <is>
          <t>Bochnia</t>
        </is>
      </c>
      <c r="C55" t="inlineStr"/>
      <c r="D55" t="inlineStr"/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4037.51</v>
      </c>
      <c r="L55" s="2" t="n">
        <v>336.0853231481481</v>
      </c>
      <c r="M55" s="2" t="n">
        <v>3738.435185185185</v>
      </c>
      <c r="N55" s="2" t="n">
        <v>896.37</v>
      </c>
      <c r="O55" s="2" t="n">
        <v>3002.74</v>
      </c>
      <c r="P55" s="2" t="n">
        <v>138.4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3316.45</v>
      </c>
      <c r="X55" s="2" t="n">
        <v>350</v>
      </c>
      <c r="Y55" s="2" t="n">
        <v>3070.787037037036</v>
      </c>
      <c r="Z55" s="2" t="n">
        <v>924.89</v>
      </c>
      <c r="AA55" s="2" t="n">
        <v>2320.86</v>
      </c>
      <c r="AB55" s="2" t="n">
        <v>70.7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2809.86</v>
      </c>
      <c r="AP55" s="2" t="n">
        <v>205.5360555555555</v>
      </c>
      <c r="AQ55" s="2" t="n">
        <v>2601.722222222222</v>
      </c>
      <c r="AR55" s="2" t="n">
        <v>620.8</v>
      </c>
      <c r="AS55" s="2" t="n">
        <v>2113.06</v>
      </c>
      <c r="AT55" s="2" t="n">
        <v>76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10163.82</v>
      </c>
      <c r="BB55" s="2" t="n">
        <v>7721.76</v>
      </c>
      <c r="BC55" s="2">
        <f>F55+L55+R55+X55+AD55+AJ55+AP55+AV55+IF(BE55="",0,BE55)</f>
        <v/>
      </c>
      <c r="BD55" s="2" t="n">
        <v>114.37114</v>
      </c>
      <c r="BE55" s="2" t="n"/>
      <c r="BF55" s="2" t="n">
        <v>9410.944444444442</v>
      </c>
      <c r="BG55" s="2" t="n">
        <v>456.34</v>
      </c>
      <c r="BH55" s="2" t="n">
        <v>92.8</v>
      </c>
      <c r="BI55" s="2" t="n">
        <v>32586.6</v>
      </c>
      <c r="BJ55" s="2" t="n">
        <v>87.34377049180328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104.24376</v>
      </c>
      <c r="BQ55" s="2" t="n">
        <v>0</v>
      </c>
      <c r="BR55" s="2" t="n">
        <v>33352.3275304918</v>
      </c>
      <c r="BS55" s="2" t="n">
        <v>938.6213934426229</v>
      </c>
      <c r="BT55" s="2" t="n">
        <v>393.4426229508197</v>
      </c>
      <c r="BU55" s="2" t="n">
        <v>6916.029557377049</v>
      </c>
      <c r="BV55" s="2" t="n">
        <v>8248.093573770491</v>
      </c>
      <c r="BW55" s="2" t="n">
        <v>41600.42110426229</v>
      </c>
      <c r="BX55" s="2" t="n">
        <v>7436.66</v>
      </c>
      <c r="BY55" s="2" t="n">
        <v>285.1</v>
      </c>
      <c r="BZ55" s="2" t="n">
        <v>2442.06</v>
      </c>
      <c r="CA55" s="2" t="n">
        <v>7721.76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1228</v>
      </c>
      <c r="B56" t="inlineStr">
        <is>
          <t>Sosnowiec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4157.059999999999</v>
      </c>
      <c r="L56" s="2" t="n">
        <v>346.0367537037037</v>
      </c>
      <c r="M56" s="2" t="n">
        <v>3849.129629629629</v>
      </c>
      <c r="N56" s="2" t="n">
        <v>1192.37</v>
      </c>
      <c r="O56" s="2" t="n">
        <v>2591.45</v>
      </c>
      <c r="P56" s="2" t="n">
        <v>373.24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4157.059999999999</v>
      </c>
      <c r="BB56" s="2" t="n">
        <v>2964.69</v>
      </c>
      <c r="BC56" s="2">
        <f>F56+L56+R56+X56+AD56+AJ56+AP56+AV56+IF(BE56="",0,BE56)</f>
        <v/>
      </c>
      <c r="BD56" s="2" t="n">
        <v>45.656226</v>
      </c>
      <c r="BE56" s="2" t="n"/>
      <c r="BF56" s="2" t="n">
        <v>3849.129629629629</v>
      </c>
      <c r="BG56" s="2" t="n">
        <v>264.06</v>
      </c>
      <c r="BH56" s="2" t="n">
        <v>0</v>
      </c>
      <c r="BI56" s="2" t="n">
        <v>32586.6</v>
      </c>
      <c r="BJ56" s="2" t="n">
        <v>87.34377049180328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40.023315</v>
      </c>
      <c r="BQ56" s="2" t="n">
        <v>0</v>
      </c>
      <c r="BR56" s="2" t="n">
        <v>33003.0270854918</v>
      </c>
      <c r="BS56" s="2" t="n">
        <v>938.6213934426229</v>
      </c>
      <c r="BT56" s="2" t="n">
        <v>393.4426229508197</v>
      </c>
      <c r="BU56" s="2" t="n">
        <v>6859.013557377049</v>
      </c>
      <c r="BV56" s="2" t="n">
        <v>8191.077573770492</v>
      </c>
      <c r="BW56" s="2" t="n">
        <v>41194.10465926229</v>
      </c>
      <c r="BX56" s="2" t="n">
        <v>2591.45</v>
      </c>
      <c r="BY56" s="2" t="n">
        <v>373.24</v>
      </c>
      <c r="BZ56" s="2" t="n">
        <v>1192.37</v>
      </c>
      <c r="CA56" s="2" t="n">
        <v>2964.69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1229</v>
      </c>
      <c r="B57" t="inlineStr">
        <is>
          <t>Tychy</t>
        </is>
      </c>
      <c r="C57" t="inlineStr"/>
      <c r="D57" t="inlineStr"/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2543.29</v>
      </c>
      <c r="L57" s="2" t="n">
        <v>211.7053435185185</v>
      </c>
      <c r="M57" s="2" t="n">
        <v>2354.898148148148</v>
      </c>
      <c r="N57" s="2" t="n">
        <v>576.08</v>
      </c>
      <c r="O57" s="2" t="n">
        <v>1854.56</v>
      </c>
      <c r="P57" s="2" t="n">
        <v>112.65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2543.29</v>
      </c>
      <c r="BB57" s="2" t="n">
        <v>1967.21</v>
      </c>
      <c r="BC57" s="2">
        <f>F57+L57+R57+X57+AD57+AJ57+AP57+AV57+IF(BE57="",0,BE57)</f>
        <v/>
      </c>
      <c r="BD57" s="2" t="n">
        <v>30.295034</v>
      </c>
      <c r="BE57" s="2" t="n"/>
      <c r="BF57" s="2" t="n">
        <v>2354.898148148148</v>
      </c>
      <c r="BG57" s="2" t="n">
        <v>0</v>
      </c>
      <c r="BH57" s="2" t="n">
        <v>0</v>
      </c>
      <c r="BI57" s="2" t="n">
        <v>32586.6</v>
      </c>
      <c r="BJ57" s="2" t="n">
        <v>87.34377049180328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26.557335</v>
      </c>
      <c r="BQ57" s="2" t="n">
        <v>0</v>
      </c>
      <c r="BR57" s="2" t="n">
        <v>32725.5011054918</v>
      </c>
      <c r="BS57" s="2" t="n">
        <v>938.6213934426229</v>
      </c>
      <c r="BT57" s="2" t="n">
        <v>393.4426229508197</v>
      </c>
      <c r="BU57" s="2" t="n">
        <v>6806.20155737705</v>
      </c>
      <c r="BV57" s="2" t="n">
        <v>8138.265573770492</v>
      </c>
      <c r="BW57" s="2" t="n">
        <v>40863.76667926229</v>
      </c>
      <c r="BX57" s="2" t="n">
        <v>1854.56</v>
      </c>
      <c r="BY57" s="2" t="n">
        <v>112.65</v>
      </c>
      <c r="BZ57" s="2" t="n">
        <v>576.08</v>
      </c>
      <c r="CA57" s="2" t="n">
        <v>1967.21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1230</v>
      </c>
      <c r="B58" t="inlineStr">
        <is>
          <t>Bohaterów Getta Warszawskiego 12, 44-100 Gliwice</t>
        </is>
      </c>
      <c r="C58" t="inlineStr">
        <is>
          <t>Gliwice</t>
        </is>
      </c>
      <c r="D58" t="inlineStr">
        <is>
          <t>ST|40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15143.34</v>
      </c>
      <c r="L58" s="2" t="n">
        <v>1260.542838888889</v>
      </c>
      <c r="M58" s="2" t="n">
        <v>14021.61111111111</v>
      </c>
      <c r="N58" s="2" t="n">
        <v>3294.76</v>
      </c>
      <c r="O58" s="2" t="n">
        <v>11098.2</v>
      </c>
      <c r="P58" s="2" t="n">
        <v>750.38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15143.34</v>
      </c>
      <c r="BB58" s="2" t="n">
        <v>11848.58</v>
      </c>
      <c r="BC58" s="2">
        <f>F58+L58+R58+X58+AD58+AJ58+AP58+AV58+IF(BE58="",0,BE58)</f>
        <v/>
      </c>
      <c r="BD58" s="2" t="n">
        <v>182.468132</v>
      </c>
      <c r="BE58" s="2" t="n"/>
      <c r="BF58" s="2" t="n">
        <v>14021.61111111111</v>
      </c>
      <c r="BG58" s="2" t="n">
        <v>1184.31</v>
      </c>
      <c r="BH58" s="2" t="n">
        <v>109.6</v>
      </c>
      <c r="BI58" s="2" t="n">
        <v>32586.6</v>
      </c>
      <c r="BJ58" s="2" t="n">
        <v>87.34377049180328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159.95583</v>
      </c>
      <c r="BQ58" s="2" t="n">
        <v>0</v>
      </c>
      <c r="BR58" s="2" t="n">
        <v>34152.8096004918</v>
      </c>
      <c r="BS58" s="2" t="n">
        <v>938.6213934426229</v>
      </c>
      <c r="BT58" s="2" t="n">
        <v>393.4426229508197</v>
      </c>
      <c r="BU58" s="2" t="n">
        <v>7064.983557377051</v>
      </c>
      <c r="BV58" s="2" t="n">
        <v>8397.047573770493</v>
      </c>
      <c r="BW58" s="2" t="n">
        <v>42549.85717426229</v>
      </c>
      <c r="BX58" s="2" t="n">
        <v>11098.2</v>
      </c>
      <c r="BY58" s="2" t="n">
        <v>750.38</v>
      </c>
      <c r="BZ58" s="2" t="n">
        <v>3294.76</v>
      </c>
      <c r="CA58" s="2" t="n">
        <v>11848.58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1231</v>
      </c>
      <c r="B59" t="inlineStr">
        <is>
          <t>Rybnik</t>
        </is>
      </c>
      <c r="C59" t="inlineStr"/>
      <c r="D59" t="inlineStr"/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3715.84</v>
      </c>
      <c r="L59" s="2" t="n">
        <v>309.309274074074</v>
      </c>
      <c r="M59" s="2" t="n">
        <v>3440.592592592592</v>
      </c>
      <c r="N59" s="2" t="n">
        <v>870.12</v>
      </c>
      <c r="O59" s="2" t="n">
        <v>2673.22</v>
      </c>
      <c r="P59" s="2" t="n">
        <v>172.5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3715.84</v>
      </c>
      <c r="BB59" s="2" t="n">
        <v>2845.72</v>
      </c>
      <c r="BC59" s="2">
        <f>F59+L59+R59+X59+AD59+AJ59+AP59+AV59+IF(BE59="",0,BE59)</f>
        <v/>
      </c>
      <c r="BD59" s="2" t="n">
        <v>43.824088</v>
      </c>
      <c r="BE59" s="2" t="n"/>
      <c r="BF59" s="2" t="n">
        <v>3440.592592592592</v>
      </c>
      <c r="BG59" s="2" t="n">
        <v>592.22</v>
      </c>
      <c r="BH59" s="2" t="n">
        <v>201</v>
      </c>
      <c r="BI59" s="2" t="n">
        <v>32586.6</v>
      </c>
      <c r="BJ59" s="2" t="n">
        <v>87.34377049180328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38.41722</v>
      </c>
      <c r="BQ59" s="2" t="n">
        <v>0</v>
      </c>
      <c r="BR59" s="2" t="n">
        <v>33530.58099049181</v>
      </c>
      <c r="BS59" s="2" t="n">
        <v>938.6213934426229</v>
      </c>
      <c r="BT59" s="2" t="n">
        <v>393.4426229508197</v>
      </c>
      <c r="BU59" s="2" t="n">
        <v>6964.84555737705</v>
      </c>
      <c r="BV59" s="2" t="n">
        <v>8296.909573770492</v>
      </c>
      <c r="BW59" s="2" t="n">
        <v>41827.4905642623</v>
      </c>
      <c r="BX59" s="2" t="n">
        <v>2673.22</v>
      </c>
      <c r="BY59" s="2" t="n">
        <v>172.5</v>
      </c>
      <c r="BZ59" s="2" t="n">
        <v>870.12</v>
      </c>
      <c r="CA59" s="2" t="n">
        <v>2845.72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1232</v>
      </c>
      <c r="B60" t="inlineStr">
        <is>
          <t>Bielsko Biala</t>
        </is>
      </c>
      <c r="C60" t="inlineStr">
        <is>
          <t>Oława Zachodnia</t>
        </is>
      </c>
      <c r="D60" t="inlineStr">
        <is>
          <t>ST|40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5222.1</v>
      </c>
      <c r="L60" s="2" t="n">
        <v>434.6914722222222</v>
      </c>
      <c r="M60" s="2" t="n">
        <v>4835.277777777777</v>
      </c>
      <c r="N60" s="2" t="n">
        <v>2047.9</v>
      </c>
      <c r="O60" s="2" t="n">
        <v>2807.6</v>
      </c>
      <c r="P60" s="2" t="n">
        <v>366.6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5222.1</v>
      </c>
      <c r="BB60" s="2" t="n">
        <v>3174.2</v>
      </c>
      <c r="BC60" s="2">
        <f>F60+L60+R60+X60+AD60+AJ60+AP60+AV60+IF(BE60="",0,BE60)</f>
        <v/>
      </c>
      <c r="BD60" s="2" t="n">
        <v>48.88268</v>
      </c>
      <c r="BE60" s="2" t="n"/>
      <c r="BF60" s="2" t="n">
        <v>4835.277777777777</v>
      </c>
      <c r="BG60" s="2" t="n">
        <v>596.39</v>
      </c>
      <c r="BH60" s="2" t="n">
        <v>28</v>
      </c>
      <c r="BI60" s="2" t="n">
        <v>32586.6</v>
      </c>
      <c r="BJ60" s="2" t="n">
        <v>87.34377049180328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42.85169999999999</v>
      </c>
      <c r="BQ60" s="2" t="n">
        <v>0</v>
      </c>
      <c r="BR60" s="2" t="n">
        <v>33366.1854704918</v>
      </c>
      <c r="BS60" s="2" t="n">
        <v>938.6213934426229</v>
      </c>
      <c r="BT60" s="2" t="n">
        <v>393.4426229508197</v>
      </c>
      <c r="BU60" s="2" t="n">
        <v>6931.079557377049</v>
      </c>
      <c r="BV60" s="2" t="n">
        <v>8263.143573770492</v>
      </c>
      <c r="BW60" s="2" t="n">
        <v>41629.3290442623</v>
      </c>
      <c r="BX60" s="2" t="n">
        <v>2807.6</v>
      </c>
      <c r="BY60" s="2" t="n">
        <v>366.6</v>
      </c>
      <c r="BZ60" s="2" t="n">
        <v>2047.9</v>
      </c>
      <c r="CA60" s="2" t="n">
        <v>3174.2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1233</v>
      </c>
      <c r="B61" t="inlineStr">
        <is>
          <t>Lubliniec</t>
        </is>
      </c>
      <c r="C61" t="inlineStr"/>
      <c r="D61" t="inlineStr"/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5739.98</v>
      </c>
      <c r="L61" s="2" t="n">
        <v>477.800187037037</v>
      </c>
      <c r="M61" s="2" t="n">
        <v>5314.796296296296</v>
      </c>
      <c r="N61" s="2" t="n">
        <v>2396.87</v>
      </c>
      <c r="O61" s="2" t="n">
        <v>3175.95</v>
      </c>
      <c r="P61" s="2" t="n">
        <v>167.16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5739.98</v>
      </c>
      <c r="BB61" s="2" t="n">
        <v>3343.11</v>
      </c>
      <c r="BC61" s="2">
        <f>F61+L61+R61+X61+AD61+AJ61+AP61+AV61+IF(BE61="",0,BE61)</f>
        <v/>
      </c>
      <c r="BD61" s="2" t="n">
        <v>51.483894</v>
      </c>
      <c r="BE61" s="2" t="n"/>
      <c r="BF61" s="2" t="n">
        <v>5314.796296296296</v>
      </c>
      <c r="BG61" s="2" t="n">
        <v>447.64</v>
      </c>
      <c r="BH61" s="2" t="n">
        <v>127</v>
      </c>
      <c r="BI61" s="2" t="n">
        <v>32586.6</v>
      </c>
      <c r="BJ61" s="2" t="n">
        <v>87.34377049180328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45.13198499999999</v>
      </c>
      <c r="BQ61" s="2" t="n">
        <v>0</v>
      </c>
      <c r="BR61" s="2" t="n">
        <v>33318.7157554918</v>
      </c>
      <c r="BS61" s="2" t="n">
        <v>938.6213934426229</v>
      </c>
      <c r="BT61" s="2" t="n">
        <v>393.4426229508197</v>
      </c>
      <c r="BU61" s="2" t="n">
        <v>6921.129557377049</v>
      </c>
      <c r="BV61" s="2" t="n">
        <v>8253.193573770492</v>
      </c>
      <c r="BW61" s="2" t="n">
        <v>41571.90932926229</v>
      </c>
      <c r="BX61" s="2" t="n">
        <v>3175.95</v>
      </c>
      <c r="BY61" s="2" t="n">
        <v>167.16</v>
      </c>
      <c r="BZ61" s="2" t="n">
        <v>2396.87</v>
      </c>
      <c r="CA61" s="2" t="n">
        <v>3343.11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1234</v>
      </c>
      <c r="B62" t="inlineStr">
        <is>
          <t>Kolejowa 88, 68-100 Żagań</t>
        </is>
      </c>
      <c r="C62" t="inlineStr">
        <is>
          <t>Żagań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1043.63</v>
      </c>
      <c r="L62" s="2" t="n">
        <v>86.87253425925927</v>
      </c>
      <c r="M62" s="2" t="n">
        <v>966.3240740740741</v>
      </c>
      <c r="N62" s="2" t="n">
        <v>276.27</v>
      </c>
      <c r="O62" s="2" t="n">
        <v>759.11</v>
      </c>
      <c r="P62" s="2" t="n">
        <v>8.25</v>
      </c>
      <c r="Q62" s="2" t="n">
        <v>4638.39</v>
      </c>
      <c r="R62" s="2" t="n">
        <v>1600</v>
      </c>
      <c r="S62" s="2" t="n">
        <v>4294.805555555556</v>
      </c>
      <c r="T62" s="2" t="n">
        <v>1090.85</v>
      </c>
      <c r="U62" s="2" t="n">
        <v>3464.53</v>
      </c>
      <c r="V62" s="2" t="n">
        <v>83.01000000000001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4757.66</v>
      </c>
      <c r="AP62" s="2" t="n">
        <v>348.0140185185185</v>
      </c>
      <c r="AQ62" s="2" t="n">
        <v>4405.24074074074</v>
      </c>
      <c r="AR62" s="2" t="n">
        <v>1680.78</v>
      </c>
      <c r="AS62" s="2" t="n">
        <v>2641.16</v>
      </c>
      <c r="AT62" s="2" t="n">
        <v>435.72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10439.68</v>
      </c>
      <c r="BB62" s="2" t="n">
        <v>7391.780000000001</v>
      </c>
      <c r="BC62" s="2">
        <f>F62+L62+R62+X62+AD62+AJ62+AP62+AV62+IF(BE62="",0,BE62)</f>
        <v/>
      </c>
      <c r="BD62" s="2" t="n">
        <v>113.833412</v>
      </c>
      <c r="BE62" s="2" t="n"/>
      <c r="BF62" s="2" t="n">
        <v>9666.370370370369</v>
      </c>
      <c r="BG62" s="2" t="n">
        <v>594.14</v>
      </c>
      <c r="BH62" s="2" t="n">
        <v>214</v>
      </c>
      <c r="BI62" s="2" t="n">
        <v>32586.6</v>
      </c>
      <c r="BJ62" s="2" t="n">
        <v>87.34377049180328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99.78903000000001</v>
      </c>
      <c r="BQ62" s="2" t="n">
        <v>0</v>
      </c>
      <c r="BR62" s="2" t="n">
        <v>33606.8728004918</v>
      </c>
      <c r="BS62" s="2" t="n">
        <v>938.6213934426229</v>
      </c>
      <c r="BT62" s="2" t="n">
        <v>393.4426229508197</v>
      </c>
      <c r="BU62" s="2" t="n">
        <v>6967.829557377049</v>
      </c>
      <c r="BV62" s="2" t="n">
        <v>8299.893573770492</v>
      </c>
      <c r="BW62" s="2" t="n">
        <v>41906.7663742623</v>
      </c>
      <c r="BX62" s="2" t="n">
        <v>6864.8</v>
      </c>
      <c r="BY62" s="2" t="n">
        <v>526.98</v>
      </c>
      <c r="BZ62" s="2" t="n">
        <v>3047.9</v>
      </c>
      <c r="CA62" s="2" t="n">
        <v>7391.780000000001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1235</v>
      </c>
      <c r="B63" t="inlineStr">
        <is>
          <t>Dworcowa 2, 61-801 Poznań</t>
        </is>
      </c>
      <c r="C63" t="inlineStr">
        <is>
          <t>Poznań Główny, Dworzec Zachodni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13827.76</v>
      </c>
      <c r="L63" s="2" t="n">
        <v>1151.032985185185</v>
      </c>
      <c r="M63" s="2" t="n">
        <v>12803.48148148148</v>
      </c>
      <c r="N63" s="2" t="n">
        <v>2702.03</v>
      </c>
      <c r="O63" s="2" t="n">
        <v>10727.33</v>
      </c>
      <c r="P63" s="2" t="n">
        <v>398.4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20414.2</v>
      </c>
      <c r="AD63" s="2" t="n">
        <v>1304.240555555556</v>
      </c>
      <c r="AE63" s="2" t="n">
        <v>18902.03703703704</v>
      </c>
      <c r="AF63" s="2" t="n">
        <v>3784.98</v>
      </c>
      <c r="AG63" s="2" t="n">
        <v>15400.24</v>
      </c>
      <c r="AH63" s="2" t="n">
        <v>1228.98</v>
      </c>
      <c r="AI63" s="2" t="n">
        <v>38.42</v>
      </c>
      <c r="AJ63" s="2" t="n">
        <v>2.668055555555556</v>
      </c>
      <c r="AK63" s="2" t="n">
        <v>35.57407407407408</v>
      </c>
      <c r="AL63" s="2" t="n">
        <v>0</v>
      </c>
      <c r="AM63" s="2" t="n">
        <v>38.42</v>
      </c>
      <c r="AN63" s="2" t="n">
        <v>0</v>
      </c>
      <c r="AO63" s="2" t="n">
        <v>9534.91</v>
      </c>
      <c r="AP63" s="2" t="n">
        <v>697.4610092592593</v>
      </c>
      <c r="AQ63" s="2" t="n">
        <v>8828.62037037037</v>
      </c>
      <c r="AR63" s="2" t="n">
        <v>1702.26</v>
      </c>
      <c r="AS63" s="2" t="n">
        <v>7229.83</v>
      </c>
      <c r="AT63" s="2" t="n">
        <v>602.8200000000001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43815.28999999999</v>
      </c>
      <c r="BB63" s="2" t="n">
        <v>35626.02</v>
      </c>
      <c r="BC63" s="2">
        <f>F63+L63+R63+X63+AD63+AJ63+AP63+AV63+IF(BE63="",0,BE63)</f>
        <v/>
      </c>
      <c r="BD63" s="2" t="n">
        <v>548.640708</v>
      </c>
      <c r="BE63" s="2" t="n"/>
      <c r="BF63" s="2" t="n">
        <v>40569.71296296296</v>
      </c>
      <c r="BG63" s="2" t="n">
        <v>458.58</v>
      </c>
      <c r="BH63" s="2" t="n">
        <v>0</v>
      </c>
      <c r="BI63" s="2" t="n">
        <v>32586.6</v>
      </c>
      <c r="BJ63" s="2" t="n">
        <v>87.34377049180328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480.95127</v>
      </c>
      <c r="BQ63" s="2" t="n">
        <v>0</v>
      </c>
      <c r="BR63" s="2" t="n">
        <v>33638.4750404918</v>
      </c>
      <c r="BS63" s="2" t="n">
        <v>938.6213934426229</v>
      </c>
      <c r="BT63" s="2" t="n">
        <v>393.4426229508197</v>
      </c>
      <c r="BU63" s="2" t="n">
        <v>6897.91755737705</v>
      </c>
      <c r="BV63" s="2" t="n">
        <v>8229.981573770492</v>
      </c>
      <c r="BW63" s="2" t="n">
        <v>41868.45661426229</v>
      </c>
      <c r="BX63" s="2" t="n">
        <v>33395.82</v>
      </c>
      <c r="BY63" s="2" t="n">
        <v>2230.2</v>
      </c>
      <c r="BZ63" s="2" t="n">
        <v>8189.27</v>
      </c>
      <c r="CA63" s="2" t="n">
        <v>35626.02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1236</v>
      </c>
      <c r="B64" t="inlineStr">
        <is>
          <t>Pelplin</t>
        </is>
      </c>
      <c r="C64" t="inlineStr">
        <is>
          <t>Pelplin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3236.55</v>
      </c>
      <c r="AP64" s="2" t="n">
        <v>3900</v>
      </c>
      <c r="AQ64" s="2" t="n">
        <v>2996.805555555556</v>
      </c>
      <c r="AR64" s="2" t="n">
        <v>0</v>
      </c>
      <c r="AS64" s="2" t="n">
        <v>2978.38</v>
      </c>
      <c r="AT64" s="2" t="n">
        <v>258.17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3236.55</v>
      </c>
      <c r="BB64" s="2" t="n">
        <v>3236.55</v>
      </c>
      <c r="BC64" s="2">
        <f>F64+L64+R64+X64+AD64+AJ64+AP64+AV64+IF(BE64="",0,BE64)</f>
        <v/>
      </c>
      <c r="BD64" s="2" t="n">
        <v>49.84287</v>
      </c>
      <c r="BE64" s="2" t="n"/>
      <c r="BF64" s="2" t="n">
        <v>2996.805555555556</v>
      </c>
      <c r="BG64" s="2" t="n">
        <v>458.58</v>
      </c>
      <c r="BH64" s="2" t="n">
        <v>0</v>
      </c>
      <c r="BI64" s="2" t="n">
        <v>32586.6</v>
      </c>
      <c r="BJ64" s="2" t="n">
        <v>87.34377049180328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43.693425</v>
      </c>
      <c r="BQ64" s="2" t="n">
        <v>0</v>
      </c>
      <c r="BR64" s="2" t="n">
        <v>33201.2171954918</v>
      </c>
      <c r="BS64" s="2" t="n">
        <v>938.6213934426229</v>
      </c>
      <c r="BT64" s="2" t="n">
        <v>393.4426229508197</v>
      </c>
      <c r="BU64" s="2" t="n">
        <v>6897.91755737705</v>
      </c>
      <c r="BV64" s="2" t="n">
        <v>8229.981573770492</v>
      </c>
      <c r="BW64" s="2" t="n">
        <v>41431.19876926229</v>
      </c>
      <c r="BX64" s="2" t="n">
        <v>2978.38</v>
      </c>
      <c r="BY64" s="2" t="n">
        <v>258.17</v>
      </c>
      <c r="BZ64" s="2" t="n">
        <v>0</v>
      </c>
      <c r="CA64" s="2" t="n">
        <v>3236.55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1237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12611.26</v>
      </c>
      <c r="L65" s="2" t="n">
        <v>1049.770624074074</v>
      </c>
      <c r="M65" s="2" t="n">
        <v>11677.09259259259</v>
      </c>
      <c r="N65" s="2" t="n">
        <v>3101.03</v>
      </c>
      <c r="O65" s="2" t="n">
        <v>9273.52</v>
      </c>
      <c r="P65" s="2" t="n">
        <v>236.71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20154.37</v>
      </c>
      <c r="AD65" s="2" t="n">
        <v>1287.640305555555</v>
      </c>
      <c r="AE65" s="2" t="n">
        <v>18661.4537037037</v>
      </c>
      <c r="AF65" s="2" t="n">
        <v>4345.86</v>
      </c>
      <c r="AG65" s="2" t="n">
        <v>15113.38</v>
      </c>
      <c r="AH65" s="2" t="n">
        <v>695.13</v>
      </c>
      <c r="AI65" s="2" t="n">
        <v>39.2</v>
      </c>
      <c r="AJ65" s="2" t="n">
        <v>2.722222222222222</v>
      </c>
      <c r="AK65" s="2" t="n">
        <v>36.2962962962963</v>
      </c>
      <c r="AL65" s="2" t="n">
        <v>0</v>
      </c>
      <c r="AM65" s="2" t="n">
        <v>39.2</v>
      </c>
      <c r="AN65" s="2" t="n">
        <v>0</v>
      </c>
      <c r="AO65" s="2" t="n">
        <v>7691.17</v>
      </c>
      <c r="AP65" s="2" t="n">
        <v>562.5948425925926</v>
      </c>
      <c r="AQ65" s="2" t="n">
        <v>7121.453703703703</v>
      </c>
      <c r="AR65" s="2" t="n">
        <v>1770.14</v>
      </c>
      <c r="AS65" s="2" t="n">
        <v>5724.04</v>
      </c>
      <c r="AT65" s="2" t="n">
        <v>196.99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40495.99999999999</v>
      </c>
      <c r="BB65" s="2" t="n">
        <v>31278.97</v>
      </c>
      <c r="BC65" s="2">
        <f>F65+L65+R65+X65+AD65+AJ65+AP65+AV65+IF(BE65="",0,BE65)</f>
        <v/>
      </c>
      <c r="BD65" s="2" t="n">
        <v>481.696138</v>
      </c>
      <c r="BE65" s="2" t="n"/>
      <c r="BF65" s="2" t="n">
        <v>37496.29629629629</v>
      </c>
      <c r="BG65" s="2" t="n">
        <v>458.58</v>
      </c>
      <c r="BH65" s="2" t="n">
        <v>0</v>
      </c>
      <c r="BI65" s="2" t="n">
        <v>32586.6</v>
      </c>
      <c r="BJ65" s="2" t="n">
        <v>87.34377049180328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422.266095</v>
      </c>
      <c r="BQ65" s="2" t="n">
        <v>0</v>
      </c>
      <c r="BR65" s="2" t="n">
        <v>33579.7898654918</v>
      </c>
      <c r="BS65" s="2" t="n">
        <v>938.6213934426229</v>
      </c>
      <c r="BT65" s="2" t="n">
        <v>393.4426229508197</v>
      </c>
      <c r="BU65" s="2" t="n">
        <v>6897.91755737705</v>
      </c>
      <c r="BV65" s="2" t="n">
        <v>8229.981573770492</v>
      </c>
      <c r="BW65" s="2" t="n">
        <v>41809.77143926229</v>
      </c>
      <c r="BX65" s="2" t="n">
        <v>30150.14</v>
      </c>
      <c r="BY65" s="2" t="n">
        <v>1128.83</v>
      </c>
      <c r="BZ65" s="2" t="n">
        <v>9217.029999999999</v>
      </c>
      <c r="CA65" s="2" t="n">
        <v>31278.97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1238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13854.76</v>
      </c>
      <c r="L66" s="2" t="n">
        <v>1153.280485185185</v>
      </c>
      <c r="M66" s="2" t="n">
        <v>12828.48148148148</v>
      </c>
      <c r="N66" s="2" t="n">
        <v>2181.86</v>
      </c>
      <c r="O66" s="2" t="n">
        <v>11200.4</v>
      </c>
      <c r="P66" s="2" t="n">
        <v>472.5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19543.22</v>
      </c>
      <c r="AD66" s="2" t="n">
        <v>1248.594611111111</v>
      </c>
      <c r="AE66" s="2" t="n">
        <v>18095.57407407407</v>
      </c>
      <c r="AF66" s="2" t="n">
        <v>3731.35</v>
      </c>
      <c r="AG66" s="2" t="n">
        <v>15076.18</v>
      </c>
      <c r="AH66" s="2" t="n">
        <v>735.6900000000001</v>
      </c>
      <c r="AI66" s="2" t="n">
        <v>26.3</v>
      </c>
      <c r="AJ66" s="2" t="n">
        <v>1.826388888888889</v>
      </c>
      <c r="AK66" s="2" t="n">
        <v>24.35185185185185</v>
      </c>
      <c r="AL66" s="2" t="n">
        <v>0</v>
      </c>
      <c r="AM66" s="2" t="n">
        <v>26.3</v>
      </c>
      <c r="AN66" s="2" t="n">
        <v>0</v>
      </c>
      <c r="AO66" s="2" t="n">
        <v>6752.5</v>
      </c>
      <c r="AP66" s="2" t="n">
        <v>493.9328703703704</v>
      </c>
      <c r="AQ66" s="2" t="n">
        <v>6252.314814814815</v>
      </c>
      <c r="AR66" s="2" t="n">
        <v>1439.99</v>
      </c>
      <c r="AS66" s="2" t="n">
        <v>5038</v>
      </c>
      <c r="AT66" s="2" t="n">
        <v>274.51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40176.78</v>
      </c>
      <c r="BB66" s="2" t="n">
        <v>32823.58</v>
      </c>
      <c r="BC66" s="2">
        <f>F66+L66+R66+X66+AD66+AJ66+AP66+AV66+IF(BE66="",0,BE66)</f>
        <v/>
      </c>
      <c r="BD66" s="2" t="n">
        <v>505.483132</v>
      </c>
      <c r="BE66" s="2" t="n"/>
      <c r="BF66" s="2" t="n">
        <v>37200.72222222221</v>
      </c>
      <c r="BG66" s="2" t="n">
        <v>458.58</v>
      </c>
      <c r="BH66" s="2" t="n">
        <v>0</v>
      </c>
      <c r="BI66" s="2" t="n">
        <v>32586.6</v>
      </c>
      <c r="BJ66" s="2" t="n">
        <v>87.34377049180328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443.11833</v>
      </c>
      <c r="BQ66" s="2" t="n">
        <v>0</v>
      </c>
      <c r="BR66" s="2" t="n">
        <v>33600.6421004918</v>
      </c>
      <c r="BS66" s="2" t="n">
        <v>938.6213934426229</v>
      </c>
      <c r="BT66" s="2" t="n">
        <v>393.4426229508197</v>
      </c>
      <c r="BU66" s="2" t="n">
        <v>6897.91755737705</v>
      </c>
      <c r="BV66" s="2" t="n">
        <v>8229.981573770492</v>
      </c>
      <c r="BW66" s="2" t="n">
        <v>41830.62367426229</v>
      </c>
      <c r="BX66" s="2" t="n">
        <v>31340.88</v>
      </c>
      <c r="BY66" s="2" t="n">
        <v>1482.7</v>
      </c>
      <c r="BZ66" s="2" t="n">
        <v>7353.2</v>
      </c>
      <c r="CA66" s="2" t="n">
        <v>32823.58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1239</v>
      </c>
      <c r="B67" t="inlineStr">
        <is>
          <t>Dworcowa 2, 61-801 Poznań</t>
        </is>
      </c>
      <c r="C67" t="inlineStr">
        <is>
          <t>Poznań Główny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26981.75</v>
      </c>
      <c r="L67" s="2" t="n">
        <v>2245.980856481482</v>
      </c>
      <c r="M67" s="2" t="n">
        <v>24983.10185185185</v>
      </c>
      <c r="N67" s="2" t="n">
        <v>5444.88</v>
      </c>
      <c r="O67" s="2" t="n">
        <v>21536.87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51748.07</v>
      </c>
      <c r="AD67" s="2" t="n">
        <v>3306.126694444445</v>
      </c>
      <c r="AE67" s="2" t="n">
        <v>47914.87962962963</v>
      </c>
      <c r="AF67" s="2" t="n">
        <v>10506.46</v>
      </c>
      <c r="AG67" s="2" t="n">
        <v>41241.61</v>
      </c>
      <c r="AH67" s="2" t="n">
        <v>0</v>
      </c>
      <c r="AI67" s="2" t="n">
        <v>170.86</v>
      </c>
      <c r="AJ67" s="2" t="n">
        <v>11.86527777777778</v>
      </c>
      <c r="AK67" s="2" t="n">
        <v>158.2037037037037</v>
      </c>
      <c r="AL67" s="2" t="n">
        <v>52.6</v>
      </c>
      <c r="AM67" s="2" t="n">
        <v>118.26</v>
      </c>
      <c r="AN67" s="2" t="n">
        <v>0</v>
      </c>
      <c r="AO67" s="2" t="n">
        <v>14908.61</v>
      </c>
      <c r="AP67" s="2" t="n">
        <v>1090.537212962963</v>
      </c>
      <c r="AQ67" s="2" t="n">
        <v>13804.26851851852</v>
      </c>
      <c r="AR67" s="2" t="n">
        <v>3208.72</v>
      </c>
      <c r="AS67" s="2" t="n">
        <v>11699.89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93809.29000000001</v>
      </c>
      <c r="BB67" s="2" t="n">
        <v>74596.63</v>
      </c>
      <c r="BC67" s="2">
        <f>F67+L67+R67+X67+AD67+AJ67+AP67+AV67+IF(BE67="",0,BE67)</f>
        <v/>
      </c>
      <c r="BD67" s="2" t="n">
        <v>1148.788102</v>
      </c>
      <c r="BE67" s="2" t="n"/>
      <c r="BF67" s="2" t="n">
        <v>86860.45370370369</v>
      </c>
      <c r="BG67" s="2" t="n">
        <v>458.58</v>
      </c>
      <c r="BH67" s="2" t="n">
        <v>0</v>
      </c>
      <c r="BI67" s="2" t="n">
        <v>32586.6</v>
      </c>
      <c r="BJ67" s="2" t="n">
        <v>87.34377049180328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1007.054505</v>
      </c>
      <c r="BQ67" s="2" t="n">
        <v>0</v>
      </c>
      <c r="BR67" s="2" t="n">
        <v>34164.5782754918</v>
      </c>
      <c r="BS67" s="2" t="n">
        <v>938.6213934426229</v>
      </c>
      <c r="BT67" s="2" t="n">
        <v>393.4426229508197</v>
      </c>
      <c r="BU67" s="2" t="n">
        <v>6897.91755737705</v>
      </c>
      <c r="BV67" s="2" t="n">
        <v>8229.981573770492</v>
      </c>
      <c r="BW67" s="2" t="n">
        <v>42394.5598492623</v>
      </c>
      <c r="BX67" s="2" t="n">
        <v>74596.63</v>
      </c>
      <c r="BY67" s="2" t="n">
        <v>0</v>
      </c>
      <c r="BZ67" s="2" t="n">
        <v>19212.66</v>
      </c>
      <c r="CA67" s="2" t="n">
        <v>74596.63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1240</v>
      </c>
      <c r="B68" t="inlineStr">
        <is>
          <t>Dworcowa 2, 61-801 Poznań</t>
        </is>
      </c>
      <c r="C68" t="inlineStr">
        <is>
          <t>Poznań Główny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29965.96</v>
      </c>
      <c r="L68" s="2" t="n">
        <v>2494.388707407407</v>
      </c>
      <c r="M68" s="2" t="n">
        <v>27746.25925925926</v>
      </c>
      <c r="N68" s="2" t="n">
        <v>4420.2</v>
      </c>
      <c r="O68" s="2" t="n">
        <v>24542.34</v>
      </c>
      <c r="P68" s="2" t="n">
        <v>1003.42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58533.02</v>
      </c>
      <c r="AD68" s="2" t="n">
        <v>3739.609611111111</v>
      </c>
      <c r="AE68" s="2" t="n">
        <v>54197.24074074074</v>
      </c>
      <c r="AF68" s="2" t="n">
        <v>11209.4</v>
      </c>
      <c r="AG68" s="2" t="n">
        <v>45382.52</v>
      </c>
      <c r="AH68" s="2" t="n">
        <v>1941.1</v>
      </c>
      <c r="AI68" s="2" t="n">
        <v>278.59</v>
      </c>
      <c r="AJ68" s="2" t="n">
        <v>19.34652777777777</v>
      </c>
      <c r="AK68" s="2" t="n">
        <v>257.9537037037036</v>
      </c>
      <c r="AL68" s="2" t="n">
        <v>16.5</v>
      </c>
      <c r="AM68" s="2" t="n">
        <v>262.09</v>
      </c>
      <c r="AN68" s="2" t="n">
        <v>0</v>
      </c>
      <c r="AO68" s="2" t="n">
        <v>18953.76</v>
      </c>
      <c r="AP68" s="2" t="n">
        <v>1386.432444444444</v>
      </c>
      <c r="AQ68" s="2" t="n">
        <v>17549.77777777777</v>
      </c>
      <c r="AR68" s="2" t="n">
        <v>3622.04</v>
      </c>
      <c r="AS68" s="2" t="n">
        <v>14744.12</v>
      </c>
      <c r="AT68" s="2" t="n">
        <v>587.6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107731.33</v>
      </c>
      <c r="BB68" s="2" t="n">
        <v>88463.18999999999</v>
      </c>
      <c r="BC68" s="2">
        <f>F68+L68+R68+X68+AD68+AJ68+AP68+AV68+IF(BE68="",0,BE68)</f>
        <v/>
      </c>
      <c r="BD68" s="2" t="n">
        <v>1362.333126</v>
      </c>
      <c r="BE68" s="2" t="n"/>
      <c r="BF68" s="2" t="n">
        <v>99751.23148148149</v>
      </c>
      <c r="BG68" s="2" t="n">
        <v>560.321</v>
      </c>
      <c r="BH68" s="2" t="n">
        <v>0</v>
      </c>
      <c r="BI68" s="2" t="n">
        <v>32586.6</v>
      </c>
      <c r="BJ68" s="2" t="n">
        <v>87.34377049180328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1194.253065</v>
      </c>
      <c r="BQ68" s="2" t="n">
        <v>0</v>
      </c>
      <c r="BR68" s="2" t="n">
        <v>34453.5178354918</v>
      </c>
      <c r="BS68" s="2" t="n">
        <v>938.6213934426229</v>
      </c>
      <c r="BT68" s="2" t="n">
        <v>393.4426229508197</v>
      </c>
      <c r="BU68" s="2" t="n">
        <v>6918.26575737705</v>
      </c>
      <c r="BV68" s="2" t="n">
        <v>8250.329773770492</v>
      </c>
      <c r="BW68" s="2" t="n">
        <v>42703.8476092623</v>
      </c>
      <c r="BX68" s="2" t="n">
        <v>84931.06999999999</v>
      </c>
      <c r="BY68" s="2" t="n">
        <v>3532.12</v>
      </c>
      <c r="BZ68" s="2" t="n">
        <v>19268.14</v>
      </c>
      <c r="CA68" s="2" t="n">
        <v>88463.18999999999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1241</v>
      </c>
      <c r="B69" t="inlineStr">
        <is>
          <t>Kolejowa 1, 62-510 Konin</t>
        </is>
      </c>
      <c r="C69" t="inlineStr">
        <is>
          <t>Konin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4666.39</v>
      </c>
      <c r="L69" s="2" t="n">
        <v>388.4337601851852</v>
      </c>
      <c r="M69" s="2" t="n">
        <v>4320.731481481482</v>
      </c>
      <c r="N69" s="2" t="n">
        <v>1242.21</v>
      </c>
      <c r="O69" s="2" t="n">
        <v>3197.72</v>
      </c>
      <c r="P69" s="2" t="n">
        <v>226.46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9158.23</v>
      </c>
      <c r="AD69" s="2" t="n">
        <v>585.1091388888889</v>
      </c>
      <c r="AE69" s="2" t="n">
        <v>8479.842592592591</v>
      </c>
      <c r="AF69" s="2" t="n">
        <v>1660.37</v>
      </c>
      <c r="AG69" s="2" t="n">
        <v>6970.87</v>
      </c>
      <c r="AH69" s="2" t="n">
        <v>526.99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68.63</v>
      </c>
      <c r="AP69" s="2" t="n">
        <v>5.020157407407407</v>
      </c>
      <c r="AQ69" s="2" t="n">
        <v>63.54629629629629</v>
      </c>
      <c r="AR69" s="2" t="n">
        <v>0</v>
      </c>
      <c r="AS69" s="2" t="n">
        <v>68.63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13893.25</v>
      </c>
      <c r="BB69" s="2" t="n">
        <v>10990.67</v>
      </c>
      <c r="BC69" s="2">
        <f>F69+L69+R69+X69+AD69+AJ69+AP69+AV69+IF(BE69="",0,BE69)</f>
        <v/>
      </c>
      <c r="BD69" s="2" t="n">
        <v>169.256318</v>
      </c>
      <c r="BE69" s="2" t="n"/>
      <c r="BF69" s="2" t="n">
        <v>12864.12037037037</v>
      </c>
      <c r="BG69" s="2" t="n">
        <v>0</v>
      </c>
      <c r="BH69" s="2" t="n">
        <v>0</v>
      </c>
      <c r="BI69" s="2" t="n">
        <v>32586.6</v>
      </c>
      <c r="BJ69" s="2" t="n">
        <v>87.34377049180328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148.374045</v>
      </c>
      <c r="BQ69" s="2" t="n">
        <v>0</v>
      </c>
      <c r="BR69" s="2" t="n">
        <v>32847.3178154918</v>
      </c>
      <c r="BS69" s="2" t="n">
        <v>938.6213934426229</v>
      </c>
      <c r="BT69" s="2" t="n">
        <v>393.4426229508197</v>
      </c>
      <c r="BU69" s="2" t="n">
        <v>6806.20155737705</v>
      </c>
      <c r="BV69" s="2" t="n">
        <v>8138.265573770492</v>
      </c>
      <c r="BW69" s="2" t="n">
        <v>40985.58338926229</v>
      </c>
      <c r="BX69" s="2" t="n">
        <v>10237.22</v>
      </c>
      <c r="BY69" s="2" t="n">
        <v>753.45</v>
      </c>
      <c r="BZ69" s="2" t="n">
        <v>2902.58</v>
      </c>
      <c r="CA69" s="2" t="n">
        <v>10990.67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1242</v>
      </c>
      <c r="B70" t="inlineStr">
        <is>
          <t>Dworcowa 1, 62-800 Kalisz</t>
        </is>
      </c>
      <c r="C70" t="inlineStr">
        <is>
          <t>Kalisz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10637.17</v>
      </c>
      <c r="L70" s="2" t="n">
        <v>885.4459101851851</v>
      </c>
      <c r="M70" s="2" t="n">
        <v>9849.23148148148</v>
      </c>
      <c r="N70" s="2" t="n">
        <v>5171.79</v>
      </c>
      <c r="O70" s="2" t="n">
        <v>4857.58</v>
      </c>
      <c r="P70" s="2" t="n">
        <v>607.8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4097.05</v>
      </c>
      <c r="AD70" s="2" t="n">
        <v>261.7559722222222</v>
      </c>
      <c r="AE70" s="2" t="n">
        <v>3793.564814814815</v>
      </c>
      <c r="AF70" s="2" t="n">
        <v>1293.25</v>
      </c>
      <c r="AG70" s="2" t="n">
        <v>2621.35</v>
      </c>
      <c r="AH70" s="2" t="n">
        <v>182.45</v>
      </c>
      <c r="AI70" s="2" t="n">
        <v>346.18</v>
      </c>
      <c r="AJ70" s="2" t="n">
        <v>24.04027777777777</v>
      </c>
      <c r="AK70" s="2" t="n">
        <v>320.537037037037</v>
      </c>
      <c r="AL70" s="2" t="n">
        <v>24.44</v>
      </c>
      <c r="AM70" s="2" t="n">
        <v>321.74</v>
      </c>
      <c r="AN70" s="2" t="n">
        <v>0</v>
      </c>
      <c r="AO70" s="2" t="n">
        <v>6877.44</v>
      </c>
      <c r="AP70" s="2" t="n">
        <v>503.0719999999999</v>
      </c>
      <c r="AQ70" s="2" t="n">
        <v>6367.999999999999</v>
      </c>
      <c r="AR70" s="2" t="n">
        <v>2190.81</v>
      </c>
      <c r="AS70" s="2" t="n">
        <v>4428.94</v>
      </c>
      <c r="AT70" s="2" t="n">
        <v>257.69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21957.84</v>
      </c>
      <c r="BB70" s="2" t="n">
        <v>13277.55</v>
      </c>
      <c r="BC70" s="2">
        <f>F70+L70+R70+X70+AD70+AJ70+AP70+AV70+IF(BE70="",0,BE70)</f>
        <v/>
      </c>
      <c r="BD70" s="2" t="n">
        <v>204.47427</v>
      </c>
      <c r="BE70" s="2" t="n"/>
      <c r="BF70" s="2" t="n">
        <v>20331.33333333333</v>
      </c>
      <c r="BG70" s="2" t="n">
        <v>539.1099999999999</v>
      </c>
      <c r="BH70" s="2" t="n">
        <v>208</v>
      </c>
      <c r="BI70" s="2" t="n">
        <v>32586.6</v>
      </c>
      <c r="BJ70" s="2" t="n">
        <v>87.34377049180328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179.246925</v>
      </c>
      <c r="BQ70" s="2" t="n">
        <v>0</v>
      </c>
      <c r="BR70" s="2" t="n">
        <v>33625.3006954918</v>
      </c>
      <c r="BS70" s="2" t="n">
        <v>938.6213934426229</v>
      </c>
      <c r="BT70" s="2" t="n">
        <v>393.4426229508197</v>
      </c>
      <c r="BU70" s="2" t="n">
        <v>6955.62355737705</v>
      </c>
      <c r="BV70" s="2" t="n">
        <v>8287.687573770492</v>
      </c>
      <c r="BW70" s="2" t="n">
        <v>41912.98826926229</v>
      </c>
      <c r="BX70" s="2" t="n">
        <v>12229.61</v>
      </c>
      <c r="BY70" s="2" t="n">
        <v>1047.94</v>
      </c>
      <c r="BZ70" s="2" t="n">
        <v>8680.289999999999</v>
      </c>
      <c r="CA70" s="2" t="n">
        <v>13277.55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1243</v>
      </c>
      <c r="B71" t="inlineStr">
        <is>
          <t>Garbary 89, 61-757 Poznań</t>
        </is>
      </c>
      <c r="C71" t="inlineStr">
        <is>
          <t>Poznań Garbary</t>
        </is>
      </c>
      <c r="D71" t="inlineStr">
        <is>
          <t>FAA2000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377.8</v>
      </c>
      <c r="L71" s="2" t="n">
        <v>31.44835185185185</v>
      </c>
      <c r="M71" s="2" t="n">
        <v>349.8148148148148</v>
      </c>
      <c r="N71" s="2" t="n">
        <v>46</v>
      </c>
      <c r="O71" s="2" t="n">
        <v>138</v>
      </c>
      <c r="P71" s="2" t="n">
        <v>193.8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19739.76</v>
      </c>
      <c r="AD71" s="2" t="n">
        <v>1261.151333333333</v>
      </c>
      <c r="AE71" s="2" t="n">
        <v>18277.55555555555</v>
      </c>
      <c r="AF71" s="2" t="n">
        <v>3404.66</v>
      </c>
      <c r="AG71" s="2" t="n">
        <v>15444.23</v>
      </c>
      <c r="AH71" s="2" t="n">
        <v>890.87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2606.9</v>
      </c>
      <c r="AP71" s="2" t="n">
        <v>190.6899074074074</v>
      </c>
      <c r="AQ71" s="2" t="n">
        <v>2413.796296296296</v>
      </c>
      <c r="AR71" s="2" t="n">
        <v>760.49</v>
      </c>
      <c r="AS71" s="2" t="n">
        <v>1758.78</v>
      </c>
      <c r="AT71" s="2" t="n">
        <v>87.63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22724.46</v>
      </c>
      <c r="BB71" s="2" t="n">
        <v>18513.31</v>
      </c>
      <c r="BC71" s="2">
        <f>F71+L71+R71+X71+AD71+AJ71+AP71+AV71+IF(BE71="",0,BE71)</f>
        <v/>
      </c>
      <c r="BD71" s="2" t="n">
        <v>285.104974</v>
      </c>
      <c r="BE71" s="2" t="n"/>
      <c r="BF71" s="2" t="n">
        <v>21041.16666666666</v>
      </c>
      <c r="BG71" s="2" t="n">
        <v>587.13</v>
      </c>
      <c r="BH71" s="2" t="n">
        <v>182</v>
      </c>
      <c r="BI71" s="2" t="n">
        <v>32586.6</v>
      </c>
      <c r="BJ71" s="2" t="n">
        <v>87.34377049180328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249.929685</v>
      </c>
      <c r="BQ71" s="2" t="n">
        <v>0</v>
      </c>
      <c r="BR71" s="2" t="n">
        <v>33718.0034554918</v>
      </c>
      <c r="BS71" s="2" t="n">
        <v>938.6213934426229</v>
      </c>
      <c r="BT71" s="2" t="n">
        <v>393.4426229508197</v>
      </c>
      <c r="BU71" s="2" t="n">
        <v>6960.027557377049</v>
      </c>
      <c r="BV71" s="2" t="n">
        <v>8292.091573770491</v>
      </c>
      <c r="BW71" s="2" t="n">
        <v>42010.09502926229</v>
      </c>
      <c r="BX71" s="2" t="n">
        <v>17341.01</v>
      </c>
      <c r="BY71" s="2" t="n">
        <v>1172.3</v>
      </c>
      <c r="BZ71" s="2" t="n">
        <v>4211.15</v>
      </c>
      <c r="CA71" s="2" t="n">
        <v>18513.31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1244</v>
      </c>
      <c r="B72" t="inlineStr">
        <is>
          <t>Dworcowa 7, 62-200 Gniezno</t>
        </is>
      </c>
      <c r="C72" t="inlineStr">
        <is>
          <t>Gniezno</t>
        </is>
      </c>
      <c r="D72" t="inlineStr">
        <is>
          <t>FAA2000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17671.38</v>
      </c>
      <c r="L72" s="2" t="n">
        <v>1470.978761111111</v>
      </c>
      <c r="M72" s="2" t="n">
        <v>16362.38888888889</v>
      </c>
      <c r="N72" s="2" t="n">
        <v>3865.12</v>
      </c>
      <c r="O72" s="2" t="n">
        <v>13212.77</v>
      </c>
      <c r="P72" s="2" t="n">
        <v>593.49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16938.64</v>
      </c>
      <c r="AD72" s="2" t="n">
        <v>1082.190888888889</v>
      </c>
      <c r="AE72" s="2" t="n">
        <v>15683.92592592593</v>
      </c>
      <c r="AF72" s="2" t="n">
        <v>4596.49</v>
      </c>
      <c r="AG72" s="2" t="n">
        <v>11731.26</v>
      </c>
      <c r="AH72" s="2" t="n">
        <v>610.89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6850.01</v>
      </c>
      <c r="AP72" s="2" t="n">
        <v>501.0655462962962</v>
      </c>
      <c r="AQ72" s="2" t="n">
        <v>6342.601851851851</v>
      </c>
      <c r="AR72" s="2" t="n">
        <v>2275.73</v>
      </c>
      <c r="AS72" s="2" t="n">
        <v>4321.86</v>
      </c>
      <c r="AT72" s="2" t="n">
        <v>252.42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41460.03000000001</v>
      </c>
      <c r="BB72" s="2" t="n">
        <v>30722.69</v>
      </c>
      <c r="BC72" s="2">
        <f>F72+L72+R72+X72+AD72+AJ72+AP72+AV72+IF(BE72="",0,BE72)</f>
        <v/>
      </c>
      <c r="BD72" s="2" t="n">
        <v>473.129426</v>
      </c>
      <c r="BE72" s="2" t="n"/>
      <c r="BF72" s="2" t="n">
        <v>38388.91666666666</v>
      </c>
      <c r="BG72" s="2" t="n">
        <v>0</v>
      </c>
      <c r="BH72" s="2" t="n">
        <v>0</v>
      </c>
      <c r="BI72" s="2" t="n">
        <v>32586.6</v>
      </c>
      <c r="BJ72" s="2" t="n">
        <v>87.34377049180328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414.756315</v>
      </c>
      <c r="BQ72" s="2" t="n">
        <v>0</v>
      </c>
      <c r="BR72" s="2" t="n">
        <v>33113.7000854918</v>
      </c>
      <c r="BS72" s="2" t="n">
        <v>938.6213934426229</v>
      </c>
      <c r="BT72" s="2" t="n">
        <v>393.4426229508197</v>
      </c>
      <c r="BU72" s="2" t="n">
        <v>6806.20155737705</v>
      </c>
      <c r="BV72" s="2" t="n">
        <v>8138.265573770492</v>
      </c>
      <c r="BW72" s="2" t="n">
        <v>41251.96565926229</v>
      </c>
      <c r="BX72" s="2" t="n">
        <v>29265.89</v>
      </c>
      <c r="BY72" s="2" t="n">
        <v>1456.8</v>
      </c>
      <c r="BZ72" s="2" t="n">
        <v>10737.34</v>
      </c>
      <c r="CA72" s="2" t="n">
        <v>30722.69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1245</v>
      </c>
      <c r="B73" t="inlineStr">
        <is>
          <t>Plac Dworcowy 1, 80-321 Gdańsk</t>
        </is>
      </c>
      <c r="C73" t="inlineStr">
        <is>
          <t>Gdańsk Oliwa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5666.48</v>
      </c>
      <c r="L73" s="2" t="n">
        <v>471.6819925925926</v>
      </c>
      <c r="M73" s="2" t="n">
        <v>5246.740740740741</v>
      </c>
      <c r="N73" s="2" t="n">
        <v>1744.26</v>
      </c>
      <c r="O73" s="2" t="n">
        <v>3798.87</v>
      </c>
      <c r="P73" s="2" t="n">
        <v>123.35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4598.64</v>
      </c>
      <c r="AP73" s="2" t="n">
        <v>336.382</v>
      </c>
      <c r="AQ73" s="2" t="n">
        <v>4258</v>
      </c>
      <c r="AR73" s="2" t="n">
        <v>1512.65</v>
      </c>
      <c r="AS73" s="2" t="n">
        <v>2908.19</v>
      </c>
      <c r="AT73" s="2" t="n">
        <v>177.8</v>
      </c>
      <c r="AU73" s="2" t="n">
        <v>1701.55</v>
      </c>
      <c r="AV73" s="2" t="n">
        <v>67.74689814814815</v>
      </c>
      <c r="AW73" s="2" t="n">
        <v>1575.509259259259</v>
      </c>
      <c r="AX73" s="2" t="n">
        <v>618.4</v>
      </c>
      <c r="AY73" s="2" t="n">
        <v>1071.15</v>
      </c>
      <c r="AZ73" s="2" t="n">
        <v>12</v>
      </c>
      <c r="BA73" s="2" t="n">
        <v>11966.67</v>
      </c>
      <c r="BB73" s="2" t="n">
        <v>8091.360000000001</v>
      </c>
      <c r="BC73" s="2">
        <f>F73+L73+R73+X73+AD73+AJ73+AP73+AV73+IF(BE73="",0,BE73)</f>
        <v/>
      </c>
      <c r="BD73" s="2" t="n">
        <v>124.606944</v>
      </c>
      <c r="BE73" s="2" t="n"/>
      <c r="BF73" s="2" t="n">
        <v>11080.25</v>
      </c>
      <c r="BG73" s="2" t="n">
        <v>0</v>
      </c>
      <c r="BH73" s="2" t="n">
        <v>0</v>
      </c>
      <c r="BI73" s="2" t="n">
        <v>32586.6</v>
      </c>
      <c r="BJ73" s="2" t="n">
        <v>87.34377049180328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109.23336</v>
      </c>
      <c r="BQ73" s="2" t="n">
        <v>0</v>
      </c>
      <c r="BR73" s="2" t="n">
        <v>32808.1771304918</v>
      </c>
      <c r="BS73" s="2" t="n">
        <v>938.6213934426229</v>
      </c>
      <c r="BT73" s="2" t="n">
        <v>393.4426229508197</v>
      </c>
      <c r="BU73" s="2" t="n">
        <v>6806.20155737705</v>
      </c>
      <c r="BV73" s="2" t="n">
        <v>8138.265573770492</v>
      </c>
      <c r="BW73" s="2" t="n">
        <v>40946.44270426229</v>
      </c>
      <c r="BX73" s="2" t="n">
        <v>7778.209999999999</v>
      </c>
      <c r="BY73" s="2" t="n">
        <v>313.15</v>
      </c>
      <c r="BZ73" s="2" t="n">
        <v>3875.31</v>
      </c>
      <c r="CA73" s="2" t="n">
        <v>8091.359999999999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1246</v>
      </c>
      <c r="B74" t="inlineStr">
        <is>
          <t>Dworcowa 1, 63-400 Ostrów Wlkp.</t>
        </is>
      </c>
      <c r="C74" t="inlineStr">
        <is>
          <t>Ostrów Wielkopolski</t>
        </is>
      </c>
      <c r="D74" t="inlineStr">
        <is>
          <t>ST|40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5330.11</v>
      </c>
      <c r="L74" s="2" t="n">
        <v>443.6823046296296</v>
      </c>
      <c r="M74" s="2" t="n">
        <v>4935.287037037036</v>
      </c>
      <c r="N74" s="2" t="n">
        <v>2002.39</v>
      </c>
      <c r="O74" s="2" t="n">
        <v>3138.9</v>
      </c>
      <c r="P74" s="2" t="n">
        <v>188.82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9287.439999999999</v>
      </c>
      <c r="AD74" s="2" t="n">
        <v>593.3642222222221</v>
      </c>
      <c r="AE74" s="2" t="n">
        <v>8599.48148148148</v>
      </c>
      <c r="AF74" s="2" t="n">
        <v>2798.87</v>
      </c>
      <c r="AG74" s="2" t="n">
        <v>6209</v>
      </c>
      <c r="AH74" s="2" t="n">
        <v>279.57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10484.91</v>
      </c>
      <c r="AP74" s="2" t="n">
        <v>766.9517500000001</v>
      </c>
      <c r="AQ74" s="2" t="n">
        <v>9708.25</v>
      </c>
      <c r="AR74" s="2" t="n">
        <v>2905.05</v>
      </c>
      <c r="AS74" s="2" t="n">
        <v>7301.15</v>
      </c>
      <c r="AT74" s="2" t="n">
        <v>278.71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25102.46</v>
      </c>
      <c r="BB74" s="2" t="n">
        <v>17396.15</v>
      </c>
      <c r="BC74" s="2">
        <f>F74+L74+R74+X74+AD74+AJ74+AP74+AV74+IF(BE74="",0,BE74)</f>
        <v/>
      </c>
      <c r="BD74" s="2" t="n">
        <v>267.90071</v>
      </c>
      <c r="BE74" s="2" t="n"/>
      <c r="BF74" s="2" t="n">
        <v>23243.01851851852</v>
      </c>
      <c r="BG74" s="2" t="n">
        <v>0</v>
      </c>
      <c r="BH74" s="2" t="n">
        <v>104.3</v>
      </c>
      <c r="BI74" s="2" t="n">
        <v>32586.6</v>
      </c>
      <c r="BJ74" s="2" t="n">
        <v>87.34377049180328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234.848025</v>
      </c>
      <c r="BQ74" s="2" t="n">
        <v>0</v>
      </c>
      <c r="BR74" s="2" t="n">
        <v>33038.0917954918</v>
      </c>
      <c r="BS74" s="2" t="n">
        <v>938.6213934426229</v>
      </c>
      <c r="BT74" s="2" t="n">
        <v>393.4426229508197</v>
      </c>
      <c r="BU74" s="2" t="n">
        <v>6827.06155737705</v>
      </c>
      <c r="BV74" s="2" t="n">
        <v>8159.125573770492</v>
      </c>
      <c r="BW74" s="2" t="n">
        <v>41197.21736926229</v>
      </c>
      <c r="BX74" s="2" t="n">
        <v>16649.05</v>
      </c>
      <c r="BY74" s="2" t="n">
        <v>747.0999999999999</v>
      </c>
      <c r="BZ74" s="2" t="n">
        <v>7706.31</v>
      </c>
      <c r="CA74" s="2" t="n">
        <v>17396.15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1247</v>
      </c>
      <c r="B75" t="inlineStr">
        <is>
          <t>Kujawska 1, 87-100 Toruń</t>
        </is>
      </c>
      <c r="C75" t="inlineStr">
        <is>
          <t>Toruń</t>
        </is>
      </c>
      <c r="D75" t="inlineStr">
        <is>
          <t>FAA2000</t>
        </is>
      </c>
      <c r="E75" s="2" t="n">
        <v>1650.28</v>
      </c>
      <c r="F75" s="2" t="n">
        <v>1000</v>
      </c>
      <c r="G75" s="2" t="n">
        <v>1528.037037037037</v>
      </c>
      <c r="H75" s="2" t="n">
        <v>522.01</v>
      </c>
      <c r="I75" s="2" t="n">
        <v>1128.27</v>
      </c>
      <c r="J75" s="2" t="n">
        <v>0</v>
      </c>
      <c r="K75" s="2" t="n">
        <v>7004.63</v>
      </c>
      <c r="L75" s="2" t="n">
        <v>583.0705898148149</v>
      </c>
      <c r="M75" s="2" t="n">
        <v>6485.768518518518</v>
      </c>
      <c r="N75" s="2" t="n">
        <v>1855.51</v>
      </c>
      <c r="O75" s="2" t="n">
        <v>5149.12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10550.07</v>
      </c>
      <c r="AP75" s="2" t="n">
        <v>771.7180833333332</v>
      </c>
      <c r="AQ75" s="2" t="n">
        <v>9768.583333333332</v>
      </c>
      <c r="AR75" s="2" t="n">
        <v>4082.24</v>
      </c>
      <c r="AS75" s="2" t="n">
        <v>6467.83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19204.98</v>
      </c>
      <c r="BB75" s="2" t="n">
        <v>12745.22</v>
      </c>
      <c r="BC75" s="2">
        <f>F75+L75+R75+X75+AD75+AJ75+AP75+AV75+IF(BE75="",0,BE75)</f>
        <v/>
      </c>
      <c r="BD75" s="2" t="n">
        <v>196.276388</v>
      </c>
      <c r="BE75" s="2" t="n"/>
      <c r="BF75" s="2" t="n">
        <v>17782.38888888889</v>
      </c>
      <c r="BG75" s="2" t="n">
        <v>522.53</v>
      </c>
      <c r="BH75" s="2" t="n">
        <v>139</v>
      </c>
      <c r="BI75" s="2" t="n">
        <v>32586.6</v>
      </c>
      <c r="BJ75" s="2" t="n">
        <v>87.34377049180328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172.06047</v>
      </c>
      <c r="BQ75" s="2" t="n">
        <v>0</v>
      </c>
      <c r="BR75" s="2" t="n">
        <v>33532.5342404918</v>
      </c>
      <c r="BS75" s="2" t="n">
        <v>938.6213934426229</v>
      </c>
      <c r="BT75" s="2" t="n">
        <v>393.4426229508197</v>
      </c>
      <c r="BU75" s="2" t="n">
        <v>6938.507557377049</v>
      </c>
      <c r="BV75" s="2" t="n">
        <v>8270.571573770492</v>
      </c>
      <c r="BW75" s="2" t="n">
        <v>41803.10581426229</v>
      </c>
      <c r="BX75" s="2" t="n">
        <v>12745.22</v>
      </c>
      <c r="BY75" s="2" t="n">
        <v>0</v>
      </c>
      <c r="BZ75" s="2" t="n">
        <v>6459.76</v>
      </c>
      <c r="CA75" s="2" t="n">
        <v>12745.22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1249</v>
      </c>
      <c r="B76" t="inlineStr">
        <is>
          <t>Stefana Okrzei 65, 87-810 Włocławek</t>
        </is>
      </c>
      <c r="C76" t="inlineStr">
        <is>
          <t>Włocławek</t>
        </is>
      </c>
      <c r="D76" t="inlineStr">
        <is>
          <t>FAA2000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3599.24</v>
      </c>
      <c r="L76" s="2" t="n">
        <v>299.6034037037037</v>
      </c>
      <c r="M76" s="2" t="n">
        <v>3332.629629629629</v>
      </c>
      <c r="N76" s="2" t="n">
        <v>944.3</v>
      </c>
      <c r="O76" s="2" t="n">
        <v>2614.94</v>
      </c>
      <c r="P76" s="2" t="n">
        <v>40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5603.190000000001</v>
      </c>
      <c r="AP76" s="2" t="n">
        <v>409.8629722222222</v>
      </c>
      <c r="AQ76" s="2" t="n">
        <v>5188.138888888889</v>
      </c>
      <c r="AR76" s="2" t="n">
        <v>1710.77</v>
      </c>
      <c r="AS76" s="2" t="n">
        <v>3710.53</v>
      </c>
      <c r="AT76" s="2" t="n">
        <v>181.89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9202.43</v>
      </c>
      <c r="BB76" s="2" t="n">
        <v>6547.360000000001</v>
      </c>
      <c r="BC76" s="2">
        <f>F76+L76+R76+X76+AD76+AJ76+AP76+AV76+IF(BE76="",0,BE76)</f>
        <v/>
      </c>
      <c r="BD76" s="2" t="n">
        <v>100.829344</v>
      </c>
      <c r="BE76" s="2" t="n"/>
      <c r="BF76" s="2" t="n">
        <v>8520.768518518518</v>
      </c>
      <c r="BG76" s="2" t="n">
        <v>694.6900000000001</v>
      </c>
      <c r="BH76" s="2" t="n">
        <v>167.5</v>
      </c>
      <c r="BI76" s="2" t="n">
        <v>32586.6</v>
      </c>
      <c r="BJ76" s="2" t="n">
        <v>87.34377049180328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88.38936000000001</v>
      </c>
      <c r="BQ76" s="2" t="n">
        <v>0</v>
      </c>
      <c r="BR76" s="2" t="n">
        <v>33649.52313049181</v>
      </c>
      <c r="BS76" s="2" t="n">
        <v>938.6213934426229</v>
      </c>
      <c r="BT76" s="2" t="n">
        <v>393.4426229508197</v>
      </c>
      <c r="BU76" s="2" t="n">
        <v>6978.63955737705</v>
      </c>
      <c r="BV76" s="2" t="n">
        <v>8310.703573770492</v>
      </c>
      <c r="BW76" s="2" t="n">
        <v>41960.2267042623</v>
      </c>
      <c r="BX76" s="2" t="n">
        <v>6325.47</v>
      </c>
      <c r="BY76" s="2" t="n">
        <v>221.89</v>
      </c>
      <c r="BZ76" s="2" t="n">
        <v>2655.07</v>
      </c>
      <c r="CA76" s="2" t="n">
        <v>6547.360000000001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1251</v>
      </c>
      <c r="B77" t="inlineStr">
        <is>
          <t>Kielce</t>
        </is>
      </c>
      <c r="C77" t="inlineStr"/>
      <c r="D77" t="inlineStr"/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11232.07</v>
      </c>
      <c r="L77" s="2" t="n">
        <v>934.9658268518521</v>
      </c>
      <c r="M77" s="2" t="n">
        <v>10400.06481481482</v>
      </c>
      <c r="N77" s="2" t="n">
        <v>2953.17</v>
      </c>
      <c r="O77" s="2" t="n">
        <v>7748.89</v>
      </c>
      <c r="P77" s="2" t="n">
        <v>530.01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11160.03</v>
      </c>
      <c r="AP77" s="2" t="n">
        <v>816.3355277777778</v>
      </c>
      <c r="AQ77" s="2" t="n">
        <v>10333.36111111111</v>
      </c>
      <c r="AR77" s="2" t="n">
        <v>3538.81</v>
      </c>
      <c r="AS77" s="2" t="n">
        <v>7008.06</v>
      </c>
      <c r="AT77" s="2" t="n">
        <v>613.16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22392.1</v>
      </c>
      <c r="BB77" s="2" t="n">
        <v>15900.12</v>
      </c>
      <c r="BC77" s="2">
        <f>F77+L77+R77+X77+AD77+AJ77+AP77+AV77+IF(BE77="",0,BE77)</f>
        <v/>
      </c>
      <c r="BD77" s="2" t="n">
        <v>244.861848</v>
      </c>
      <c r="BE77" s="2" t="n"/>
      <c r="BF77" s="2" t="n">
        <v>20733.42592592593</v>
      </c>
      <c r="BG77" s="2" t="n">
        <v>518</v>
      </c>
      <c r="BH77" s="2" t="n">
        <v>238</v>
      </c>
      <c r="BI77" s="2" t="n">
        <v>32586.6</v>
      </c>
      <c r="BJ77" s="2" t="n">
        <v>87.34377049180328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214.65162</v>
      </c>
      <c r="BQ77" s="2" t="n">
        <v>0</v>
      </c>
      <c r="BR77" s="2" t="n">
        <v>33669.5953904918</v>
      </c>
      <c r="BS77" s="2" t="n">
        <v>938.6213934426229</v>
      </c>
      <c r="BT77" s="2" t="n">
        <v>393.4426229508197</v>
      </c>
      <c r="BU77" s="2" t="n">
        <v>6957.401557377049</v>
      </c>
      <c r="BV77" s="2" t="n">
        <v>8289.465573770492</v>
      </c>
      <c r="BW77" s="2" t="n">
        <v>41959.06096426229</v>
      </c>
      <c r="BX77" s="2" t="n">
        <v>14756.95</v>
      </c>
      <c r="BY77" s="2" t="n">
        <v>1143.17</v>
      </c>
      <c r="BZ77" s="2" t="n">
        <v>6491.98</v>
      </c>
      <c r="CA77" s="2" t="n">
        <v>15900.12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1252</v>
      </c>
      <c r="B78" t="inlineStr">
        <is>
          <t>Krakowska 48, 46-020 Opole</t>
        </is>
      </c>
      <c r="C78" t="inlineStr">
        <is>
          <t>Opole Główne</t>
        </is>
      </c>
      <c r="D78" t="inlineStr">
        <is>
          <t>ST|40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9392.909999999998</v>
      </c>
      <c r="L78" s="2" t="n">
        <v>781.8727861111109</v>
      </c>
      <c r="M78" s="2" t="n">
        <v>8697.138888888887</v>
      </c>
      <c r="N78" s="2" t="n">
        <v>2805.54</v>
      </c>
      <c r="O78" s="2" t="n">
        <v>5926.9</v>
      </c>
      <c r="P78" s="2" t="n">
        <v>660.47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11271.22</v>
      </c>
      <c r="AP78" s="2" t="n">
        <v>824.4688703703703</v>
      </c>
      <c r="AQ78" s="2" t="n">
        <v>10436.31481481481</v>
      </c>
      <c r="AR78" s="2" t="n">
        <v>3340.34</v>
      </c>
      <c r="AS78" s="2" t="n">
        <v>7447.46</v>
      </c>
      <c r="AT78" s="2" t="n">
        <v>483.42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20664.13</v>
      </c>
      <c r="BB78" s="2" t="n">
        <v>14518.25</v>
      </c>
      <c r="BC78" s="2">
        <f>F78+L78+R78+X78+AD78+AJ78+AP78+AV78+IF(BE78="",0,BE78)</f>
        <v/>
      </c>
      <c r="BD78" s="2" t="n">
        <v>223.58105</v>
      </c>
      <c r="BE78" s="2" t="n"/>
      <c r="BF78" s="2" t="n">
        <v>19133.4537037037</v>
      </c>
      <c r="BG78" s="2" t="n">
        <v>228</v>
      </c>
      <c r="BH78" s="2" t="n">
        <v>0</v>
      </c>
      <c r="BI78" s="2" t="n">
        <v>32586.6</v>
      </c>
      <c r="BJ78" s="2" t="n">
        <v>87.34377049180328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195.996375</v>
      </c>
      <c r="BQ78" s="2" t="n">
        <v>0</v>
      </c>
      <c r="BR78" s="2" t="n">
        <v>33122.9401454918</v>
      </c>
      <c r="BS78" s="2" t="n">
        <v>938.6213934426229</v>
      </c>
      <c r="BT78" s="2" t="n">
        <v>393.4426229508197</v>
      </c>
      <c r="BU78" s="2" t="n">
        <v>6851.80155737705</v>
      </c>
      <c r="BV78" s="2" t="n">
        <v>8183.865573770492</v>
      </c>
      <c r="BW78" s="2" t="n">
        <v>41306.80571926229</v>
      </c>
      <c r="BX78" s="2" t="n">
        <v>13374.36</v>
      </c>
      <c r="BY78" s="2" t="n">
        <v>1143.89</v>
      </c>
      <c r="BZ78" s="2" t="n">
        <v>6145.88</v>
      </c>
      <c r="CA78" s="2" t="n">
        <v>14518.25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1253</v>
      </c>
      <c r="B79" t="inlineStr">
        <is>
          <t>Opole</t>
        </is>
      </c>
      <c r="C79" t="inlineStr"/>
      <c r="D79" t="inlineStr"/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5342.25</v>
      </c>
      <c r="L79" s="2" t="n">
        <v>444.6928472222222</v>
      </c>
      <c r="M79" s="2" t="n">
        <v>4946.527777777777</v>
      </c>
      <c r="N79" s="2" t="n">
        <v>1694.09</v>
      </c>
      <c r="O79" s="2" t="n">
        <v>3526.81</v>
      </c>
      <c r="P79" s="2" t="n">
        <v>121.35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7412.169999999999</v>
      </c>
      <c r="AP79" s="2" t="n">
        <v>542.1865092592592</v>
      </c>
      <c r="AQ79" s="2" t="n">
        <v>6863.12037037037</v>
      </c>
      <c r="AR79" s="2" t="n">
        <v>1725.36</v>
      </c>
      <c r="AS79" s="2" t="n">
        <v>5500.9</v>
      </c>
      <c r="AT79" s="2" t="n">
        <v>185.91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12754.42</v>
      </c>
      <c r="BB79" s="2" t="n">
        <v>9334.969999999999</v>
      </c>
      <c r="BC79" s="2">
        <f>F79+L79+R79+X79+AD79+AJ79+AP79+AV79+IF(BE79="",0,BE79)</f>
        <v/>
      </c>
      <c r="BD79" s="2" t="n">
        <v>143.758538</v>
      </c>
      <c r="BE79" s="2" t="n"/>
      <c r="BF79" s="2" t="n">
        <v>11809.64814814815</v>
      </c>
      <c r="BG79" s="2" t="n">
        <v>0</v>
      </c>
      <c r="BH79" s="2" t="n">
        <v>0</v>
      </c>
      <c r="BI79" s="2" t="n">
        <v>32586.6</v>
      </c>
      <c r="BJ79" s="2" t="n">
        <v>87.34377049180328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126.022095</v>
      </c>
      <c r="BQ79" s="2" t="n">
        <v>0</v>
      </c>
      <c r="BR79" s="2" t="n">
        <v>32824.9658654918</v>
      </c>
      <c r="BS79" s="2" t="n">
        <v>938.6213934426229</v>
      </c>
      <c r="BT79" s="2" t="n">
        <v>393.4426229508197</v>
      </c>
      <c r="BU79" s="2" t="n">
        <v>6806.20155737705</v>
      </c>
      <c r="BV79" s="2" t="n">
        <v>8138.265573770492</v>
      </c>
      <c r="BW79" s="2" t="n">
        <v>40963.23143926229</v>
      </c>
      <c r="BX79" s="2" t="n">
        <v>9027.709999999999</v>
      </c>
      <c r="BY79" s="2" t="n">
        <v>307.26</v>
      </c>
      <c r="BZ79" s="2" t="n">
        <v>3419.45</v>
      </c>
      <c r="CA79" s="2" t="n">
        <v>9334.969999999999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1254</v>
      </c>
      <c r="B80" t="inlineStr">
        <is>
          <t>Stacyjna 5, 53-600 Wrocław</t>
        </is>
      </c>
      <c r="C80" t="inlineStr">
        <is>
          <t>Wrocław Mikołajów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4870.48</v>
      </c>
      <c r="L80" s="2" t="n">
        <v>405.4223629629629</v>
      </c>
      <c r="M80" s="2" t="n">
        <v>4509.703703703703</v>
      </c>
      <c r="N80" s="2" t="n">
        <v>1384.33</v>
      </c>
      <c r="O80" s="2" t="n">
        <v>3240.82</v>
      </c>
      <c r="P80" s="2" t="n">
        <v>245.33</v>
      </c>
      <c r="Q80" s="2" t="n">
        <v>12785.32</v>
      </c>
      <c r="R80" s="2" t="n">
        <v>1600</v>
      </c>
      <c r="S80" s="2" t="n">
        <v>11838.25925925926</v>
      </c>
      <c r="T80" s="2" t="n">
        <v>2480.58</v>
      </c>
      <c r="U80" s="2" t="n">
        <v>9832.75</v>
      </c>
      <c r="V80" s="2" t="n">
        <v>471.99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10130.08</v>
      </c>
      <c r="AP80" s="2" t="n">
        <v>740.9965925925925</v>
      </c>
      <c r="AQ80" s="2" t="n">
        <v>9379.703703703703</v>
      </c>
      <c r="AR80" s="2" t="n">
        <v>2012.49</v>
      </c>
      <c r="AS80" s="2" t="n">
        <v>7663.67</v>
      </c>
      <c r="AT80" s="2" t="n">
        <v>453.92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27785.88</v>
      </c>
      <c r="BB80" s="2" t="n">
        <v>21908.48</v>
      </c>
      <c r="BC80" s="2">
        <f>F80+L80+R80+X80+AD80+AJ80+AP80+AV80+IF(BE80="",0,BE80)</f>
        <v/>
      </c>
      <c r="BD80" s="2" t="n">
        <v>337.390592</v>
      </c>
      <c r="BE80" s="2" t="n"/>
      <c r="BF80" s="2" t="n">
        <v>25727.66666666666</v>
      </c>
      <c r="BG80" s="2" t="n">
        <v>0</v>
      </c>
      <c r="BH80" s="2" t="n">
        <v>350.37</v>
      </c>
      <c r="BI80" s="2" t="n">
        <v>32586.6</v>
      </c>
      <c r="BJ80" s="2" t="n">
        <v>87.34377049180328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295.76448</v>
      </c>
      <c r="BQ80" s="2" t="n">
        <v>0</v>
      </c>
      <c r="BR80" s="2" t="n">
        <v>33345.0782504918</v>
      </c>
      <c r="BS80" s="2" t="n">
        <v>938.6213934426229</v>
      </c>
      <c r="BT80" s="2" t="n">
        <v>393.4426229508197</v>
      </c>
      <c r="BU80" s="2" t="n">
        <v>6876.27555737705</v>
      </c>
      <c r="BV80" s="2" t="n">
        <v>8208.339573770492</v>
      </c>
      <c r="BW80" s="2" t="n">
        <v>41553.41782426229</v>
      </c>
      <c r="BX80" s="2" t="n">
        <v>20737.24</v>
      </c>
      <c r="BY80" s="2" t="n">
        <v>1171.24</v>
      </c>
      <c r="BZ80" s="2" t="n">
        <v>5877.4</v>
      </c>
      <c r="CA80" s="2" t="n">
        <v>21908.48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1255</v>
      </c>
      <c r="B81" t="inlineStr">
        <is>
          <t>Zabrze</t>
        </is>
      </c>
      <c r="C81" t="inlineStr"/>
      <c r="D81" t="inlineStr"/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5781.98</v>
      </c>
      <c r="L81" s="2" t="n">
        <v>481.2962981481481</v>
      </c>
      <c r="M81" s="2" t="n">
        <v>5353.685185185184</v>
      </c>
      <c r="N81" s="2" t="n">
        <v>1750.21</v>
      </c>
      <c r="O81" s="2" t="n">
        <v>3821.62</v>
      </c>
      <c r="P81" s="2" t="n">
        <v>210.15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5781.98</v>
      </c>
      <c r="BB81" s="2" t="n">
        <v>4031.77</v>
      </c>
      <c r="BC81" s="2">
        <f>F81+L81+R81+X81+AD81+AJ81+AP81+AV81+IF(BE81="",0,BE81)</f>
        <v/>
      </c>
      <c r="BD81" s="2" t="n">
        <v>62.089258</v>
      </c>
      <c r="BE81" s="2" t="n"/>
      <c r="BF81" s="2" t="n">
        <v>5353.685185185184</v>
      </c>
      <c r="BG81" s="2" t="n">
        <v>141.2</v>
      </c>
      <c r="BH81" s="2" t="n">
        <v>292.11</v>
      </c>
      <c r="BI81" s="2" t="n">
        <v>32586.6</v>
      </c>
      <c r="BJ81" s="2" t="n">
        <v>87.34377049180328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54.428895</v>
      </c>
      <c r="BQ81" s="2" t="n">
        <v>0</v>
      </c>
      <c r="BR81" s="2" t="n">
        <v>33186.6826654918</v>
      </c>
      <c r="BS81" s="2" t="n">
        <v>938.6213934426229</v>
      </c>
      <c r="BT81" s="2" t="n">
        <v>393.4426229508197</v>
      </c>
      <c r="BU81" s="2" t="n">
        <v>6892.863557377049</v>
      </c>
      <c r="BV81" s="2" t="n">
        <v>8224.927573770492</v>
      </c>
      <c r="BW81" s="2" t="n">
        <v>41411.61023926229</v>
      </c>
      <c r="BX81" s="2" t="n">
        <v>3821.62</v>
      </c>
      <c r="BY81" s="2" t="n">
        <v>210.15</v>
      </c>
      <c r="BZ81" s="2" t="n">
        <v>1750.21</v>
      </c>
      <c r="CA81" s="2" t="n">
        <v>4031.77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1256</v>
      </c>
      <c r="B82" t="inlineStr">
        <is>
          <t>Dworcowa 2, 61-801 Poznań</t>
        </is>
      </c>
      <c r="C82" t="inlineStr">
        <is>
          <t>Poznań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96.5</v>
      </c>
      <c r="L82" s="2" t="n">
        <v>8.032731481481482</v>
      </c>
      <c r="M82" s="2" t="n">
        <v>89.35185185185185</v>
      </c>
      <c r="N82" s="2" t="n">
        <v>0</v>
      </c>
      <c r="O82" s="2" t="n">
        <v>96.5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437.3</v>
      </c>
      <c r="AD82" s="2" t="n">
        <v>27.93861111111111</v>
      </c>
      <c r="AE82" s="2" t="n">
        <v>404.9074074074074</v>
      </c>
      <c r="AF82" s="2" t="n">
        <v>30</v>
      </c>
      <c r="AG82" s="2" t="n">
        <v>407.3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93.31</v>
      </c>
      <c r="AP82" s="2" t="n">
        <v>6.825453703703703</v>
      </c>
      <c r="AQ82" s="2" t="n">
        <v>86.39814814814814</v>
      </c>
      <c r="AR82" s="2" t="n">
        <v>38.7</v>
      </c>
      <c r="AS82" s="2" t="n">
        <v>54.61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627.1099999999999</v>
      </c>
      <c r="BB82" s="2" t="n">
        <v>558.41</v>
      </c>
      <c r="BC82" s="2">
        <f>F82+L82+R82+X82+AD82+AJ82+AP82+AV82+IF(BE82="",0,BE82)</f>
        <v/>
      </c>
      <c r="BD82" s="2" t="n">
        <v>8.599514000000001</v>
      </c>
      <c r="BE82" s="2" t="n"/>
      <c r="BF82" s="2" t="n">
        <v>580.6574074074074</v>
      </c>
      <c r="BG82" s="2" t="n">
        <v>458.58</v>
      </c>
      <c r="BH82" s="2" t="n">
        <v>0</v>
      </c>
      <c r="BI82" s="2" t="n">
        <v>32586.6</v>
      </c>
      <c r="BJ82" s="2" t="n">
        <v>87.34377049180328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7.538535</v>
      </c>
      <c r="BQ82" s="2" t="n">
        <v>0</v>
      </c>
      <c r="BR82" s="2" t="n">
        <v>33165.0623054918</v>
      </c>
      <c r="BS82" s="2" t="n">
        <v>938.6213934426229</v>
      </c>
      <c r="BT82" s="2" t="n">
        <v>393.4426229508197</v>
      </c>
      <c r="BU82" s="2" t="n">
        <v>6897.91755737705</v>
      </c>
      <c r="BV82" s="2" t="n">
        <v>8229.981573770492</v>
      </c>
      <c r="BW82" s="2" t="n">
        <v>41395.0438792623</v>
      </c>
      <c r="BX82" s="2" t="n">
        <v>558.41</v>
      </c>
      <c r="BY82" s="2" t="n">
        <v>0</v>
      </c>
      <c r="BZ82" s="2" t="n">
        <v>68.7</v>
      </c>
      <c r="CA82" s="2" t="n">
        <v>558.41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1257</v>
      </c>
      <c r="B83" t="inlineStr">
        <is>
          <t>Dworcowa 2, 61-801 Poznań</t>
        </is>
      </c>
      <c r="C83" t="inlineStr">
        <is>
          <t>Poznań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3022.41</v>
      </c>
      <c r="L83" s="2" t="n">
        <v>251.5876472222222</v>
      </c>
      <c r="M83" s="2" t="n">
        <v>2798.527777777777</v>
      </c>
      <c r="N83" s="2" t="n">
        <v>499.21</v>
      </c>
      <c r="O83" s="2" t="n">
        <v>2236.74</v>
      </c>
      <c r="P83" s="2" t="n">
        <v>286.46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3351.630000000001</v>
      </c>
      <c r="AD83" s="2" t="n">
        <v>214.1319166666667</v>
      </c>
      <c r="AE83" s="2" t="n">
        <v>3103.361111111111</v>
      </c>
      <c r="AF83" s="2" t="n">
        <v>508.55</v>
      </c>
      <c r="AG83" s="2" t="n">
        <v>2513.01</v>
      </c>
      <c r="AH83" s="2" t="n">
        <v>330.07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1298.19</v>
      </c>
      <c r="AP83" s="2" t="n">
        <v>94.96019444444445</v>
      </c>
      <c r="AQ83" s="2" t="n">
        <v>1202.027777777778</v>
      </c>
      <c r="AR83" s="2" t="n">
        <v>225.27</v>
      </c>
      <c r="AS83" s="2" t="n">
        <v>1007.02</v>
      </c>
      <c r="AT83" s="2" t="n">
        <v>65.90000000000001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7672.230000000001</v>
      </c>
      <c r="BB83" s="2" t="n">
        <v>6439.200000000001</v>
      </c>
      <c r="BC83" s="2">
        <f>F83+L83+R83+X83+AD83+AJ83+AP83+AV83+IF(BE83="",0,BE83)</f>
        <v/>
      </c>
      <c r="BD83" s="2" t="n">
        <v>99.16368000000001</v>
      </c>
      <c r="BE83" s="2" t="n"/>
      <c r="BF83" s="2" t="n">
        <v>7103.916666666666</v>
      </c>
      <c r="BG83" s="2" t="n">
        <v>458.58</v>
      </c>
      <c r="BH83" s="2" t="n">
        <v>0</v>
      </c>
      <c r="BI83" s="2" t="n">
        <v>32586.6</v>
      </c>
      <c r="BJ83" s="2" t="n">
        <v>87.34377049180328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86.92920000000001</v>
      </c>
      <c r="BQ83" s="2" t="n">
        <v>0</v>
      </c>
      <c r="BR83" s="2" t="n">
        <v>33244.4529704918</v>
      </c>
      <c r="BS83" s="2" t="n">
        <v>938.6213934426229</v>
      </c>
      <c r="BT83" s="2" t="n">
        <v>393.4426229508197</v>
      </c>
      <c r="BU83" s="2" t="n">
        <v>6897.91755737705</v>
      </c>
      <c r="BV83" s="2" t="n">
        <v>8229.981573770492</v>
      </c>
      <c r="BW83" s="2" t="n">
        <v>41474.43454426229</v>
      </c>
      <c r="BX83" s="2" t="n">
        <v>5756.77</v>
      </c>
      <c r="BY83" s="2" t="n">
        <v>682.4299999999999</v>
      </c>
      <c r="BZ83" s="2" t="n">
        <v>1233.03</v>
      </c>
      <c r="CA83" s="2" t="n">
        <v>6439.200000000001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1259</v>
      </c>
      <c r="B84" t="inlineStr">
        <is>
          <t>Kolejowa 4, 64-020 Czempin</t>
        </is>
      </c>
      <c r="C84" t="inlineStr">
        <is>
          <t>Czempiń</t>
        </is>
      </c>
      <c r="D84" t="inlineStr">
        <is>
          <t>ST|40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2760.07</v>
      </c>
      <c r="AD84" s="2" t="n">
        <v>176.3378055555555</v>
      </c>
      <c r="AE84" s="2" t="n">
        <v>2555.62037037037</v>
      </c>
      <c r="AF84" s="2" t="n">
        <v>1066.74</v>
      </c>
      <c r="AG84" s="2" t="n">
        <v>1693.33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1581.14</v>
      </c>
      <c r="AP84" s="2" t="n">
        <v>115.6574629629629</v>
      </c>
      <c r="AQ84" s="2" t="n">
        <v>1464.018518518518</v>
      </c>
      <c r="AR84" s="2" t="n">
        <v>350.38</v>
      </c>
      <c r="AS84" s="2" t="n">
        <v>1230.76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4341.209999999999</v>
      </c>
      <c r="BB84" s="2" t="n">
        <v>2924.09</v>
      </c>
      <c r="BC84" s="2">
        <f>F84+L84+R84+X84+AD84+AJ84+AP84+AV84+IF(BE84="",0,BE84)</f>
        <v/>
      </c>
      <c r="BD84" s="2" t="n">
        <v>45.030986</v>
      </c>
      <c r="BE84" s="2" t="n"/>
      <c r="BF84" s="2" t="n">
        <v>4019.638888888888</v>
      </c>
      <c r="BG84" s="2" t="n">
        <v>0</v>
      </c>
      <c r="BH84" s="2" t="n">
        <v>0</v>
      </c>
      <c r="BI84" s="2" t="n">
        <v>32586.6</v>
      </c>
      <c r="BJ84" s="2" t="n">
        <v>87.34377049180328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39.475215</v>
      </c>
      <c r="BQ84" s="2" t="n">
        <v>0</v>
      </c>
      <c r="BR84" s="2" t="n">
        <v>32738.4189854918</v>
      </c>
      <c r="BS84" s="2" t="n">
        <v>938.6213934426229</v>
      </c>
      <c r="BT84" s="2" t="n">
        <v>393.4426229508197</v>
      </c>
      <c r="BU84" s="2" t="n">
        <v>6806.20155737705</v>
      </c>
      <c r="BV84" s="2" t="n">
        <v>8138.265573770492</v>
      </c>
      <c r="BW84" s="2" t="n">
        <v>40876.68455926229</v>
      </c>
      <c r="BX84" s="2" t="n">
        <v>2924.09</v>
      </c>
      <c r="BY84" s="2" t="n">
        <v>0</v>
      </c>
      <c r="BZ84" s="2" t="n">
        <v>1417.12</v>
      </c>
      <c r="CA84" s="2" t="n">
        <v>2924.09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1261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19787.43</v>
      </c>
      <c r="L85" s="2" t="n">
        <v>1647.120330555556</v>
      </c>
      <c r="M85" s="2" t="n">
        <v>18321.69444444445</v>
      </c>
      <c r="N85" s="2" t="n">
        <v>2289.07</v>
      </c>
      <c r="O85" s="2" t="n">
        <v>17057.91</v>
      </c>
      <c r="P85" s="2" t="n">
        <v>440.45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24265.06</v>
      </c>
      <c r="X85" s="2" t="n">
        <v>750</v>
      </c>
      <c r="Y85" s="2" t="n">
        <v>22467.64814814815</v>
      </c>
      <c r="Z85" s="2" t="n">
        <v>2447.7</v>
      </c>
      <c r="AA85" s="2" t="n">
        <v>21448.93</v>
      </c>
      <c r="AB85" s="2" t="n">
        <v>368.43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8185.690000000001</v>
      </c>
      <c r="AP85" s="2" t="n">
        <v>598.7680648148148</v>
      </c>
      <c r="AQ85" s="2" t="n">
        <v>7579.342592592592</v>
      </c>
      <c r="AR85" s="2" t="n">
        <v>1523.04</v>
      </c>
      <c r="AS85" s="2" t="n">
        <v>6324.56</v>
      </c>
      <c r="AT85" s="2" t="n">
        <v>338.09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52238.18000000001</v>
      </c>
      <c r="BB85" s="2" t="n">
        <v>45978.37</v>
      </c>
      <c r="BC85" s="2">
        <f>F85+L85+R85+X85+AD85+AJ85+AP85+AV85+IF(BE85="",0,BE85)</f>
        <v/>
      </c>
      <c r="BD85" s="2" t="n">
        <v>666.613914</v>
      </c>
      <c r="BE85" s="2" t="n"/>
      <c r="BF85" s="2" t="n">
        <v>48368.68518518519</v>
      </c>
      <c r="BG85" s="2" t="n">
        <v>1495</v>
      </c>
      <c r="BH85" s="2" t="n">
        <v>0</v>
      </c>
      <c r="BI85" s="2" t="n">
        <v>32586.6</v>
      </c>
      <c r="BJ85" s="2" t="n">
        <v>87.34377049180328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620.707995</v>
      </c>
      <c r="BQ85" s="2" t="n">
        <v>0</v>
      </c>
      <c r="BR85" s="2" t="n">
        <v>34814.6517654918</v>
      </c>
      <c r="BS85" s="2" t="n">
        <v>938.6213934426229</v>
      </c>
      <c r="BT85" s="2" t="n">
        <v>393.4426229508197</v>
      </c>
      <c r="BU85" s="2" t="n">
        <v>7105.20155737705</v>
      </c>
      <c r="BV85" s="2" t="n">
        <v>8437.265573770492</v>
      </c>
      <c r="BW85" s="2" t="n">
        <v>43251.91733926229</v>
      </c>
      <c r="BX85" s="2" t="n">
        <v>44831.39999999999</v>
      </c>
      <c r="BY85" s="2" t="n">
        <v>1146.97</v>
      </c>
      <c r="BZ85" s="2" t="n">
        <v>6259.81</v>
      </c>
      <c r="CA85" s="2" t="n">
        <v>45978.37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1262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15823.51</v>
      </c>
      <c r="L86" s="2" t="n">
        <v>1317.160693518519</v>
      </c>
      <c r="M86" s="2" t="n">
        <v>14651.39814814815</v>
      </c>
      <c r="N86" s="2" t="n">
        <v>3635.28</v>
      </c>
      <c r="O86" s="2" t="n">
        <v>11640.15</v>
      </c>
      <c r="P86" s="2" t="n">
        <v>548.08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13257.06</v>
      </c>
      <c r="X86" s="2" t="n">
        <v>750</v>
      </c>
      <c r="Y86" s="2" t="n">
        <v>12275.05555555555</v>
      </c>
      <c r="Z86" s="2" t="n">
        <v>1990.32</v>
      </c>
      <c r="AA86" s="2" t="n">
        <v>11092.85</v>
      </c>
      <c r="AB86" s="2" t="n">
        <v>173.89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7507.09</v>
      </c>
      <c r="AP86" s="2" t="n">
        <v>549.1297314814815</v>
      </c>
      <c r="AQ86" s="2" t="n">
        <v>6951.009259259259</v>
      </c>
      <c r="AR86" s="2" t="n">
        <v>1326.34</v>
      </c>
      <c r="AS86" s="2" t="n">
        <v>6072.31</v>
      </c>
      <c r="AT86" s="2" t="n">
        <v>108.44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36587.66</v>
      </c>
      <c r="BB86" s="2" t="n">
        <v>29635.72</v>
      </c>
      <c r="BC86" s="2">
        <f>F86+L86+R86+X86+AD86+AJ86+AP86+AV86+IF(BE86="",0,BE86)</f>
        <v/>
      </c>
      <c r="BD86" s="2" t="n">
        <v>434.983282</v>
      </c>
      <c r="BE86" s="2" t="n"/>
      <c r="BF86" s="2" t="n">
        <v>33877.46296296296</v>
      </c>
      <c r="BG86" s="2" t="n">
        <v>1495</v>
      </c>
      <c r="BH86" s="2" t="n">
        <v>0</v>
      </c>
      <c r="BI86" s="2" t="n">
        <v>32586.6</v>
      </c>
      <c r="BJ86" s="2" t="n">
        <v>87.34377049180328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400.08222</v>
      </c>
      <c r="BQ86" s="2" t="n">
        <v>0</v>
      </c>
      <c r="BR86" s="2" t="n">
        <v>34594.0259904918</v>
      </c>
      <c r="BS86" s="2" t="n">
        <v>938.6213934426229</v>
      </c>
      <c r="BT86" s="2" t="n">
        <v>393.4426229508197</v>
      </c>
      <c r="BU86" s="2" t="n">
        <v>7105.20155737705</v>
      </c>
      <c r="BV86" s="2" t="n">
        <v>8437.265573770492</v>
      </c>
      <c r="BW86" s="2" t="n">
        <v>43031.29156426229</v>
      </c>
      <c r="BX86" s="2" t="n">
        <v>28805.31</v>
      </c>
      <c r="BY86" s="2" t="n">
        <v>830.4100000000001</v>
      </c>
      <c r="BZ86" s="2" t="n">
        <v>6951.940000000001</v>
      </c>
      <c r="CA86" s="2" t="n">
        <v>29635.72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1263</v>
      </c>
      <c r="B87" t="inlineStr">
        <is>
          <t>Pawia 5a, 31-154 Kraków</t>
        </is>
      </c>
      <c r="C87" t="inlineStr">
        <is>
          <t>Kraków Główny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76934.21000000001</v>
      </c>
      <c r="L87" s="2" t="n">
        <v>6404.060628703704</v>
      </c>
      <c r="M87" s="2" t="n">
        <v>71235.37962962964</v>
      </c>
      <c r="N87" s="2" t="n">
        <v>5808.28</v>
      </c>
      <c r="O87" s="2" t="n">
        <v>69867.58</v>
      </c>
      <c r="P87" s="2" t="n">
        <v>1258.35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86920.34</v>
      </c>
      <c r="X87" s="2" t="n">
        <v>750</v>
      </c>
      <c r="Y87" s="2" t="n">
        <v>80481.79629629629</v>
      </c>
      <c r="Z87" s="2" t="n">
        <v>8403.620000000001</v>
      </c>
      <c r="AA87" s="2" t="n">
        <v>77491.99000000001</v>
      </c>
      <c r="AB87" s="2" t="n">
        <v>1024.73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23702.49</v>
      </c>
      <c r="AP87" s="2" t="n">
        <v>1733.79325</v>
      </c>
      <c r="AQ87" s="2" t="n">
        <v>21946.75</v>
      </c>
      <c r="AR87" s="2" t="n">
        <v>2936.5</v>
      </c>
      <c r="AS87" s="2" t="n">
        <v>19920.86</v>
      </c>
      <c r="AT87" s="2" t="n">
        <v>845.13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187557.04</v>
      </c>
      <c r="BB87" s="2" t="n">
        <v>170408.64</v>
      </c>
      <c r="BC87" s="2">
        <f>F87+L87+R87+X87+AD87+AJ87+AP87+AV87+IF(BE87="",0,BE87)</f>
        <v/>
      </c>
      <c r="BD87" s="2" t="n">
        <v>2475.111288</v>
      </c>
      <c r="BE87" s="2" t="n"/>
      <c r="BF87" s="2" t="n">
        <v>173663.9259259259</v>
      </c>
      <c r="BG87" s="2" t="n">
        <v>1495</v>
      </c>
      <c r="BH87" s="2" t="n">
        <v>0</v>
      </c>
      <c r="BI87" s="2" t="n">
        <v>32586.6</v>
      </c>
      <c r="BJ87" s="2" t="n">
        <v>87.34377049180328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2300.51664</v>
      </c>
      <c r="BQ87" s="2" t="n">
        <v>0</v>
      </c>
      <c r="BR87" s="2" t="n">
        <v>36494.4604104918</v>
      </c>
      <c r="BS87" s="2" t="n">
        <v>938.6213934426229</v>
      </c>
      <c r="BT87" s="2" t="n">
        <v>393.4426229508197</v>
      </c>
      <c r="BU87" s="2" t="n">
        <v>7105.20155737705</v>
      </c>
      <c r="BV87" s="2" t="n">
        <v>8437.265573770492</v>
      </c>
      <c r="BW87" s="2" t="n">
        <v>44931.7259842623</v>
      </c>
      <c r="BX87" s="2" t="n">
        <v>167280.43</v>
      </c>
      <c r="BY87" s="2" t="n">
        <v>3128.21</v>
      </c>
      <c r="BZ87" s="2" t="n">
        <v>17148.4</v>
      </c>
      <c r="CA87" s="2" t="n">
        <v>170408.64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1264</v>
      </c>
      <c r="B88" t="inlineStr">
        <is>
          <t>Dworcowa 1, 66-400 Gorzów Wlkp</t>
        </is>
      </c>
      <c r="C88" t="inlineStr">
        <is>
          <t>Gorzów Wielkopolski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2855.14</v>
      </c>
      <c r="L88" s="2" t="n">
        <v>237.6639685185185</v>
      </c>
      <c r="M88" s="2" t="n">
        <v>2643.648148148148</v>
      </c>
      <c r="N88" s="2" t="n">
        <v>469.7</v>
      </c>
      <c r="O88" s="2" t="n">
        <v>2169.44</v>
      </c>
      <c r="P88" s="2" t="n">
        <v>216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13196.11</v>
      </c>
      <c r="AP88" s="2" t="n">
        <v>965.2710092592592</v>
      </c>
      <c r="AQ88" s="2" t="n">
        <v>12218.62037037037</v>
      </c>
      <c r="AR88" s="2" t="n">
        <v>3999.35</v>
      </c>
      <c r="AS88" s="2" t="n">
        <v>7993.82</v>
      </c>
      <c r="AT88" s="2" t="n">
        <v>1202.94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16051.25</v>
      </c>
      <c r="BB88" s="2" t="n">
        <v>11582.2</v>
      </c>
      <c r="BC88" s="2">
        <f>F88+L88+R88+X88+AD88+AJ88+AP88+AV88+IF(BE88="",0,BE88)</f>
        <v/>
      </c>
      <c r="BD88" s="2" t="n">
        <v>178.36588</v>
      </c>
      <c r="BE88" s="2" t="n"/>
      <c r="BF88" s="2" t="n">
        <v>14862.26851851852</v>
      </c>
      <c r="BG88" s="2" t="n">
        <v>366.96</v>
      </c>
      <c r="BH88" s="2" t="n">
        <v>255</v>
      </c>
      <c r="BI88" s="2" t="n">
        <v>32586.6</v>
      </c>
      <c r="BJ88" s="2" t="n">
        <v>87.34377049180328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156.3597</v>
      </c>
      <c r="BQ88" s="2" t="n">
        <v>0</v>
      </c>
      <c r="BR88" s="2" t="n">
        <v>33477.2634704918</v>
      </c>
      <c r="BS88" s="2" t="n">
        <v>938.6213934426229</v>
      </c>
      <c r="BT88" s="2" t="n">
        <v>393.4426229508197</v>
      </c>
      <c r="BU88" s="2" t="n">
        <v>6930.593557377049</v>
      </c>
      <c r="BV88" s="2" t="n">
        <v>8262.657573770492</v>
      </c>
      <c r="BW88" s="2" t="n">
        <v>41739.92104426229</v>
      </c>
      <c r="BX88" s="2" t="n">
        <v>10163.26</v>
      </c>
      <c r="BY88" s="2" t="n">
        <v>1418.94</v>
      </c>
      <c r="BZ88" s="2" t="n">
        <v>4469.05</v>
      </c>
      <c r="CA88" s="2" t="n">
        <v>11582.2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1265</v>
      </c>
      <c r="B89" t="inlineStr">
        <is>
          <t>pl. Kolejarza 1, 65-024 Zielona Góra</t>
        </is>
      </c>
      <c r="C89" t="inlineStr">
        <is>
          <t>Zielona Góra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4004.76</v>
      </c>
      <c r="L89" s="2" t="n">
        <v>333.3591888888889</v>
      </c>
      <c r="M89" s="2" t="n">
        <v>3708.111111111111</v>
      </c>
      <c r="N89" s="2" t="n">
        <v>1689.02</v>
      </c>
      <c r="O89" s="2" t="n">
        <v>2094.89</v>
      </c>
      <c r="P89" s="2" t="n">
        <v>220.85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8916.959999999999</v>
      </c>
      <c r="AP89" s="2" t="n">
        <v>652.259111111111</v>
      </c>
      <c r="AQ89" s="2" t="n">
        <v>8256.444444444443</v>
      </c>
      <c r="AR89" s="2" t="n">
        <v>4845.04</v>
      </c>
      <c r="AS89" s="2" t="n">
        <v>2797.85</v>
      </c>
      <c r="AT89" s="2" t="n">
        <v>1274.07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12921.72</v>
      </c>
      <c r="BB89" s="2" t="n">
        <v>6387.66</v>
      </c>
      <c r="BC89" s="2">
        <f>F89+L89+R89+X89+AD89+AJ89+AP89+AV89+IF(BE89="",0,BE89)</f>
        <v/>
      </c>
      <c r="BD89" s="2" t="n">
        <v>98.36996400000001</v>
      </c>
      <c r="BE89" s="2" t="n"/>
      <c r="BF89" s="2" t="n">
        <v>11964.55555555555</v>
      </c>
      <c r="BG89" s="2" t="n">
        <v>366.96</v>
      </c>
      <c r="BH89" s="2" t="n">
        <v>155</v>
      </c>
      <c r="BI89" s="2" t="n">
        <v>32586.6</v>
      </c>
      <c r="BJ89" s="2" t="n">
        <v>87.34377049180328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86.23340999999999</v>
      </c>
      <c r="BQ89" s="2" t="n">
        <v>0</v>
      </c>
      <c r="BR89" s="2" t="n">
        <v>33307.1371804918</v>
      </c>
      <c r="BS89" s="2" t="n">
        <v>938.6213934426229</v>
      </c>
      <c r="BT89" s="2" t="n">
        <v>393.4426229508197</v>
      </c>
      <c r="BU89" s="2" t="n">
        <v>6910.593557377049</v>
      </c>
      <c r="BV89" s="2" t="n">
        <v>8242.657573770492</v>
      </c>
      <c r="BW89" s="2" t="n">
        <v>41549.79475426229</v>
      </c>
      <c r="BX89" s="2" t="n">
        <v>4892.74</v>
      </c>
      <c r="BY89" s="2" t="n">
        <v>1494.92</v>
      </c>
      <c r="BZ89" s="2" t="n">
        <v>6534.059999999999</v>
      </c>
      <c r="CA89" s="2" t="n">
        <v>6387.66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1266</v>
      </c>
      <c r="B90" t="inlineStr">
        <is>
          <t>Dworcowa 1, 64-100 Leszno</t>
        </is>
      </c>
      <c r="C90" t="inlineStr">
        <is>
          <t>Leszno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12647.94</v>
      </c>
      <c r="L90" s="2" t="n">
        <v>1052.823894444444</v>
      </c>
      <c r="M90" s="2" t="n">
        <v>11711.05555555555</v>
      </c>
      <c r="N90" s="2" t="n">
        <v>2134.11</v>
      </c>
      <c r="O90" s="2" t="n">
        <v>10513.83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7840.48</v>
      </c>
      <c r="AD90" s="2" t="n">
        <v>500.9195555555555</v>
      </c>
      <c r="AE90" s="2" t="n">
        <v>7259.703703703703</v>
      </c>
      <c r="AF90" s="2" t="n">
        <v>1601.04</v>
      </c>
      <c r="AG90" s="2" t="n">
        <v>6239.44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5380.72</v>
      </c>
      <c r="AP90" s="2" t="n">
        <v>393.5897037037037</v>
      </c>
      <c r="AQ90" s="2" t="n">
        <v>4982.148148148148</v>
      </c>
      <c r="AR90" s="2" t="n">
        <v>1041.83</v>
      </c>
      <c r="AS90" s="2" t="n">
        <v>4338.89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25869.14</v>
      </c>
      <c r="BB90" s="2" t="n">
        <v>21092.16</v>
      </c>
      <c r="BC90" s="2">
        <f>F90+L90+R90+X90+AD90+AJ90+AP90+AV90+IF(BE90="",0,BE90)</f>
        <v/>
      </c>
      <c r="BD90" s="2" t="n">
        <v>324.819264</v>
      </c>
      <c r="BE90" s="2" t="n"/>
      <c r="BF90" s="2" t="n">
        <v>23952.9074074074</v>
      </c>
      <c r="BG90" s="2" t="n">
        <v>0</v>
      </c>
      <c r="BH90" s="2" t="n">
        <v>121.8</v>
      </c>
      <c r="BI90" s="2" t="n">
        <v>32586.6</v>
      </c>
      <c r="BJ90" s="2" t="n">
        <v>87.34377049180328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284.74416</v>
      </c>
      <c r="BQ90" s="2" t="n">
        <v>0</v>
      </c>
      <c r="BR90" s="2" t="n">
        <v>33105.4879304918</v>
      </c>
      <c r="BS90" s="2" t="n">
        <v>938.6213934426229</v>
      </c>
      <c r="BT90" s="2" t="n">
        <v>393.4426229508197</v>
      </c>
      <c r="BU90" s="2" t="n">
        <v>6830.56155737705</v>
      </c>
      <c r="BV90" s="2" t="n">
        <v>8162.625573770492</v>
      </c>
      <c r="BW90" s="2" t="n">
        <v>41268.11350426229</v>
      </c>
      <c r="BX90" s="2" t="n">
        <v>21092.16</v>
      </c>
      <c r="BY90" s="2" t="n">
        <v>0</v>
      </c>
      <c r="BZ90" s="2" t="n">
        <v>4776.98</v>
      </c>
      <c r="CA90" s="2" t="n">
        <v>21092.16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1267</v>
      </c>
      <c r="B91" t="inlineStr">
        <is>
          <t>Pawia 5a, 31-154 Kraków</t>
        </is>
      </c>
      <c r="C91" t="inlineStr">
        <is>
          <t>Kraków Główny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20867.31</v>
      </c>
      <c r="L91" s="2" t="n">
        <v>1737.010341666667</v>
      </c>
      <c r="M91" s="2" t="n">
        <v>19321.58333333333</v>
      </c>
      <c r="N91" s="2" t="n">
        <v>2616.29</v>
      </c>
      <c r="O91" s="2" t="n">
        <v>17500.87</v>
      </c>
      <c r="P91" s="2" t="n">
        <v>750.15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30766.8</v>
      </c>
      <c r="X91" s="2" t="n">
        <v>750</v>
      </c>
      <c r="Y91" s="2" t="n">
        <v>28487.77777777777</v>
      </c>
      <c r="Z91" s="2" t="n">
        <v>3453.62</v>
      </c>
      <c r="AA91" s="2" t="n">
        <v>26816.5</v>
      </c>
      <c r="AB91" s="2" t="n">
        <v>496.68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6109.280000000001</v>
      </c>
      <c r="AP91" s="2" t="n">
        <v>446.8825185185185</v>
      </c>
      <c r="AQ91" s="2" t="n">
        <v>5656.740740740741</v>
      </c>
      <c r="AR91" s="2" t="n">
        <v>1282.15</v>
      </c>
      <c r="AS91" s="2" t="n">
        <v>4529.61</v>
      </c>
      <c r="AT91" s="2" t="n">
        <v>297.52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57743.39</v>
      </c>
      <c r="BB91" s="2" t="n">
        <v>50391.32999999999</v>
      </c>
      <c r="BC91" s="2">
        <f>F91+L91+R91+X91+AD91+AJ91+AP91+AV91+IF(BE91="",0,BE91)</f>
        <v/>
      </c>
      <c r="BD91" s="2" t="n">
        <v>724.1314400000001</v>
      </c>
      <c r="BE91" s="2" t="n"/>
      <c r="BF91" s="2" t="n">
        <v>53466.10185185185</v>
      </c>
      <c r="BG91" s="2" t="n">
        <v>1056.72</v>
      </c>
      <c r="BH91" s="2" t="n">
        <v>317</v>
      </c>
      <c r="BI91" s="2" t="n">
        <v>32586.6</v>
      </c>
      <c r="BJ91" s="2" t="n">
        <v>87.34377049180328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680.282955</v>
      </c>
      <c r="BQ91" s="2" t="n">
        <v>0</v>
      </c>
      <c r="BR91" s="2" t="n">
        <v>34752.94672549181</v>
      </c>
      <c r="BS91" s="2" t="n">
        <v>938.6213934426229</v>
      </c>
      <c r="BT91" s="2" t="n">
        <v>393.4426229508197</v>
      </c>
      <c r="BU91" s="2" t="n">
        <v>7080.94555737705</v>
      </c>
      <c r="BV91" s="2" t="n">
        <v>8413.009573770492</v>
      </c>
      <c r="BW91" s="2" t="n">
        <v>43165.9562992623</v>
      </c>
      <c r="BX91" s="2" t="n">
        <v>48846.98</v>
      </c>
      <c r="BY91" s="2" t="n">
        <v>1544.35</v>
      </c>
      <c r="BZ91" s="2" t="n">
        <v>7352.059999999999</v>
      </c>
      <c r="CA91" s="2" t="n">
        <v>50391.32999999999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1268</v>
      </c>
      <c r="B92" t="inlineStr">
        <is>
          <t>Kolejowa 5, 83-200 Starogard Gdański</t>
        </is>
      </c>
      <c r="C92" t="inlineStr">
        <is>
          <t>Starogard Gdański</t>
        </is>
      </c>
      <c r="D92" t="inlineStr">
        <is>
          <t>FAA2000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23486.26</v>
      </c>
      <c r="AP92" s="2" t="n">
        <v>4177</v>
      </c>
      <c r="AQ92" s="2" t="n">
        <v>21746.53703703704</v>
      </c>
      <c r="AR92" s="2" t="n">
        <v>8792.120000000001</v>
      </c>
      <c r="AS92" s="2" t="n">
        <v>13818.12</v>
      </c>
      <c r="AT92" s="2" t="n">
        <v>876.02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23486.26</v>
      </c>
      <c r="BB92" s="2" t="n">
        <v>14694.14</v>
      </c>
      <c r="BC92" s="2">
        <f>F92+L92+R92+X92+AD92+AJ92+AP92+AV92+IF(BE92="",0,BE92)</f>
        <v/>
      </c>
      <c r="BD92" s="2" t="n">
        <v>226.289756</v>
      </c>
      <c r="BE92" s="2" t="n"/>
      <c r="BF92" s="2" t="n">
        <v>21746.53703703704</v>
      </c>
      <c r="BG92" s="2" t="n">
        <v>0</v>
      </c>
      <c r="BH92" s="2" t="n">
        <v>0</v>
      </c>
      <c r="BI92" s="2" t="n">
        <v>32586.6</v>
      </c>
      <c r="BJ92" s="2" t="n">
        <v>87.34377049180328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198.37089</v>
      </c>
      <c r="BQ92" s="2" t="n">
        <v>0</v>
      </c>
      <c r="BR92" s="2" t="n">
        <v>32897.3146604918</v>
      </c>
      <c r="BS92" s="2" t="n">
        <v>938.6213934426229</v>
      </c>
      <c r="BT92" s="2" t="n">
        <v>393.4426229508197</v>
      </c>
      <c r="BU92" s="2" t="n">
        <v>6806.20155737705</v>
      </c>
      <c r="BV92" s="2" t="n">
        <v>8138.265573770492</v>
      </c>
      <c r="BW92" s="2" t="n">
        <v>41035.58023426229</v>
      </c>
      <c r="BX92" s="2" t="n">
        <v>13818.12</v>
      </c>
      <c r="BY92" s="2" t="n">
        <v>876.02</v>
      </c>
      <c r="BZ92" s="2" t="n">
        <v>8792.120000000001</v>
      </c>
      <c r="CA92" s="2" t="n">
        <v>14694.14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1269</v>
      </c>
      <c r="B93" t="inlineStr">
        <is>
          <t>Podwale Grodzkie 1, 80-895 Gdańsk</t>
        </is>
      </c>
      <c r="C93" t="inlineStr">
        <is>
          <t>Gdańsk Główny</t>
        </is>
      </c>
      <c r="D93" t="inlineStr">
        <is>
          <t>ST|40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12705.29</v>
      </c>
      <c r="L93" s="2" t="n">
        <v>1057.597750925926</v>
      </c>
      <c r="M93" s="2" t="n">
        <v>11764.15740740741</v>
      </c>
      <c r="N93" s="2" t="n">
        <v>4465.83</v>
      </c>
      <c r="O93" s="2" t="n">
        <v>8037.46</v>
      </c>
      <c r="P93" s="2" t="n">
        <v>202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8052.41</v>
      </c>
      <c r="AP93" s="2" t="n">
        <v>589.0188796296295</v>
      </c>
      <c r="AQ93" s="2" t="n">
        <v>7455.935185185184</v>
      </c>
      <c r="AR93" s="2" t="n">
        <v>2755.99</v>
      </c>
      <c r="AS93" s="2" t="n">
        <v>4924.02</v>
      </c>
      <c r="AT93" s="2" t="n">
        <v>372.4</v>
      </c>
      <c r="AU93" s="2" t="n">
        <v>2517.5</v>
      </c>
      <c r="AV93" s="2" t="n">
        <v>100.2337962962963</v>
      </c>
      <c r="AW93" s="2" t="n">
        <v>2331.018518518518</v>
      </c>
      <c r="AX93" s="2" t="n">
        <v>301.55</v>
      </c>
      <c r="AY93" s="2" t="n">
        <v>2165.95</v>
      </c>
      <c r="AZ93" s="2" t="n">
        <v>50</v>
      </c>
      <c r="BA93" s="2" t="n">
        <v>23275.2</v>
      </c>
      <c r="BB93" s="2" t="n">
        <v>15751.83</v>
      </c>
      <c r="BC93" s="2">
        <f>F93+L93+R93+X93+AD93+AJ93+AP93+AV93+IF(BE93="",0,BE93)</f>
        <v/>
      </c>
      <c r="BD93" s="2" t="n">
        <v>242.578182</v>
      </c>
      <c r="BE93" s="2" t="n"/>
      <c r="BF93" s="2" t="n">
        <v>21551.11111111111</v>
      </c>
      <c r="BG93" s="2" t="n">
        <v>0</v>
      </c>
      <c r="BH93" s="2" t="n">
        <v>0</v>
      </c>
      <c r="BI93" s="2" t="n">
        <v>32586.6</v>
      </c>
      <c r="BJ93" s="2" t="n">
        <v>87.34377049180328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212.649705</v>
      </c>
      <c r="BQ93" s="2" t="n">
        <v>0</v>
      </c>
      <c r="BR93" s="2" t="n">
        <v>32911.59347549181</v>
      </c>
      <c r="BS93" s="2" t="n">
        <v>938.6213934426229</v>
      </c>
      <c r="BT93" s="2" t="n">
        <v>393.4426229508197</v>
      </c>
      <c r="BU93" s="2" t="n">
        <v>6806.20155737705</v>
      </c>
      <c r="BV93" s="2" t="n">
        <v>8138.265573770492</v>
      </c>
      <c r="BW93" s="2" t="n">
        <v>41049.8590492623</v>
      </c>
      <c r="BX93" s="2" t="n">
        <v>15127.43</v>
      </c>
      <c r="BY93" s="2" t="n">
        <v>624.4</v>
      </c>
      <c r="BZ93" s="2" t="n">
        <v>7523.37</v>
      </c>
      <c r="CA93" s="2" t="n">
        <v>15751.83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1270</v>
      </c>
      <c r="B94" t="inlineStr">
        <is>
          <t>Marii Konopnickiej 10, 10-168 Olsztyn</t>
        </is>
      </c>
      <c r="C94" t="inlineStr">
        <is>
          <t>Olsztyn Zachodni</t>
        </is>
      </c>
      <c r="D94" t="inlineStr">
        <is>
          <t>FAA2000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12871.05</v>
      </c>
      <c r="L94" s="2" t="n">
        <v>1071.395736111111</v>
      </c>
      <c r="M94" s="2" t="n">
        <v>11917.63888888889</v>
      </c>
      <c r="N94" s="2" t="n">
        <v>2636.9</v>
      </c>
      <c r="O94" s="2" t="n">
        <v>9912.4</v>
      </c>
      <c r="P94" s="2" t="n">
        <v>321.75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7612.09</v>
      </c>
      <c r="AP94" s="2" t="n">
        <v>556.810287037037</v>
      </c>
      <c r="AQ94" s="2" t="n">
        <v>7048.231481481481</v>
      </c>
      <c r="AR94" s="2" t="n">
        <v>2070.38</v>
      </c>
      <c r="AS94" s="2" t="n">
        <v>5274.24</v>
      </c>
      <c r="AT94" s="2" t="n">
        <v>267.47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20483.14</v>
      </c>
      <c r="BB94" s="2" t="n">
        <v>15775.86</v>
      </c>
      <c r="BC94" s="2">
        <f>F94+L94+R94+X94+AD94+AJ94+AP94+AV94+IF(BE94="",0,BE94)</f>
        <v/>
      </c>
      <c r="BD94" s="2" t="n">
        <v>242.948244</v>
      </c>
      <c r="BE94" s="2" t="n"/>
      <c r="BF94" s="2" t="n">
        <v>18965.87037037037</v>
      </c>
      <c r="BG94" s="2" t="n">
        <v>343</v>
      </c>
      <c r="BH94" s="2" t="n">
        <v>0</v>
      </c>
      <c r="BI94" s="2" t="n">
        <v>32586.6</v>
      </c>
      <c r="BJ94" s="2" t="n">
        <v>87.34377049180328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212.97411</v>
      </c>
      <c r="BQ94" s="2" t="n">
        <v>0</v>
      </c>
      <c r="BR94" s="2" t="n">
        <v>33254.9178804918</v>
      </c>
      <c r="BS94" s="2" t="n">
        <v>938.6213934426229</v>
      </c>
      <c r="BT94" s="2" t="n">
        <v>393.4426229508197</v>
      </c>
      <c r="BU94" s="2" t="n">
        <v>6874.80155737705</v>
      </c>
      <c r="BV94" s="2" t="n">
        <v>8206.865573770492</v>
      </c>
      <c r="BW94" s="2" t="n">
        <v>41461.78345426229</v>
      </c>
      <c r="BX94" s="2" t="n">
        <v>15186.64</v>
      </c>
      <c r="BY94" s="2" t="n">
        <v>589.22</v>
      </c>
      <c r="BZ94" s="2" t="n">
        <v>4707.280000000001</v>
      </c>
      <c r="CA94" s="2" t="n">
        <v>15775.86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1271</v>
      </c>
      <c r="B95" t="inlineStr">
        <is>
          <t>Zygmunta Augusta 7, 85-082 Bydgoszcz</t>
        </is>
      </c>
      <c r="C95" t="inlineStr">
        <is>
          <t>Bydgoszcz</t>
        </is>
      </c>
      <c r="D95" t="inlineStr">
        <is>
          <t>FAA2000</t>
        </is>
      </c>
      <c r="E95" s="2" t="n">
        <v>7415.92</v>
      </c>
      <c r="F95" s="2" t="n">
        <v>1000</v>
      </c>
      <c r="G95" s="2" t="n">
        <v>6866.592592592592</v>
      </c>
      <c r="H95" s="2" t="n">
        <v>1313.5</v>
      </c>
      <c r="I95" s="2" t="n">
        <v>5592.62</v>
      </c>
      <c r="J95" s="2" t="n">
        <v>509.8</v>
      </c>
      <c r="K95" s="2" t="n">
        <v>17819.07</v>
      </c>
      <c r="L95" s="2" t="n">
        <v>1483.272586111111</v>
      </c>
      <c r="M95" s="2" t="n">
        <v>16499.13888888889</v>
      </c>
      <c r="N95" s="2" t="n">
        <v>3675.27</v>
      </c>
      <c r="O95" s="2" t="n">
        <v>12982.7</v>
      </c>
      <c r="P95" s="2" t="n">
        <v>1161.1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18560.56</v>
      </c>
      <c r="AP95" s="2" t="n">
        <v>1357.670592592593</v>
      </c>
      <c r="AQ95" s="2" t="n">
        <v>17185.7037037037</v>
      </c>
      <c r="AR95" s="2" t="n">
        <v>3850.51</v>
      </c>
      <c r="AS95" s="2" t="n">
        <v>13607.32</v>
      </c>
      <c r="AT95" s="2" t="n">
        <v>1102.73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43795.55</v>
      </c>
      <c r="BB95" s="2" t="n">
        <v>34956.27</v>
      </c>
      <c r="BC95" s="2">
        <f>F95+L95+R95+X95+AD95+AJ95+AP95+AV95+IF(BE95="",0,BE95)</f>
        <v/>
      </c>
      <c r="BD95" s="2" t="n">
        <v>538.326558</v>
      </c>
      <c r="BE95" s="2" t="n"/>
      <c r="BF95" s="2" t="n">
        <v>40551.43518518518</v>
      </c>
      <c r="BG95" s="2" t="n">
        <v>381.38</v>
      </c>
      <c r="BH95" s="2" t="n">
        <v>148.23</v>
      </c>
      <c r="BI95" s="2" t="n">
        <v>32586.6</v>
      </c>
      <c r="BJ95" s="2" t="n">
        <v>87.34377049180328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471.909645</v>
      </c>
      <c r="BQ95" s="2" t="n">
        <v>0</v>
      </c>
      <c r="BR95" s="2" t="n">
        <v>33700.4634154918</v>
      </c>
      <c r="BS95" s="2" t="n">
        <v>938.6213934426229</v>
      </c>
      <c r="BT95" s="2" t="n">
        <v>393.4426229508197</v>
      </c>
      <c r="BU95" s="2" t="n">
        <v>6912.12355737705</v>
      </c>
      <c r="BV95" s="2" t="n">
        <v>8244.187573770492</v>
      </c>
      <c r="BW95" s="2" t="n">
        <v>41944.65098926229</v>
      </c>
      <c r="BX95" s="2" t="n">
        <v>32182.64</v>
      </c>
      <c r="BY95" s="2" t="n">
        <v>2773.63</v>
      </c>
      <c r="BZ95" s="2" t="n">
        <v>8839.280000000001</v>
      </c>
      <c r="CA95" s="2" t="n">
        <v>34956.27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1272</v>
      </c>
      <c r="B96" t="inlineStr">
        <is>
          <t>Dworcowa 115, 88-110 Inowrocław</t>
        </is>
      </c>
      <c r="C96" t="inlineStr">
        <is>
          <t>Inowrocław</t>
        </is>
      </c>
      <c r="D96" t="inlineStr">
        <is>
          <t>FAA2000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9509.190000000001</v>
      </c>
      <c r="L96" s="2" t="n">
        <v>791.5520194444445</v>
      </c>
      <c r="M96" s="2" t="n">
        <v>8804.805555555555</v>
      </c>
      <c r="N96" s="2" t="n">
        <v>3010.4</v>
      </c>
      <c r="O96" s="2" t="n">
        <v>5829.42</v>
      </c>
      <c r="P96" s="2" t="n">
        <v>669.37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9296.170000000002</v>
      </c>
      <c r="AP96" s="2" t="n">
        <v>679.9976203703704</v>
      </c>
      <c r="AQ96" s="2" t="n">
        <v>8607.564814814816</v>
      </c>
      <c r="AR96" s="2" t="n">
        <v>3580.21</v>
      </c>
      <c r="AS96" s="2" t="n">
        <v>5220.6</v>
      </c>
      <c r="AT96" s="2" t="n">
        <v>495.36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18805.36</v>
      </c>
      <c r="BB96" s="2" t="n">
        <v>12214.75</v>
      </c>
      <c r="BC96" s="2">
        <f>F96+L96+R96+X96+AD96+AJ96+AP96+AV96+IF(BE96="",0,BE96)</f>
        <v/>
      </c>
      <c r="BD96" s="2" t="n">
        <v>188.10715</v>
      </c>
      <c r="BE96" s="2" t="n"/>
      <c r="BF96" s="2" t="n">
        <v>17412.37037037037</v>
      </c>
      <c r="BG96" s="2" t="n">
        <v>382</v>
      </c>
      <c r="BH96" s="2" t="n">
        <v>146.3</v>
      </c>
      <c r="BI96" s="2" t="n">
        <v>32586.6</v>
      </c>
      <c r="BJ96" s="2" t="n">
        <v>87.34377049180328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164.899125</v>
      </c>
      <c r="BQ96" s="2" t="n">
        <v>0</v>
      </c>
      <c r="BR96" s="2" t="n">
        <v>33392.14289549181</v>
      </c>
      <c r="BS96" s="2" t="n">
        <v>938.6213934426229</v>
      </c>
      <c r="BT96" s="2" t="n">
        <v>393.4426229508197</v>
      </c>
      <c r="BU96" s="2" t="n">
        <v>6911.86155737705</v>
      </c>
      <c r="BV96" s="2" t="n">
        <v>8243.925573770493</v>
      </c>
      <c r="BW96" s="2" t="n">
        <v>41636.0684692623</v>
      </c>
      <c r="BX96" s="2" t="n">
        <v>11050.02</v>
      </c>
      <c r="BY96" s="2" t="n">
        <v>1164.73</v>
      </c>
      <c r="BZ96" s="2" t="n">
        <v>6590.610000000001</v>
      </c>
      <c r="CA96" s="2" t="n">
        <v>12214.75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1273</v>
      </c>
      <c r="B97" t="inlineStr">
        <is>
          <t>Towarowa 5, 84-120 Władysławowo</t>
        </is>
      </c>
      <c r="C97" t="inlineStr">
        <is>
          <t>Władysławowo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971.78</v>
      </c>
      <c r="L97" s="2" t="n">
        <v>80.89168703703703</v>
      </c>
      <c r="M97" s="2" t="n">
        <v>899.7962962962962</v>
      </c>
      <c r="N97" s="2" t="n">
        <v>0</v>
      </c>
      <c r="O97" s="2" t="n">
        <v>840.78</v>
      </c>
      <c r="P97" s="2" t="n">
        <v>131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10999.43</v>
      </c>
      <c r="AP97" s="2" t="n">
        <v>5475</v>
      </c>
      <c r="AQ97" s="2" t="n">
        <v>10184.65740740741</v>
      </c>
      <c r="AR97" s="2" t="n">
        <v>0</v>
      </c>
      <c r="AS97" s="2" t="n">
        <v>9692.92</v>
      </c>
      <c r="AT97" s="2" t="n">
        <v>1306.51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11971.21</v>
      </c>
      <c r="BB97" s="2" t="n">
        <v>11971.21</v>
      </c>
      <c r="BC97" s="2">
        <f>F97+L97+R97+X97+AD97+AJ97+AP97+AV97+IF(BE97="",0,BE97)</f>
        <v/>
      </c>
      <c r="BD97" s="2" t="n">
        <v>184.356634</v>
      </c>
      <c r="BE97" s="2" t="n"/>
      <c r="BF97" s="2" t="n">
        <v>11084.4537037037</v>
      </c>
      <c r="BG97" s="2" t="n">
        <v>0</v>
      </c>
      <c r="BH97" s="2" t="n">
        <v>0</v>
      </c>
      <c r="BI97" s="2" t="n">
        <v>32586.6</v>
      </c>
      <c r="BJ97" s="2" t="n">
        <v>87.34377049180328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161.611335</v>
      </c>
      <c r="BQ97" s="2" t="n">
        <v>0</v>
      </c>
      <c r="BR97" s="2" t="n">
        <v>32860.5551054918</v>
      </c>
      <c r="BS97" s="2" t="n">
        <v>938.6213934426229</v>
      </c>
      <c r="BT97" s="2" t="n">
        <v>393.4426229508197</v>
      </c>
      <c r="BU97" s="2" t="n">
        <v>6806.20155737705</v>
      </c>
      <c r="BV97" s="2" t="n">
        <v>8138.265573770492</v>
      </c>
      <c r="BW97" s="2" t="n">
        <v>40998.8206792623</v>
      </c>
      <c r="BX97" s="2" t="n">
        <v>10533.7</v>
      </c>
      <c r="BY97" s="2" t="n">
        <v>1437.51</v>
      </c>
      <c r="BZ97" s="2" t="n">
        <v>0</v>
      </c>
      <c r="CA97" s="2" t="n">
        <v>11971.21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1274</v>
      </c>
      <c r="B98" t="inlineStr">
        <is>
          <t>Czersk</t>
        </is>
      </c>
      <c r="C98" t="inlineStr">
        <is>
          <t>Czersk</t>
        </is>
      </c>
      <c r="D98" t="inlineStr">
        <is>
          <t>FAA2000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2571.15</v>
      </c>
      <c r="AP98" s="2" t="n">
        <v>3900</v>
      </c>
      <c r="AQ98" s="2" t="n">
        <v>2380.694444444444</v>
      </c>
      <c r="AR98" s="2" t="n">
        <v>0</v>
      </c>
      <c r="AS98" s="2" t="n">
        <v>2372.95</v>
      </c>
      <c r="AT98" s="2" t="n">
        <v>198.2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2571.15</v>
      </c>
      <c r="BB98" s="2" t="n">
        <v>2571.15</v>
      </c>
      <c r="BC98" s="2">
        <f>F98+L98+R98+X98+AD98+AJ98+AP98+AV98+IF(BE98="",0,BE98)</f>
        <v/>
      </c>
      <c r="BD98" s="2" t="n">
        <v>39.59571</v>
      </c>
      <c r="BE98" s="2" t="n"/>
      <c r="BF98" s="2" t="n">
        <v>2380.694444444444</v>
      </c>
      <c r="BG98" s="2" t="n">
        <v>0</v>
      </c>
      <c r="BH98" s="2" t="n">
        <v>0</v>
      </c>
      <c r="BI98" s="2" t="n">
        <v>32586.6</v>
      </c>
      <c r="BJ98" s="2" t="n">
        <v>87.34377049180328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34.710525</v>
      </c>
      <c r="BQ98" s="2" t="n">
        <v>0</v>
      </c>
      <c r="BR98" s="2" t="n">
        <v>32733.6542954918</v>
      </c>
      <c r="BS98" s="2" t="n">
        <v>938.6213934426229</v>
      </c>
      <c r="BT98" s="2" t="n">
        <v>393.4426229508197</v>
      </c>
      <c r="BU98" s="2" t="n">
        <v>6806.20155737705</v>
      </c>
      <c r="BV98" s="2" t="n">
        <v>8138.265573770492</v>
      </c>
      <c r="BW98" s="2" t="n">
        <v>40871.91986926229</v>
      </c>
      <c r="BX98" s="2" t="n">
        <v>2372.95</v>
      </c>
      <c r="BY98" s="2" t="n">
        <v>198.2</v>
      </c>
      <c r="BZ98" s="2" t="n">
        <v>0</v>
      </c>
      <c r="CA98" s="2" t="n">
        <v>2571.15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1275</v>
      </c>
      <c r="B99" t="inlineStr">
        <is>
          <t>Rzeszow Glowny</t>
        </is>
      </c>
      <c r="C99" t="inlineStr">
        <is>
          <t>Poznań Dębiec</t>
        </is>
      </c>
      <c r="D99" t="inlineStr">
        <is>
          <t>FAA2000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16342.59</v>
      </c>
      <c r="L99" s="2" t="n">
        <v>1360.369297222222</v>
      </c>
      <c r="M99" s="2" t="n">
        <v>15132.02777777778</v>
      </c>
      <c r="N99" s="2" t="n">
        <v>3229.45</v>
      </c>
      <c r="O99" s="2" t="n">
        <v>12532.87</v>
      </c>
      <c r="P99" s="2" t="n">
        <v>580.27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25830.33</v>
      </c>
      <c r="AP99" s="2" t="n">
        <v>1889.440805555555</v>
      </c>
      <c r="AQ99" s="2" t="n">
        <v>23916.97222222222</v>
      </c>
      <c r="AR99" s="2" t="n">
        <v>5562.19</v>
      </c>
      <c r="AS99" s="2" t="n">
        <v>19432.03</v>
      </c>
      <c r="AT99" s="2" t="n">
        <v>836.11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42172.92</v>
      </c>
      <c r="BB99" s="2" t="n">
        <v>33381.28</v>
      </c>
      <c r="BC99" s="2">
        <f>F99+L99+R99+X99+AD99+AJ99+AP99+AV99+IF(BE99="",0,BE99)</f>
        <v/>
      </c>
      <c r="BD99" s="2" t="n">
        <v>514.0717119999999</v>
      </c>
      <c r="BE99" s="2" t="n"/>
      <c r="BF99" s="2" t="n">
        <v>39049</v>
      </c>
      <c r="BG99" s="2" t="n">
        <v>0</v>
      </c>
      <c r="BH99" s="2" t="n">
        <v>0</v>
      </c>
      <c r="BI99" s="2" t="n">
        <v>32586.6</v>
      </c>
      <c r="BJ99" s="2" t="n">
        <v>87.34377049180328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450.64728</v>
      </c>
      <c r="BQ99" s="2" t="n">
        <v>0</v>
      </c>
      <c r="BR99" s="2" t="n">
        <v>33149.5910504918</v>
      </c>
      <c r="BS99" s="2" t="n">
        <v>938.6213934426229</v>
      </c>
      <c r="BT99" s="2" t="n">
        <v>393.4426229508197</v>
      </c>
      <c r="BU99" s="2" t="n">
        <v>6806.20155737705</v>
      </c>
      <c r="BV99" s="2" t="n">
        <v>8138.265573770492</v>
      </c>
      <c r="BW99" s="2" t="n">
        <v>41287.85662426229</v>
      </c>
      <c r="BX99" s="2" t="n">
        <v>31964.9</v>
      </c>
      <c r="BY99" s="2" t="n">
        <v>1416.38</v>
      </c>
      <c r="BZ99" s="2" t="n">
        <v>8791.639999999999</v>
      </c>
      <c r="CA99" s="2" t="n">
        <v>33381.28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1276</v>
      </c>
      <c r="B100" t="inlineStr">
        <is>
          <t>GDA-STR</t>
        </is>
      </c>
      <c r="C100" t="inlineStr">
        <is>
          <t>Gdańsk Strzyża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9713.41</v>
      </c>
      <c r="AP100" s="2" t="n">
        <v>0</v>
      </c>
      <c r="AQ100" s="2" t="n">
        <v>8993.898148148148</v>
      </c>
      <c r="AR100" s="2" t="n">
        <v>1644.91</v>
      </c>
      <c r="AS100" s="2" t="n">
        <v>7837.57</v>
      </c>
      <c r="AT100" s="2" t="n">
        <v>230.93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9713.41</v>
      </c>
      <c r="BB100" s="2" t="n">
        <v>8068.5</v>
      </c>
      <c r="BC100" s="2">
        <f>F100+L100+R100+X100+AD100+AJ100+AP100+AV100+IF(BE100="",0,BE100)</f>
        <v/>
      </c>
      <c r="BD100" s="2" t="n">
        <v>124.2549</v>
      </c>
      <c r="BE100" s="2" t="n"/>
      <c r="BF100" s="2" t="n">
        <v>8993.898148148148</v>
      </c>
      <c r="BG100" s="2" t="n">
        <v>0</v>
      </c>
      <c r="BH100" s="2" t="n">
        <v>0</v>
      </c>
      <c r="BI100" s="2" t="n">
        <v>32586.6</v>
      </c>
      <c r="BJ100" s="2" t="n">
        <v>87.34377049180328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108.92475</v>
      </c>
      <c r="BQ100" s="2" t="n">
        <v>0</v>
      </c>
      <c r="BR100" s="2" t="n">
        <v>32807.8685204918</v>
      </c>
      <c r="BS100" s="2" t="n">
        <v>938.6213934426229</v>
      </c>
      <c r="BT100" s="2" t="n">
        <v>393.4426229508197</v>
      </c>
      <c r="BU100" s="2" t="n">
        <v>6806.20155737705</v>
      </c>
      <c r="BV100" s="2" t="n">
        <v>8138.265573770492</v>
      </c>
      <c r="BW100" s="2" t="n">
        <v>40946.13409426229</v>
      </c>
      <c r="BX100" s="2" t="n">
        <v>7837.57</v>
      </c>
      <c r="BY100" s="2" t="n">
        <v>230.93</v>
      </c>
      <c r="BZ100" s="2" t="n">
        <v>1644.91</v>
      </c>
      <c r="CA100" s="2" t="n">
        <v>8068.5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1277</v>
      </c>
      <c r="B101" t="inlineStr">
        <is>
          <t>Plac Konstytucji 1, 81-354 Gdynia</t>
        </is>
      </c>
      <c r="C101" t="inlineStr">
        <is>
          <t>Gdynia Główna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11880.58</v>
      </c>
      <c r="L101" s="2" t="n">
        <v>988.9482796296296</v>
      </c>
      <c r="M101" s="2" t="n">
        <v>11000.53703703704</v>
      </c>
      <c r="N101" s="2" t="n">
        <v>5332.16</v>
      </c>
      <c r="O101" s="2" t="n">
        <v>6290.43</v>
      </c>
      <c r="P101" s="2" t="n">
        <v>257.99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18004.76</v>
      </c>
      <c r="AP101" s="2" t="n">
        <v>1317.014851851852</v>
      </c>
      <c r="AQ101" s="2" t="n">
        <v>16671.07407407408</v>
      </c>
      <c r="AR101" s="2" t="n">
        <v>5764.02</v>
      </c>
      <c r="AS101" s="2" t="n">
        <v>11610.99</v>
      </c>
      <c r="AT101" s="2" t="n">
        <v>629.75</v>
      </c>
      <c r="AU101" s="2" t="n">
        <v>17635.6</v>
      </c>
      <c r="AV101" s="2" t="n">
        <v>702.158148148148</v>
      </c>
      <c r="AW101" s="2" t="n">
        <v>16329.25925925926</v>
      </c>
      <c r="AX101" s="2" t="n">
        <v>4187.65</v>
      </c>
      <c r="AY101" s="2" t="n">
        <v>12915.45</v>
      </c>
      <c r="AZ101" s="2" t="n">
        <v>532.5</v>
      </c>
      <c r="BA101" s="2" t="n">
        <v>47520.94</v>
      </c>
      <c r="BB101" s="2" t="n">
        <v>32237.11</v>
      </c>
      <c r="BC101" s="2">
        <f>F101+L101+R101+X101+AD101+AJ101+AP101+AV101+IF(BE101="",0,BE101)</f>
        <v/>
      </c>
      <c r="BD101" s="2" t="n">
        <v>496.451494</v>
      </c>
      <c r="BE101" s="2" t="n"/>
      <c r="BF101" s="2" t="n">
        <v>44000.87037037037</v>
      </c>
      <c r="BG101" s="2" t="n">
        <v>971.34</v>
      </c>
      <c r="BH101" s="2" t="n">
        <v>93.59999999999999</v>
      </c>
      <c r="BI101" s="2" t="n">
        <v>32586.6</v>
      </c>
      <c r="BJ101" s="2" t="n">
        <v>87.34377049180328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435.200985</v>
      </c>
      <c r="BQ101" s="2" t="n">
        <v>0</v>
      </c>
      <c r="BR101" s="2" t="n">
        <v>34199.08475549181</v>
      </c>
      <c r="BS101" s="2" t="n">
        <v>938.6213934426229</v>
      </c>
      <c r="BT101" s="2" t="n">
        <v>393.4426229508197</v>
      </c>
      <c r="BU101" s="2" t="n">
        <v>7019.18955737705</v>
      </c>
      <c r="BV101" s="2" t="n">
        <v>8351.253573770493</v>
      </c>
      <c r="BW101" s="2" t="n">
        <v>42550.3383292623</v>
      </c>
      <c r="BX101" s="2" t="n">
        <v>30816.87</v>
      </c>
      <c r="BY101" s="2" t="n">
        <v>1420.24</v>
      </c>
      <c r="BZ101" s="2" t="n">
        <v>15283.83</v>
      </c>
      <c r="CA101" s="2" t="n">
        <v>32237.11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1278</v>
      </c>
      <c r="B102" t="inlineStr">
        <is>
          <t>Plac Konstytucji 1, 81-354 Gdynia</t>
        </is>
      </c>
      <c r="C102" t="inlineStr">
        <is>
          <t>Gdynia Główna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8697.690000000001</v>
      </c>
      <c r="L102" s="2" t="n">
        <v>724.0021583333335</v>
      </c>
      <c r="M102" s="2" t="n">
        <v>8053.416666666667</v>
      </c>
      <c r="N102" s="2" t="n">
        <v>847.6799999999999</v>
      </c>
      <c r="O102" s="2" t="n">
        <v>7355.76</v>
      </c>
      <c r="P102" s="2" t="n">
        <v>494.25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17525.67</v>
      </c>
      <c r="AP102" s="2" t="n">
        <v>1281.970305555556</v>
      </c>
      <c r="AQ102" s="2" t="n">
        <v>16227.47222222222</v>
      </c>
      <c r="AR102" s="2" t="n">
        <v>2435.05</v>
      </c>
      <c r="AS102" s="2" t="n">
        <v>13936.9</v>
      </c>
      <c r="AT102" s="2" t="n">
        <v>1153.72</v>
      </c>
      <c r="AU102" s="2" t="n">
        <v>17077.05</v>
      </c>
      <c r="AV102" s="2" t="n">
        <v>679.9195833333332</v>
      </c>
      <c r="AW102" s="2" t="n">
        <v>15812.08333333333</v>
      </c>
      <c r="AX102" s="2" t="n">
        <v>2193.9</v>
      </c>
      <c r="AY102" s="2" t="n">
        <v>13490.05</v>
      </c>
      <c r="AZ102" s="2" t="n">
        <v>1393.1</v>
      </c>
      <c r="BA102" s="2" t="n">
        <v>43300.41</v>
      </c>
      <c r="BB102" s="2" t="n">
        <v>37823.78</v>
      </c>
      <c r="BC102" s="2">
        <f>F102+L102+R102+X102+AD102+AJ102+AP102+AV102+IF(BE102="",0,BE102)</f>
        <v/>
      </c>
      <c r="BD102" s="2" t="n">
        <v>582.486212</v>
      </c>
      <c r="BE102" s="2" t="n"/>
      <c r="BF102" s="2" t="n">
        <v>40092.97222222222</v>
      </c>
      <c r="BG102" s="2" t="n">
        <v>1216.91</v>
      </c>
      <c r="BH102" s="2" t="n">
        <v>117</v>
      </c>
      <c r="BI102" s="2" t="n">
        <v>32586.6</v>
      </c>
      <c r="BJ102" s="2" t="n">
        <v>87.34377049180328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510.62103</v>
      </c>
      <c r="BQ102" s="2" t="n">
        <v>0</v>
      </c>
      <c r="BR102" s="2" t="n">
        <v>34543.47480049181</v>
      </c>
      <c r="BS102" s="2" t="n">
        <v>938.6213934426229</v>
      </c>
      <c r="BT102" s="2" t="n">
        <v>393.4426229508197</v>
      </c>
      <c r="BU102" s="2" t="n">
        <v>7072.983557377051</v>
      </c>
      <c r="BV102" s="2" t="n">
        <v>8405.047573770493</v>
      </c>
      <c r="BW102" s="2" t="n">
        <v>42948.5223742623</v>
      </c>
      <c r="BX102" s="2" t="n">
        <v>34782.71</v>
      </c>
      <c r="BY102" s="2" t="n">
        <v>3041.07</v>
      </c>
      <c r="BZ102" s="2" t="n">
        <v>5476.63</v>
      </c>
      <c r="CA102" s="2" t="n">
        <v>37823.78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1279</v>
      </c>
      <c r="B103" t="inlineStr">
        <is>
          <t>GDA-GL</t>
        </is>
      </c>
      <c r="C103" t="inlineStr">
        <is>
          <t>Gdańsk Brętowo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4573.650000000001</v>
      </c>
      <c r="AP103" s="2" t="n">
        <v>0</v>
      </c>
      <c r="AQ103" s="2" t="n">
        <v>4234.861111111111</v>
      </c>
      <c r="AR103" s="2" t="n">
        <v>150</v>
      </c>
      <c r="AS103" s="2" t="n">
        <v>4239.02</v>
      </c>
      <c r="AT103" s="2" t="n">
        <v>184.63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4573.650000000001</v>
      </c>
      <c r="BB103" s="2" t="n">
        <v>4423.650000000001</v>
      </c>
      <c r="BC103" s="2">
        <f>F103+L103+R103+X103+AD103+AJ103+AP103+AV103+IF(BE103="",0,BE103)</f>
        <v/>
      </c>
      <c r="BD103" s="2" t="n">
        <v>68.12421000000001</v>
      </c>
      <c r="BE103" s="2" t="n"/>
      <c r="BF103" s="2" t="n">
        <v>4234.861111111111</v>
      </c>
      <c r="BG103" s="2" t="n">
        <v>0</v>
      </c>
      <c r="BH103" s="2" t="n">
        <v>0</v>
      </c>
      <c r="BI103" s="2" t="n">
        <v>32586.6</v>
      </c>
      <c r="BJ103" s="2" t="n">
        <v>87.34377049180328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59.719275</v>
      </c>
      <c r="BQ103" s="2" t="n">
        <v>0</v>
      </c>
      <c r="BR103" s="2" t="n">
        <v>32758.6630454918</v>
      </c>
      <c r="BS103" s="2" t="n">
        <v>938.6213934426229</v>
      </c>
      <c r="BT103" s="2" t="n">
        <v>393.4426229508197</v>
      </c>
      <c r="BU103" s="2" t="n">
        <v>6806.20155737705</v>
      </c>
      <c r="BV103" s="2" t="n">
        <v>8138.265573770492</v>
      </c>
      <c r="BW103" s="2" t="n">
        <v>40896.9286192623</v>
      </c>
      <c r="BX103" s="2" t="n">
        <v>4239.02</v>
      </c>
      <c r="BY103" s="2" t="n">
        <v>184.63</v>
      </c>
      <c r="BZ103" s="2" t="n">
        <v>150</v>
      </c>
      <c r="CA103" s="2" t="n">
        <v>4423.650000000001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1280</v>
      </c>
      <c r="B104" t="inlineStr">
        <is>
          <t>GRODZW</t>
        </is>
      </c>
      <c r="C104" t="inlineStr">
        <is>
          <t>Gdańsk Jasień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8571.26</v>
      </c>
      <c r="AP104" s="2" t="n">
        <v>0</v>
      </c>
      <c r="AQ104" s="2" t="n">
        <v>7936.351851851851</v>
      </c>
      <c r="AR104" s="2" t="n">
        <v>1415.55</v>
      </c>
      <c r="AS104" s="2" t="n">
        <v>6925.67</v>
      </c>
      <c r="AT104" s="2" t="n">
        <v>230.04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8571.26</v>
      </c>
      <c r="BB104" s="2" t="n">
        <v>7155.71</v>
      </c>
      <c r="BC104" s="2">
        <f>F104+L104+R104+X104+AD104+AJ104+AP104+AV104+IF(BE104="",0,BE104)</f>
        <v/>
      </c>
      <c r="BD104" s="2" t="n">
        <v>110.197934</v>
      </c>
      <c r="BE104" s="2" t="n"/>
      <c r="BF104" s="2" t="n">
        <v>7936.351851851851</v>
      </c>
      <c r="BG104" s="2" t="n">
        <v>0</v>
      </c>
      <c r="BH104" s="2" t="n">
        <v>0</v>
      </c>
      <c r="BI104" s="2" t="n">
        <v>32586.6</v>
      </c>
      <c r="BJ104" s="2" t="n">
        <v>87.34377049180328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96.602085</v>
      </c>
      <c r="BQ104" s="2" t="n">
        <v>0</v>
      </c>
      <c r="BR104" s="2" t="n">
        <v>32795.5458554918</v>
      </c>
      <c r="BS104" s="2" t="n">
        <v>938.6213934426229</v>
      </c>
      <c r="BT104" s="2" t="n">
        <v>393.4426229508197</v>
      </c>
      <c r="BU104" s="2" t="n">
        <v>6806.20155737705</v>
      </c>
      <c r="BV104" s="2" t="n">
        <v>8138.265573770492</v>
      </c>
      <c r="BW104" s="2" t="n">
        <v>40933.81142926229</v>
      </c>
      <c r="BX104" s="2" t="n">
        <v>6925.67</v>
      </c>
      <c r="BY104" s="2" t="n">
        <v>230.04</v>
      </c>
      <c r="BZ104" s="2" t="n">
        <v>1415.55</v>
      </c>
      <c r="CA104" s="2" t="n">
        <v>7155.71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1281</v>
      </c>
      <c r="B105" t="inlineStr">
        <is>
          <t>GRANOW</t>
        </is>
      </c>
      <c r="C105" t="inlineStr">
        <is>
          <t>Gdańsk Kiełpinek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10725.59</v>
      </c>
      <c r="AP105" s="2" t="n">
        <v>0</v>
      </c>
      <c r="AQ105" s="2" t="n">
        <v>9931.101851851852</v>
      </c>
      <c r="AR105" s="2" t="n">
        <v>1769.69</v>
      </c>
      <c r="AS105" s="2" t="n">
        <v>8718.35</v>
      </c>
      <c r="AT105" s="2" t="n">
        <v>237.55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10725.59</v>
      </c>
      <c r="BB105" s="2" t="n">
        <v>8955.9</v>
      </c>
      <c r="BC105" s="2">
        <f>F105+L105+R105+X105+AD105+AJ105+AP105+AV105+IF(BE105="",0,BE105)</f>
        <v/>
      </c>
      <c r="BD105" s="2" t="n">
        <v>137.92086</v>
      </c>
      <c r="BE105" s="2" t="n"/>
      <c r="BF105" s="2" t="n">
        <v>9931.101851851852</v>
      </c>
      <c r="BG105" s="2" t="n">
        <v>0</v>
      </c>
      <c r="BH105" s="2" t="n">
        <v>0</v>
      </c>
      <c r="BI105" s="2" t="n">
        <v>32586.6</v>
      </c>
      <c r="BJ105" s="2" t="n">
        <v>87.34377049180328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120.90465</v>
      </c>
      <c r="BQ105" s="2" t="n">
        <v>0</v>
      </c>
      <c r="BR105" s="2" t="n">
        <v>32819.8484204918</v>
      </c>
      <c r="BS105" s="2" t="n">
        <v>938.6213934426229</v>
      </c>
      <c r="BT105" s="2" t="n">
        <v>393.4426229508197</v>
      </c>
      <c r="BU105" s="2" t="n">
        <v>6806.20155737705</v>
      </c>
      <c r="BV105" s="2" t="n">
        <v>8138.265573770492</v>
      </c>
      <c r="BW105" s="2" t="n">
        <v>40958.11399426229</v>
      </c>
      <c r="BX105" s="2" t="n">
        <v>8718.35</v>
      </c>
      <c r="BY105" s="2" t="n">
        <v>237.55</v>
      </c>
      <c r="BZ105" s="2" t="n">
        <v>1769.69</v>
      </c>
      <c r="CA105" s="2" t="n">
        <v>8955.9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1282</v>
      </c>
      <c r="B106" t="inlineStr">
        <is>
          <t>STESZEW</t>
        </is>
      </c>
      <c r="C106" t="inlineStr">
        <is>
          <t>Gdańsk Port Lotniczy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36995.61</v>
      </c>
      <c r="AP106" s="2" t="n">
        <v>0</v>
      </c>
      <c r="AQ106" s="2" t="n">
        <v>34255.19444444445</v>
      </c>
      <c r="AR106" s="2" t="n">
        <v>4773.22</v>
      </c>
      <c r="AS106" s="2" t="n">
        <v>31209.53</v>
      </c>
      <c r="AT106" s="2" t="n">
        <v>1012.86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36995.61</v>
      </c>
      <c r="BB106" s="2" t="n">
        <v>32222.39</v>
      </c>
      <c r="BC106" s="2">
        <f>F106+L106+R106+X106+AD106+AJ106+AP106+AV106+IF(BE106="",0,BE106)</f>
        <v/>
      </c>
      <c r="BD106" s="2" t="n">
        <v>496.224806</v>
      </c>
      <c r="BE106" s="2" t="n"/>
      <c r="BF106" s="2" t="n">
        <v>34255.19444444445</v>
      </c>
      <c r="BG106" s="2" t="n">
        <v>0</v>
      </c>
      <c r="BH106" s="2" t="n">
        <v>0</v>
      </c>
      <c r="BI106" s="2" t="n">
        <v>32586.6</v>
      </c>
      <c r="BJ106" s="2" t="n">
        <v>87.34377049180328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435.002265</v>
      </c>
      <c r="BQ106" s="2" t="n">
        <v>0</v>
      </c>
      <c r="BR106" s="2" t="n">
        <v>33133.9460354918</v>
      </c>
      <c r="BS106" s="2" t="n">
        <v>938.6213934426229</v>
      </c>
      <c r="BT106" s="2" t="n">
        <v>393.4426229508197</v>
      </c>
      <c r="BU106" s="2" t="n">
        <v>6806.20155737705</v>
      </c>
      <c r="BV106" s="2" t="n">
        <v>8138.265573770492</v>
      </c>
      <c r="BW106" s="2" t="n">
        <v>41272.2116092623</v>
      </c>
      <c r="BX106" s="2" t="n">
        <v>31209.53</v>
      </c>
      <c r="BY106" s="2" t="n">
        <v>1012.86</v>
      </c>
      <c r="BZ106" s="2" t="n">
        <v>4773.22</v>
      </c>
      <c r="CA106" s="2" t="n">
        <v>32222.39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1283</v>
      </c>
      <c r="B107" t="inlineStr">
        <is>
          <t>CZERWO</t>
        </is>
      </c>
      <c r="C107" t="inlineStr">
        <is>
          <t>Gdańsk Port Lotniczy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24378.04</v>
      </c>
      <c r="AP107" s="2" t="n">
        <v>0</v>
      </c>
      <c r="AQ107" s="2" t="n">
        <v>22572.25925925926</v>
      </c>
      <c r="AR107" s="2" t="n">
        <v>5100.85</v>
      </c>
      <c r="AS107" s="2" t="n">
        <v>18357.76</v>
      </c>
      <c r="AT107" s="2" t="n">
        <v>919.4299999999999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24378.04</v>
      </c>
      <c r="BB107" s="2" t="n">
        <v>19277.19</v>
      </c>
      <c r="BC107" s="2">
        <f>F107+L107+R107+X107+AD107+AJ107+AP107+AV107+IF(BE107="",0,BE107)</f>
        <v/>
      </c>
      <c r="BD107" s="2" t="n">
        <v>296.868726</v>
      </c>
      <c r="BE107" s="2" t="n"/>
      <c r="BF107" s="2" t="n">
        <v>22572.25925925926</v>
      </c>
      <c r="BG107" s="2" t="n">
        <v>0</v>
      </c>
      <c r="BH107" s="2" t="n">
        <v>0</v>
      </c>
      <c r="BI107" s="2" t="n">
        <v>32586.6</v>
      </c>
      <c r="BJ107" s="2" t="n">
        <v>87.34377049180328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260.242065</v>
      </c>
      <c r="BQ107" s="2" t="n">
        <v>0</v>
      </c>
      <c r="BR107" s="2" t="n">
        <v>32959.1858354918</v>
      </c>
      <c r="BS107" s="2" t="n">
        <v>938.6213934426229</v>
      </c>
      <c r="BT107" s="2" t="n">
        <v>393.4426229508197</v>
      </c>
      <c r="BU107" s="2" t="n">
        <v>6806.20155737705</v>
      </c>
      <c r="BV107" s="2" t="n">
        <v>8138.265573770492</v>
      </c>
      <c r="BW107" s="2" t="n">
        <v>41097.45140926229</v>
      </c>
      <c r="BX107" s="2" t="n">
        <v>18357.76</v>
      </c>
      <c r="BY107" s="2" t="n">
        <v>919.4299999999999</v>
      </c>
      <c r="BZ107" s="2" t="n">
        <v>5100.85</v>
      </c>
      <c r="CA107" s="2" t="n">
        <v>19277.19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1284</v>
      </c>
      <c r="B108" t="inlineStr">
        <is>
          <t>OWINSK</t>
        </is>
      </c>
      <c r="C108" t="inlineStr">
        <is>
          <t>Gdańsk Rębiechowo</t>
        </is>
      </c>
      <c r="D108" t="inlineStr">
        <is>
          <t>ST|40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5292.52</v>
      </c>
      <c r="AP108" s="2" t="n">
        <v>0</v>
      </c>
      <c r="AQ108" s="2" t="n">
        <v>4900.481481481482</v>
      </c>
      <c r="AR108" s="2" t="n">
        <v>613.71</v>
      </c>
      <c r="AS108" s="2" t="n">
        <v>4509.96</v>
      </c>
      <c r="AT108" s="2" t="n">
        <v>168.85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5292.52</v>
      </c>
      <c r="BB108" s="2" t="n">
        <v>4678.81</v>
      </c>
      <c r="BC108" s="2">
        <f>F108+L108+R108+X108+AD108+AJ108+AP108+AV108+IF(BE108="",0,BE108)</f>
        <v/>
      </c>
      <c r="BD108" s="2" t="n">
        <v>72.05367400000002</v>
      </c>
      <c r="BE108" s="2" t="n"/>
      <c r="BF108" s="2" t="n">
        <v>4900.481481481482</v>
      </c>
      <c r="BG108" s="2" t="n">
        <v>0</v>
      </c>
      <c r="BH108" s="2" t="n">
        <v>0</v>
      </c>
      <c r="BI108" s="2" t="n">
        <v>32586.6</v>
      </c>
      <c r="BJ108" s="2" t="n">
        <v>87.34377049180328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63.163935</v>
      </c>
      <c r="BQ108" s="2" t="n">
        <v>0</v>
      </c>
      <c r="BR108" s="2" t="n">
        <v>32762.1077054918</v>
      </c>
      <c r="BS108" s="2" t="n">
        <v>938.6213934426229</v>
      </c>
      <c r="BT108" s="2" t="n">
        <v>393.4426229508197</v>
      </c>
      <c r="BU108" s="2" t="n">
        <v>6806.20155737705</v>
      </c>
      <c r="BV108" s="2" t="n">
        <v>8138.265573770492</v>
      </c>
      <c r="BW108" s="2" t="n">
        <v>40900.37327926229</v>
      </c>
      <c r="BX108" s="2" t="n">
        <v>4509.96</v>
      </c>
      <c r="BY108" s="2" t="n">
        <v>168.85</v>
      </c>
      <c r="BZ108" s="2" t="n">
        <v>613.71</v>
      </c>
      <c r="CA108" s="2" t="n">
        <v>4678.81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1285</v>
      </c>
      <c r="B109" t="inlineStr">
        <is>
          <t>ZIELWZG</t>
        </is>
      </c>
      <c r="C109" t="inlineStr">
        <is>
          <t>Gdańsk Osowa</t>
        </is>
      </c>
      <c r="D109" t="inlineStr">
        <is>
          <t>ST|40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6921.78</v>
      </c>
      <c r="AP109" s="2" t="n">
        <v>0</v>
      </c>
      <c r="AQ109" s="2" t="n">
        <v>6409.055555555555</v>
      </c>
      <c r="AR109" s="2" t="n">
        <v>1942.87</v>
      </c>
      <c r="AS109" s="2" t="n">
        <v>4586.34</v>
      </c>
      <c r="AT109" s="2" t="n">
        <v>392.57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6921.78</v>
      </c>
      <c r="BB109" s="2" t="n">
        <v>4978.91</v>
      </c>
      <c r="BC109" s="2">
        <f>F109+L109+R109+X109+AD109+AJ109+AP109+AV109+IF(BE109="",0,BE109)</f>
        <v/>
      </c>
      <c r="BD109" s="2" t="n">
        <v>76.675214</v>
      </c>
      <c r="BE109" s="2" t="n"/>
      <c r="BF109" s="2" t="n">
        <v>6409.055555555555</v>
      </c>
      <c r="BG109" s="2" t="n">
        <v>0</v>
      </c>
      <c r="BH109" s="2" t="n">
        <v>0</v>
      </c>
      <c r="BI109" s="2" t="n">
        <v>32586.6</v>
      </c>
      <c r="BJ109" s="2" t="n">
        <v>87.34377049180328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67.21528499999999</v>
      </c>
      <c r="BQ109" s="2" t="n">
        <v>0</v>
      </c>
      <c r="BR109" s="2" t="n">
        <v>32766.1590554918</v>
      </c>
      <c r="BS109" s="2" t="n">
        <v>938.6213934426229</v>
      </c>
      <c r="BT109" s="2" t="n">
        <v>393.4426229508197</v>
      </c>
      <c r="BU109" s="2" t="n">
        <v>6806.20155737705</v>
      </c>
      <c r="BV109" s="2" t="n">
        <v>8138.265573770492</v>
      </c>
      <c r="BW109" s="2" t="n">
        <v>40904.42462926229</v>
      </c>
      <c r="BX109" s="2" t="n">
        <v>4586.34</v>
      </c>
      <c r="BY109" s="2" t="n">
        <v>392.57</v>
      </c>
      <c r="BZ109" s="2" t="n">
        <v>1942.87</v>
      </c>
      <c r="CA109" s="2" t="n">
        <v>4978.91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1286</v>
      </c>
      <c r="B110" t="inlineStr">
        <is>
          <t>Dworcowa 2, 61-801 Poznań</t>
        </is>
      </c>
      <c r="C110" t="inlineStr">
        <is>
          <t>Poznań Główny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8180.65</v>
      </c>
      <c r="L110" s="2" t="n">
        <v>680.9633657407408</v>
      </c>
      <c r="M110" s="2" t="n">
        <v>7574.675925925925</v>
      </c>
      <c r="N110" s="2" t="n">
        <v>1490.45</v>
      </c>
      <c r="O110" s="2" t="n">
        <v>6324.2</v>
      </c>
      <c r="P110" s="2" t="n">
        <v>366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13686.9</v>
      </c>
      <c r="AD110" s="2" t="n">
        <v>874.4408333333333</v>
      </c>
      <c r="AE110" s="2" t="n">
        <v>12673.05555555555</v>
      </c>
      <c r="AF110" s="2" t="n">
        <v>1616.9</v>
      </c>
      <c r="AG110" s="2" t="n">
        <v>11677.8</v>
      </c>
      <c r="AH110" s="2" t="n">
        <v>392.2</v>
      </c>
      <c r="AI110" s="2" t="n">
        <v>19.21</v>
      </c>
      <c r="AJ110" s="2" t="n">
        <v>1.334027777777778</v>
      </c>
      <c r="AK110" s="2" t="n">
        <v>17.78703703703704</v>
      </c>
      <c r="AL110" s="2" t="n">
        <v>0</v>
      </c>
      <c r="AM110" s="2" t="n">
        <v>19.21</v>
      </c>
      <c r="AN110" s="2" t="n">
        <v>0</v>
      </c>
      <c r="AO110" s="2" t="n">
        <v>4471.62</v>
      </c>
      <c r="AP110" s="2" t="n">
        <v>327.0907222222222</v>
      </c>
      <c r="AQ110" s="2" t="n">
        <v>4140.388888888889</v>
      </c>
      <c r="AR110" s="2" t="n">
        <v>430.22</v>
      </c>
      <c r="AS110" s="2" t="n">
        <v>3893.83</v>
      </c>
      <c r="AT110" s="2" t="n">
        <v>147.57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26358.38</v>
      </c>
      <c r="BB110" s="2" t="n">
        <v>22820.81</v>
      </c>
      <c r="BC110" s="2">
        <f>F110+L110+R110+X110+AD110+AJ110+AP110+AV110+IF(BE110="",0,BE110)</f>
        <v/>
      </c>
      <c r="BD110" s="2" t="n">
        <v>351.440474</v>
      </c>
      <c r="BE110" s="2" t="n"/>
      <c r="BF110" s="2" t="n">
        <v>24405.90740740741</v>
      </c>
      <c r="BG110" s="2" t="n">
        <v>458.58</v>
      </c>
      <c r="BH110" s="2" t="n">
        <v>0</v>
      </c>
      <c r="BI110" s="2" t="n">
        <v>32586.6</v>
      </c>
      <c r="BJ110" s="2" t="n">
        <v>87.34377049180328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308.080935</v>
      </c>
      <c r="BQ110" s="2" t="n">
        <v>0</v>
      </c>
      <c r="BR110" s="2" t="n">
        <v>33465.6047054918</v>
      </c>
      <c r="BS110" s="2" t="n">
        <v>938.6213934426229</v>
      </c>
      <c r="BT110" s="2" t="n">
        <v>393.4426229508197</v>
      </c>
      <c r="BU110" s="2" t="n">
        <v>6897.91755737705</v>
      </c>
      <c r="BV110" s="2" t="n">
        <v>8229.981573770492</v>
      </c>
      <c r="BW110" s="2" t="n">
        <v>41695.58627926229</v>
      </c>
      <c r="BX110" s="2" t="n">
        <v>21915.04</v>
      </c>
      <c r="BY110" s="2" t="n">
        <v>905.77</v>
      </c>
      <c r="BZ110" s="2" t="n">
        <v>3537.570000000001</v>
      </c>
      <c r="CA110" s="2" t="n">
        <v>22820.81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1287</v>
      </c>
      <c r="B111" t="inlineStr">
        <is>
          <t>Kościuszki 54, 82-500 Kwidzyn</t>
        </is>
      </c>
      <c r="C111" t="inlineStr">
        <is>
          <t>Kwidzyn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4188.25</v>
      </c>
      <c r="AP111" s="2" t="n">
        <v>4060</v>
      </c>
      <c r="AQ111" s="2" t="n">
        <v>3878.009259259259</v>
      </c>
      <c r="AR111" s="2" t="n">
        <v>0</v>
      </c>
      <c r="AS111" s="2" t="n">
        <v>3828.49</v>
      </c>
      <c r="AT111" s="2" t="n">
        <v>359.76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4188.25</v>
      </c>
      <c r="BB111" s="2" t="n">
        <v>4188.25</v>
      </c>
      <c r="BC111" s="2">
        <f>F111+L111+R111+X111+AD111+AJ111+AP111+AV111+IF(BE111="",0,BE111)</f>
        <v/>
      </c>
      <c r="BD111" s="2" t="n">
        <v>64.49905</v>
      </c>
      <c r="BE111" s="2" t="n"/>
      <c r="BF111" s="2" t="n">
        <v>3878.009259259259</v>
      </c>
      <c r="BG111" s="2" t="n">
        <v>0</v>
      </c>
      <c r="BH111" s="2" t="n">
        <v>0</v>
      </c>
      <c r="BI111" s="2" t="n">
        <v>32586.6</v>
      </c>
      <c r="BJ111" s="2" t="n">
        <v>87.34377049180328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56.541375</v>
      </c>
      <c r="BQ111" s="2" t="n">
        <v>0</v>
      </c>
      <c r="BR111" s="2" t="n">
        <v>32755.4851454918</v>
      </c>
      <c r="BS111" s="2" t="n">
        <v>938.6213934426229</v>
      </c>
      <c r="BT111" s="2" t="n">
        <v>393.4426229508197</v>
      </c>
      <c r="BU111" s="2" t="n">
        <v>6806.20155737705</v>
      </c>
      <c r="BV111" s="2" t="n">
        <v>8138.265573770492</v>
      </c>
      <c r="BW111" s="2" t="n">
        <v>40893.75071926229</v>
      </c>
      <c r="BX111" s="2" t="n">
        <v>3828.49</v>
      </c>
      <c r="BY111" s="2" t="n">
        <v>359.76</v>
      </c>
      <c r="BZ111" s="2" t="n">
        <v>0</v>
      </c>
      <c r="CA111" s="2" t="n">
        <v>4188.25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1288</v>
      </c>
      <c r="B112" t="inlineStr">
        <is>
          <t>Ks. Stefańskiego 6, 84-140 Jastarnia</t>
        </is>
      </c>
      <c r="C112" t="inlineStr">
        <is>
          <t>Jastania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11221.92</v>
      </c>
      <c r="AP112" s="2" t="n">
        <v>4494</v>
      </c>
      <c r="AQ112" s="2" t="n">
        <v>10390.66666666667</v>
      </c>
      <c r="AR112" s="2" t="n">
        <v>0</v>
      </c>
      <c r="AS112" s="2" t="n">
        <v>9935.309999999999</v>
      </c>
      <c r="AT112" s="2" t="n">
        <v>1286.61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11221.92</v>
      </c>
      <c r="BB112" s="2" t="n">
        <v>11221.92</v>
      </c>
      <c r="BC112" s="2">
        <f>F112+L112+R112+X112+AD112+AJ112+AP112+AV112+IF(BE112="",0,BE112)</f>
        <v/>
      </c>
      <c r="BD112" s="2" t="n">
        <v>172.817568</v>
      </c>
      <c r="BE112" s="2" t="n"/>
      <c r="BF112" s="2" t="n">
        <v>10390.66666666667</v>
      </c>
      <c r="BG112" s="2" t="n">
        <v>0</v>
      </c>
      <c r="BH112" s="2" t="n">
        <v>0</v>
      </c>
      <c r="BI112" s="2" t="n">
        <v>32586.6</v>
      </c>
      <c r="BJ112" s="2" t="n">
        <v>87.34377049180328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151.49592</v>
      </c>
      <c r="BQ112" s="2" t="n">
        <v>0</v>
      </c>
      <c r="BR112" s="2" t="n">
        <v>32850.4396904918</v>
      </c>
      <c r="BS112" s="2" t="n">
        <v>938.6213934426229</v>
      </c>
      <c r="BT112" s="2" t="n">
        <v>393.4426229508197</v>
      </c>
      <c r="BU112" s="2" t="n">
        <v>6806.20155737705</v>
      </c>
      <c r="BV112" s="2" t="n">
        <v>8138.265573770492</v>
      </c>
      <c r="BW112" s="2" t="n">
        <v>40988.70526426229</v>
      </c>
      <c r="BX112" s="2" t="n">
        <v>9935.309999999999</v>
      </c>
      <c r="BY112" s="2" t="n">
        <v>1286.61</v>
      </c>
      <c r="BZ112" s="2" t="n">
        <v>0</v>
      </c>
      <c r="CA112" s="2" t="n">
        <v>11221.92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1289</v>
      </c>
      <c r="B113" t="inlineStr">
        <is>
          <t>Dworcowa 1, 84-150 Hel</t>
        </is>
      </c>
      <c r="C113" t="inlineStr">
        <is>
          <t>Hel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23232.81</v>
      </c>
      <c r="AP113" s="2" t="n">
        <v>4494</v>
      </c>
      <c r="AQ113" s="2" t="n">
        <v>21511.86111111111</v>
      </c>
      <c r="AR113" s="2" t="n">
        <v>0</v>
      </c>
      <c r="AS113" s="2" t="n">
        <v>20051.41</v>
      </c>
      <c r="AT113" s="2" t="n">
        <v>3181.4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23232.81</v>
      </c>
      <c r="BB113" s="2" t="n">
        <v>23232.81</v>
      </c>
      <c r="BC113" s="2">
        <f>F113+L113+R113+X113+AD113+AJ113+AP113+AV113+IF(BE113="",0,BE113)</f>
        <v/>
      </c>
      <c r="BD113" s="2" t="n">
        <v>357.785274</v>
      </c>
      <c r="BE113" s="2" t="n"/>
      <c r="BF113" s="2" t="n">
        <v>21511.86111111111</v>
      </c>
      <c r="BG113" s="2" t="n">
        <v>0</v>
      </c>
      <c r="BH113" s="2" t="n">
        <v>0</v>
      </c>
      <c r="BI113" s="2" t="n">
        <v>32586.6</v>
      </c>
      <c r="BJ113" s="2" t="n">
        <v>87.34377049180328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313.642935</v>
      </c>
      <c r="BQ113" s="2" t="n">
        <v>0</v>
      </c>
      <c r="BR113" s="2" t="n">
        <v>33012.58670549181</v>
      </c>
      <c r="BS113" s="2" t="n">
        <v>938.6213934426229</v>
      </c>
      <c r="BT113" s="2" t="n">
        <v>393.4426229508197</v>
      </c>
      <c r="BU113" s="2" t="n">
        <v>6806.20155737705</v>
      </c>
      <c r="BV113" s="2" t="n">
        <v>8138.265573770492</v>
      </c>
      <c r="BW113" s="2" t="n">
        <v>41150.8522792623</v>
      </c>
      <c r="BX113" s="2" t="n">
        <v>20051.41</v>
      </c>
      <c r="BY113" s="2" t="n">
        <v>3181.4</v>
      </c>
      <c r="BZ113" s="2" t="n">
        <v>0</v>
      </c>
      <c r="CA113" s="2" t="n">
        <v>23232.81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1290</v>
      </c>
      <c r="B114" t="inlineStr">
        <is>
          <t>Kolumba 2, 70-035 Szczecin</t>
        </is>
      </c>
      <c r="C114" t="inlineStr">
        <is>
          <t>Szczecin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23310.48</v>
      </c>
      <c r="L114" s="2" t="n">
        <v>1940.381622222222</v>
      </c>
      <c r="M114" s="2" t="n">
        <v>21583.77777777778</v>
      </c>
      <c r="N114" s="2" t="n">
        <v>7703.53</v>
      </c>
      <c r="O114" s="2" t="n">
        <v>14550.66</v>
      </c>
      <c r="P114" s="2" t="n">
        <v>1056.29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38211.65</v>
      </c>
      <c r="AP114" s="2" t="n">
        <v>2795.111435185185</v>
      </c>
      <c r="AQ114" s="2" t="n">
        <v>35381.15740740741</v>
      </c>
      <c r="AR114" s="2" t="n">
        <v>14123.75</v>
      </c>
      <c r="AS114" s="2" t="n">
        <v>21837.04</v>
      </c>
      <c r="AT114" s="2" t="n">
        <v>2250.86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61522.13</v>
      </c>
      <c r="BB114" s="2" t="n">
        <v>39694.85000000001</v>
      </c>
      <c r="BC114" s="2">
        <f>F114+L114+R114+X114+AD114+AJ114+AP114+AV114+IF(BE114="",0,BE114)</f>
        <v/>
      </c>
      <c r="BD114" s="2" t="n">
        <v>611.30069</v>
      </c>
      <c r="BE114" s="2" t="n"/>
      <c r="BF114" s="2" t="n">
        <v>56964.93518518518</v>
      </c>
      <c r="BG114" s="2" t="n">
        <v>1387.63</v>
      </c>
      <c r="BH114" s="2" t="n">
        <v>177.6</v>
      </c>
      <c r="BI114" s="2" t="n">
        <v>32586.6</v>
      </c>
      <c r="BJ114" s="2" t="n">
        <v>87.34377049180328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535.880475</v>
      </c>
      <c r="BQ114" s="2" t="n">
        <v>0</v>
      </c>
      <c r="BR114" s="2" t="n">
        <v>34800.0542454918</v>
      </c>
      <c r="BS114" s="2" t="n">
        <v>938.6213934426229</v>
      </c>
      <c r="BT114" s="2" t="n">
        <v>393.4426229508197</v>
      </c>
      <c r="BU114" s="2" t="n">
        <v>7119.24755737705</v>
      </c>
      <c r="BV114" s="2" t="n">
        <v>8451.311573770492</v>
      </c>
      <c r="BW114" s="2" t="n">
        <v>43251.3658192623</v>
      </c>
      <c r="BX114" s="2" t="n">
        <v>36387.7</v>
      </c>
      <c r="BY114" s="2" t="n">
        <v>3307.15</v>
      </c>
      <c r="BZ114" s="2" t="n">
        <v>21827.28</v>
      </c>
      <c r="CA114" s="2" t="n">
        <v>39694.85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1291</v>
      </c>
      <c r="B115" t="inlineStr">
        <is>
          <t>pl. Dworcowy 1, 82-300 Elbląg</t>
        </is>
      </c>
      <c r="C115" t="inlineStr">
        <is>
          <t>Elbląg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8122.68</v>
      </c>
      <c r="L115" s="2" t="n">
        <v>676.1379000000001</v>
      </c>
      <c r="M115" s="2" t="n">
        <v>7521</v>
      </c>
      <c r="N115" s="2" t="n">
        <v>2182.4</v>
      </c>
      <c r="O115" s="2" t="n">
        <v>5232.3</v>
      </c>
      <c r="P115" s="2" t="n">
        <v>707.98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20396.05</v>
      </c>
      <c r="AP115" s="2" t="n">
        <v>1491.933287037037</v>
      </c>
      <c r="AQ115" s="2" t="n">
        <v>18885.23148148148</v>
      </c>
      <c r="AR115" s="2" t="n">
        <v>6001.56</v>
      </c>
      <c r="AS115" s="2" t="n">
        <v>13743.14</v>
      </c>
      <c r="AT115" s="2" t="n">
        <v>651.35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28518.73</v>
      </c>
      <c r="BB115" s="2" t="n">
        <v>20334.77</v>
      </c>
      <c r="BC115" s="2">
        <f>F115+L115+R115+X115+AD115+AJ115+AP115+AV115+IF(BE115="",0,BE115)</f>
        <v/>
      </c>
      <c r="BD115" s="2" t="n">
        <v>313.155458</v>
      </c>
      <c r="BE115" s="2" t="n"/>
      <c r="BF115" s="2" t="n">
        <v>26406.23148148148</v>
      </c>
      <c r="BG115" s="2" t="n">
        <v>372.81</v>
      </c>
      <c r="BH115" s="2" t="n">
        <v>345</v>
      </c>
      <c r="BI115" s="2" t="n">
        <v>32586.6</v>
      </c>
      <c r="BJ115" s="2" t="n">
        <v>87.34377049180328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274.519395</v>
      </c>
      <c r="BQ115" s="2" t="n">
        <v>0</v>
      </c>
      <c r="BR115" s="2" t="n">
        <v>33691.2731654918</v>
      </c>
      <c r="BS115" s="2" t="n">
        <v>938.6213934426229</v>
      </c>
      <c r="BT115" s="2" t="n">
        <v>393.4426229508197</v>
      </c>
      <c r="BU115" s="2" t="n">
        <v>6949.763557377049</v>
      </c>
      <c r="BV115" s="2" t="n">
        <v>8281.827573770492</v>
      </c>
      <c r="BW115" s="2" t="n">
        <v>41973.10073926229</v>
      </c>
      <c r="BX115" s="2" t="n">
        <v>18975.44</v>
      </c>
      <c r="BY115" s="2" t="n">
        <v>1359.33</v>
      </c>
      <c r="BZ115" s="2" t="n">
        <v>8183.960000000001</v>
      </c>
      <c r="CA115" s="2" t="n">
        <v>20334.77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1292</v>
      </c>
      <c r="B116" t="inlineStr">
        <is>
          <t>Dworcowa 8A, 84-310 Lębork</t>
        </is>
      </c>
      <c r="C116" t="inlineStr">
        <is>
          <t>Lębork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5137.49</v>
      </c>
      <c r="L116" s="2" t="n">
        <v>427.6484731481481</v>
      </c>
      <c r="M116" s="2" t="n">
        <v>4756.935185185184</v>
      </c>
      <c r="N116" s="2" t="n">
        <v>1937.96</v>
      </c>
      <c r="O116" s="2" t="n">
        <v>2926.83</v>
      </c>
      <c r="P116" s="2" t="n">
        <v>272.7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7799.7</v>
      </c>
      <c r="AP116" s="2" t="n">
        <v>4127</v>
      </c>
      <c r="AQ116" s="2" t="n">
        <v>7221.944444444443</v>
      </c>
      <c r="AR116" s="2" t="n">
        <v>3815.33</v>
      </c>
      <c r="AS116" s="2" t="n">
        <v>3733.96</v>
      </c>
      <c r="AT116" s="2" t="n">
        <v>250.41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12937.19</v>
      </c>
      <c r="BB116" s="2" t="n">
        <v>7183.9</v>
      </c>
      <c r="BC116" s="2">
        <f>F116+L116+R116+X116+AD116+AJ116+AP116+AV116+IF(BE116="",0,BE116)</f>
        <v/>
      </c>
      <c r="BD116" s="2" t="n">
        <v>110.63206</v>
      </c>
      <c r="BE116" s="2" t="n"/>
      <c r="BF116" s="2" t="n">
        <v>11978.87962962963</v>
      </c>
      <c r="BG116" s="2" t="n">
        <v>0</v>
      </c>
      <c r="BH116" s="2" t="n">
        <v>0</v>
      </c>
      <c r="BI116" s="2" t="n">
        <v>32586.6</v>
      </c>
      <c r="BJ116" s="2" t="n">
        <v>87.34377049180328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96.98264999999999</v>
      </c>
      <c r="BQ116" s="2" t="n">
        <v>0</v>
      </c>
      <c r="BR116" s="2" t="n">
        <v>32795.9264204918</v>
      </c>
      <c r="BS116" s="2" t="n">
        <v>938.6213934426229</v>
      </c>
      <c r="BT116" s="2" t="n">
        <v>393.4426229508197</v>
      </c>
      <c r="BU116" s="2" t="n">
        <v>6806.20155737705</v>
      </c>
      <c r="BV116" s="2" t="n">
        <v>8138.265573770492</v>
      </c>
      <c r="BW116" s="2" t="n">
        <v>40934.19199426229</v>
      </c>
      <c r="BX116" s="2" t="n">
        <v>6660.79</v>
      </c>
      <c r="BY116" s="2" t="n">
        <v>523.11</v>
      </c>
      <c r="BZ116" s="2" t="n">
        <v>5753.29</v>
      </c>
      <c r="CA116" s="2" t="n">
        <v>7183.9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1293</v>
      </c>
      <c r="B117" t="inlineStr">
        <is>
          <t>Dworcowa 10, 84-100 Puck</t>
        </is>
      </c>
      <c r="C117" t="inlineStr">
        <is>
          <t>Puck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7806.53</v>
      </c>
      <c r="AP117" s="2" t="n">
        <v>4227</v>
      </c>
      <c r="AQ117" s="2" t="n">
        <v>7228.268518518518</v>
      </c>
      <c r="AR117" s="2" t="n">
        <v>2484.91</v>
      </c>
      <c r="AS117" s="2" t="n">
        <v>5039.76</v>
      </c>
      <c r="AT117" s="2" t="n">
        <v>281.86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7806.53</v>
      </c>
      <c r="BB117" s="2" t="n">
        <v>5321.62</v>
      </c>
      <c r="BC117" s="2">
        <f>F117+L117+R117+X117+AD117+AJ117+AP117+AV117+IF(BE117="",0,BE117)</f>
        <v/>
      </c>
      <c r="BD117" s="2" t="n">
        <v>81.95294800000001</v>
      </c>
      <c r="BE117" s="2" t="n"/>
      <c r="BF117" s="2" t="n">
        <v>7228.268518518518</v>
      </c>
      <c r="BG117" s="2" t="n">
        <v>0</v>
      </c>
      <c r="BH117" s="2" t="n">
        <v>0</v>
      </c>
      <c r="BI117" s="2" t="n">
        <v>32586.6</v>
      </c>
      <c r="BJ117" s="2" t="n">
        <v>87.34377049180328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71.84187</v>
      </c>
      <c r="BQ117" s="2" t="n">
        <v>0</v>
      </c>
      <c r="BR117" s="2" t="n">
        <v>32770.7856404918</v>
      </c>
      <c r="BS117" s="2" t="n">
        <v>938.6213934426229</v>
      </c>
      <c r="BT117" s="2" t="n">
        <v>393.4426229508197</v>
      </c>
      <c r="BU117" s="2" t="n">
        <v>6806.20155737705</v>
      </c>
      <c r="BV117" s="2" t="n">
        <v>8138.265573770492</v>
      </c>
      <c r="BW117" s="2" t="n">
        <v>40909.05121426229</v>
      </c>
      <c r="BX117" s="2" t="n">
        <v>5039.76</v>
      </c>
      <c r="BY117" s="2" t="n">
        <v>281.86</v>
      </c>
      <c r="BZ117" s="2" t="n">
        <v>2484.91</v>
      </c>
      <c r="CA117" s="2" t="n">
        <v>5321.62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1294</v>
      </c>
      <c r="B118" t="inlineStr">
        <is>
          <t>Plac Dworcowy 3, 49-300 Brzeg</t>
        </is>
      </c>
      <c r="C118" t="inlineStr">
        <is>
          <t>Brzeg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14484.61</v>
      </c>
      <c r="L118" s="2" t="n">
        <v>1205.709665740741</v>
      </c>
      <c r="M118" s="2" t="n">
        <v>13411.67592592593</v>
      </c>
      <c r="N118" s="2" t="n">
        <v>1807.36</v>
      </c>
      <c r="O118" s="2" t="n">
        <v>12218.74</v>
      </c>
      <c r="P118" s="2" t="n">
        <v>458.51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20631.2</v>
      </c>
      <c r="AP118" s="2" t="n">
        <v>1509.134074074074</v>
      </c>
      <c r="AQ118" s="2" t="n">
        <v>19102.96296296296</v>
      </c>
      <c r="AR118" s="2" t="n">
        <v>3610.65</v>
      </c>
      <c r="AS118" s="2" t="n">
        <v>16453.27</v>
      </c>
      <c r="AT118" s="2" t="n">
        <v>567.28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35115.81</v>
      </c>
      <c r="BB118" s="2" t="n">
        <v>29697.8</v>
      </c>
      <c r="BC118" s="2">
        <f>F118+L118+R118+X118+AD118+AJ118+AP118+AV118+IF(BE118="",0,BE118)</f>
        <v/>
      </c>
      <c r="BD118" s="2" t="n">
        <v>457.34612</v>
      </c>
      <c r="BE118" s="2" t="n"/>
      <c r="BF118" s="2" t="n">
        <v>32514.63888888889</v>
      </c>
      <c r="BG118" s="2" t="n">
        <v>0</v>
      </c>
      <c r="BH118" s="2" t="n">
        <v>219.2</v>
      </c>
      <c r="BI118" s="2" t="n">
        <v>32586.6</v>
      </c>
      <c r="BJ118" s="2" t="n">
        <v>87.34377049180328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400.9203</v>
      </c>
      <c r="BQ118" s="2" t="n">
        <v>0</v>
      </c>
      <c r="BR118" s="2" t="n">
        <v>33319.0640704918</v>
      </c>
      <c r="BS118" s="2" t="n">
        <v>938.6213934426229</v>
      </c>
      <c r="BT118" s="2" t="n">
        <v>393.4426229508197</v>
      </c>
      <c r="BU118" s="2" t="n">
        <v>6850.041557377049</v>
      </c>
      <c r="BV118" s="2" t="n">
        <v>8182.105573770492</v>
      </c>
      <c r="BW118" s="2" t="n">
        <v>41501.16964426229</v>
      </c>
      <c r="BX118" s="2" t="n">
        <v>28672.01</v>
      </c>
      <c r="BY118" s="2" t="n">
        <v>1025.79</v>
      </c>
      <c r="BZ118" s="2" t="n">
        <v>5418.01</v>
      </c>
      <c r="CA118" s="2" t="n">
        <v>29697.8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1295</v>
      </c>
      <c r="B119" t="inlineStr">
        <is>
          <t>Zygmunta Starego 1, 64-920 Piła</t>
        </is>
      </c>
      <c r="C119" t="inlineStr">
        <is>
          <t>Piła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6525.54</v>
      </c>
      <c r="L119" s="2" t="n">
        <v>543.1907833333333</v>
      </c>
      <c r="M119" s="2" t="n">
        <v>6042.166666666666</v>
      </c>
      <c r="N119" s="2" t="n">
        <v>1371.42</v>
      </c>
      <c r="O119" s="2" t="n">
        <v>4766.78</v>
      </c>
      <c r="P119" s="2" t="n">
        <v>387.34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4984.75</v>
      </c>
      <c r="AD119" s="2" t="n">
        <v>318.4701388888889</v>
      </c>
      <c r="AE119" s="2" t="n">
        <v>4615.509259259259</v>
      </c>
      <c r="AF119" s="2" t="n">
        <v>1140.67</v>
      </c>
      <c r="AG119" s="2" t="n">
        <v>3519.15</v>
      </c>
      <c r="AH119" s="2" t="n">
        <v>324.93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13962.43</v>
      </c>
      <c r="AP119" s="2" t="n">
        <v>1021.325898148148</v>
      </c>
      <c r="AQ119" s="2" t="n">
        <v>12928.17592592593</v>
      </c>
      <c r="AR119" s="2" t="n">
        <v>3270.56</v>
      </c>
      <c r="AS119" s="2" t="n">
        <v>9573.68</v>
      </c>
      <c r="AT119" s="2" t="n">
        <v>1118.19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25472.72</v>
      </c>
      <c r="BB119" s="2" t="n">
        <v>19690.07</v>
      </c>
      <c r="BC119" s="2">
        <f>F119+L119+R119+X119+AD119+AJ119+AP119+AV119+IF(BE119="",0,BE119)</f>
        <v/>
      </c>
      <c r="BD119" s="2" t="n">
        <v>303.227078</v>
      </c>
      <c r="BE119" s="2" t="n"/>
      <c r="BF119" s="2" t="n">
        <v>23585.85185185185</v>
      </c>
      <c r="BG119" s="2" t="n">
        <v>0</v>
      </c>
      <c r="BH119" s="2" t="n">
        <v>0</v>
      </c>
      <c r="BI119" s="2" t="n">
        <v>32586.6</v>
      </c>
      <c r="BJ119" s="2" t="n">
        <v>87.34377049180328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265.815945</v>
      </c>
      <c r="BQ119" s="2" t="n">
        <v>0</v>
      </c>
      <c r="BR119" s="2" t="n">
        <v>32964.7597154918</v>
      </c>
      <c r="BS119" s="2" t="n">
        <v>938.6213934426229</v>
      </c>
      <c r="BT119" s="2" t="n">
        <v>393.4426229508197</v>
      </c>
      <c r="BU119" s="2" t="n">
        <v>6806.20155737705</v>
      </c>
      <c r="BV119" s="2" t="n">
        <v>8138.265573770492</v>
      </c>
      <c r="BW119" s="2" t="n">
        <v>41103.0252892623</v>
      </c>
      <c r="BX119" s="2" t="n">
        <v>17859.61</v>
      </c>
      <c r="BY119" s="2" t="n">
        <v>1830.46</v>
      </c>
      <c r="BZ119" s="2" t="n">
        <v>5782.65</v>
      </c>
      <c r="CA119" s="2" t="n">
        <v>19690.07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1296</v>
      </c>
      <c r="B120" t="inlineStr">
        <is>
          <t>Dworcowa 2, 61-801 Poznań</t>
        </is>
      </c>
      <c r="C120" t="inlineStr">
        <is>
          <t>Poznań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17183.16</v>
      </c>
      <c r="L120" s="2" t="n">
        <v>1430.338966666667</v>
      </c>
      <c r="M120" s="2" t="n">
        <v>15910.33333333333</v>
      </c>
      <c r="N120" s="2" t="n">
        <v>2734.09</v>
      </c>
      <c r="O120" s="2" t="n">
        <v>13622.14</v>
      </c>
      <c r="P120" s="2" t="n">
        <v>826.9299999999999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24835.93</v>
      </c>
      <c r="AD120" s="2" t="n">
        <v>1586.739972222222</v>
      </c>
      <c r="AE120" s="2" t="n">
        <v>22996.23148148148</v>
      </c>
      <c r="AF120" s="2" t="n">
        <v>4702.76</v>
      </c>
      <c r="AG120" s="2" t="n">
        <v>18919.94</v>
      </c>
      <c r="AH120" s="2" t="n">
        <v>1213.23</v>
      </c>
      <c r="AI120" s="2" t="n">
        <v>65.81999999999999</v>
      </c>
      <c r="AJ120" s="2" t="n">
        <v>4.570833333333333</v>
      </c>
      <c r="AK120" s="2" t="n">
        <v>60.94444444444444</v>
      </c>
      <c r="AL120" s="2" t="n">
        <v>0</v>
      </c>
      <c r="AM120" s="2" t="n">
        <v>65.81999999999999</v>
      </c>
      <c r="AN120" s="2" t="n">
        <v>0</v>
      </c>
      <c r="AO120" s="2" t="n">
        <v>7793.24</v>
      </c>
      <c r="AP120" s="2" t="n">
        <v>570.0610740740741</v>
      </c>
      <c r="AQ120" s="2" t="n">
        <v>7215.962962962963</v>
      </c>
      <c r="AR120" s="2" t="n">
        <v>1570.82</v>
      </c>
      <c r="AS120" s="2" t="n">
        <v>5629.42</v>
      </c>
      <c r="AT120" s="2" t="n">
        <v>593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49878.14999999999</v>
      </c>
      <c r="BB120" s="2" t="n">
        <v>40870.48</v>
      </c>
      <c r="BC120" s="2">
        <f>F120+L120+R120+X120+AD120+AJ120+AP120+AV120+IF(BE120="",0,BE120)</f>
        <v/>
      </c>
      <c r="BD120" s="2" t="n">
        <v>629.4053920000001</v>
      </c>
      <c r="BE120" s="2" t="n"/>
      <c r="BF120" s="2" t="n">
        <v>46183.47222222222</v>
      </c>
      <c r="BG120" s="2" t="n">
        <v>458.58</v>
      </c>
      <c r="BH120" s="2" t="n">
        <v>0</v>
      </c>
      <c r="BI120" s="2" t="n">
        <v>32586.6</v>
      </c>
      <c r="BJ120" s="2" t="n">
        <v>87.34377049180328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551.75148</v>
      </c>
      <c r="BQ120" s="2" t="n">
        <v>0</v>
      </c>
      <c r="BR120" s="2" t="n">
        <v>33709.2752504918</v>
      </c>
      <c r="BS120" s="2" t="n">
        <v>938.6213934426229</v>
      </c>
      <c r="BT120" s="2" t="n">
        <v>393.4426229508197</v>
      </c>
      <c r="BU120" s="2" t="n">
        <v>6897.91755737705</v>
      </c>
      <c r="BV120" s="2" t="n">
        <v>8229.981573770492</v>
      </c>
      <c r="BW120" s="2" t="n">
        <v>41939.25682426229</v>
      </c>
      <c r="BX120" s="2" t="n">
        <v>38237.32</v>
      </c>
      <c r="BY120" s="2" t="n">
        <v>2633.16</v>
      </c>
      <c r="BZ120" s="2" t="n">
        <v>9007.67</v>
      </c>
      <c r="CA120" s="2" t="n">
        <v>40870.48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1297</v>
      </c>
      <c r="B121" t="inlineStr">
        <is>
          <t>Dworcowa 2, 61-801 Poznań</t>
        </is>
      </c>
      <c r="C121" t="inlineStr">
        <is>
          <t>Poznań Główny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6630.150000000001</v>
      </c>
      <c r="L121" s="2" t="n">
        <v>551.8985972222223</v>
      </c>
      <c r="M121" s="2" t="n">
        <v>6139.027777777778</v>
      </c>
      <c r="N121" s="2" t="n">
        <v>998.6799999999999</v>
      </c>
      <c r="O121" s="2" t="n">
        <v>4511.38</v>
      </c>
      <c r="P121" s="2" t="n">
        <v>1120.09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8393.01</v>
      </c>
      <c r="AD121" s="2" t="n">
        <v>536.2200833333334</v>
      </c>
      <c r="AE121" s="2" t="n">
        <v>7771.305555555556</v>
      </c>
      <c r="AF121" s="2" t="n">
        <v>1873.01</v>
      </c>
      <c r="AG121" s="2" t="n">
        <v>4921.26</v>
      </c>
      <c r="AH121" s="2" t="n">
        <v>1598.74</v>
      </c>
      <c r="AI121" s="2" t="n">
        <v>169.65</v>
      </c>
      <c r="AJ121" s="2" t="n">
        <v>0</v>
      </c>
      <c r="AK121" s="2" t="n">
        <v>157.0833333333333</v>
      </c>
      <c r="AL121" s="2" t="n">
        <v>0</v>
      </c>
      <c r="AM121" s="2" t="n">
        <v>169.65</v>
      </c>
      <c r="AN121" s="2" t="n">
        <v>0</v>
      </c>
      <c r="AO121" s="2" t="n">
        <v>2696.71</v>
      </c>
      <c r="AP121" s="2" t="n">
        <v>197.2593425925926</v>
      </c>
      <c r="AQ121" s="2" t="n">
        <v>2496.953703703703</v>
      </c>
      <c r="AR121" s="2" t="n">
        <v>463.3</v>
      </c>
      <c r="AS121" s="2" t="n">
        <v>1909.11</v>
      </c>
      <c r="AT121" s="2" t="n">
        <v>324.3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17889.52</v>
      </c>
      <c r="BB121" s="2" t="n">
        <v>14554.53</v>
      </c>
      <c r="BC121" s="2">
        <f>F121+L121+R121+X121+AD121+AJ121+AP121+AV121+IF(BE121="",0,BE121)</f>
        <v/>
      </c>
      <c r="BD121" s="2" t="n">
        <v>224.139762</v>
      </c>
      <c r="BE121" s="2" t="n"/>
      <c r="BF121" s="2" t="n">
        <v>16564.37037037037</v>
      </c>
      <c r="BG121" s="2" t="n">
        <v>458.58</v>
      </c>
      <c r="BH121" s="2" t="n">
        <v>0</v>
      </c>
      <c r="BI121" s="2" t="n">
        <v>32586.6</v>
      </c>
      <c r="BJ121" s="2" t="n">
        <v>87.34377049180328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196.486155</v>
      </c>
      <c r="BQ121" s="2" t="n">
        <v>0</v>
      </c>
      <c r="BR121" s="2" t="n">
        <v>33354.0099254918</v>
      </c>
      <c r="BS121" s="2" t="n">
        <v>938.6213934426229</v>
      </c>
      <c r="BT121" s="2" t="n">
        <v>393.4426229508197</v>
      </c>
      <c r="BU121" s="2" t="n">
        <v>6897.91755737705</v>
      </c>
      <c r="BV121" s="2" t="n">
        <v>8229.981573770492</v>
      </c>
      <c r="BW121" s="2" t="n">
        <v>41583.99149926229</v>
      </c>
      <c r="BX121" s="2" t="n">
        <v>11511.4</v>
      </c>
      <c r="BY121" s="2" t="n">
        <v>3043.13</v>
      </c>
      <c r="BZ121" s="2" t="n">
        <v>3334.99</v>
      </c>
      <c r="CA121" s="2" t="n">
        <v>14554.53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t="n">
        <v>1298</v>
      </c>
      <c r="B122" t="inlineStr">
        <is>
          <t>Kolumba 2, 70-035 Szczecin</t>
        </is>
      </c>
      <c r="C122" t="inlineStr">
        <is>
          <t>Szczecin</t>
        </is>
      </c>
      <c r="D122" t="inlineStr">
        <is>
          <t>FAA2000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13215.78</v>
      </c>
      <c r="L122" s="2" t="n">
        <v>1100.091316666667</v>
      </c>
      <c r="M122" s="2" t="n">
        <v>12236.83333333333</v>
      </c>
      <c r="N122" s="2" t="n">
        <v>5744.73</v>
      </c>
      <c r="O122" s="2" t="n">
        <v>6820.85</v>
      </c>
      <c r="P122" s="2" t="n">
        <v>650.2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31658.31</v>
      </c>
      <c r="AP122" s="2" t="n">
        <v>2315.74675</v>
      </c>
      <c r="AQ122" s="2" t="n">
        <v>29313.25</v>
      </c>
      <c r="AR122" s="2" t="n">
        <v>9830.07</v>
      </c>
      <c r="AS122" s="2" t="n">
        <v>19266.52</v>
      </c>
      <c r="AT122" s="2" t="n">
        <v>2561.72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44874.09</v>
      </c>
      <c r="BB122" s="2" t="n">
        <v>29299.29</v>
      </c>
      <c r="BC122" s="2">
        <f>F122+L122+R122+X122+AD122+AJ122+AP122+AV122+IF(BE122="",0,BE122)</f>
        <v/>
      </c>
      <c r="BD122" s="2" t="n">
        <v>451.209066</v>
      </c>
      <c r="BE122" s="2" t="n"/>
      <c r="BF122" s="2" t="n">
        <v>41550.08333333334</v>
      </c>
      <c r="BG122" s="2" t="n">
        <v>1387.63</v>
      </c>
      <c r="BH122" s="2" t="n">
        <v>177.6</v>
      </c>
      <c r="BI122" s="2" t="n">
        <v>32586.6</v>
      </c>
      <c r="BJ122" s="2" t="n">
        <v>87.34377049180328</v>
      </c>
      <c r="BK122" s="2" t="n">
        <v>0</v>
      </c>
      <c r="BL122" s="2" t="n">
        <v>20</v>
      </c>
      <c r="BM122" s="2" t="n">
        <v>0</v>
      </c>
      <c r="BN122" s="2" t="n">
        <v>5</v>
      </c>
      <c r="BO122" s="2" t="n">
        <v>0</v>
      </c>
      <c r="BP122" s="2" t="n">
        <v>395.540415</v>
      </c>
      <c r="BQ122" s="2" t="n">
        <v>0</v>
      </c>
      <c r="BR122" s="2" t="n">
        <v>34659.71418549181</v>
      </c>
      <c r="BS122" s="2" t="n">
        <v>938.6213934426229</v>
      </c>
      <c r="BT122" s="2" t="n">
        <v>393.4426229508197</v>
      </c>
      <c r="BU122" s="2" t="n">
        <v>7119.24755737705</v>
      </c>
      <c r="BV122" s="2" t="n">
        <v>8451.311573770492</v>
      </c>
      <c r="BW122" s="2" t="n">
        <v>43111.0257592623</v>
      </c>
      <c r="BX122" s="2" t="n">
        <v>26087.37</v>
      </c>
      <c r="BY122" s="2" t="n">
        <v>3211.92</v>
      </c>
      <c r="BZ122" s="2" t="n">
        <v>15574.8</v>
      </c>
      <c r="CA122" s="2" t="n">
        <v>29299.29</v>
      </c>
      <c r="CB122" s="2">
        <f>(BC122+IF(BD122="",0,BD122))-BW122</f>
        <v/>
      </c>
      <c r="CC122" t="inlineStr">
        <is>
          <t>ALERT: profit/loss &lt;= -5000</t>
        </is>
      </c>
    </row>
    <row r="123">
      <c r="A123" t="n">
        <v>1299</v>
      </c>
      <c r="B123" t="inlineStr">
        <is>
          <t>Pawia 5a, 31-154 Kraków</t>
        </is>
      </c>
      <c r="C123" t="inlineStr">
        <is>
          <t>Kraków Główny</t>
        </is>
      </c>
      <c r="D123" t="inlineStr">
        <is>
          <t>FAA2000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22770.03</v>
      </c>
      <c r="L123" s="2" t="n">
        <v>1895.394163888889</v>
      </c>
      <c r="M123" s="2" t="n">
        <v>21083.36111111111</v>
      </c>
      <c r="N123" s="2" t="n">
        <v>4198.57</v>
      </c>
      <c r="O123" s="2" t="n">
        <v>17874.03</v>
      </c>
      <c r="P123" s="2" t="n">
        <v>697.4299999999999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15243</v>
      </c>
      <c r="X123" s="2" t="n">
        <v>750</v>
      </c>
      <c r="Y123" s="2" t="n">
        <v>14113.88888888889</v>
      </c>
      <c r="Z123" s="2" t="n">
        <v>1811.35</v>
      </c>
      <c r="AA123" s="2" t="n">
        <v>13144.69</v>
      </c>
      <c r="AB123" s="2" t="n">
        <v>286.96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10970.84</v>
      </c>
      <c r="AP123" s="2" t="n">
        <v>802.4966296296295</v>
      </c>
      <c r="AQ123" s="2" t="n">
        <v>10158.18518518518</v>
      </c>
      <c r="AR123" s="2" t="n">
        <v>2341.03</v>
      </c>
      <c r="AS123" s="2" t="n">
        <v>8457.309999999999</v>
      </c>
      <c r="AT123" s="2" t="n">
        <v>172.5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48983.87</v>
      </c>
      <c r="BB123" s="2" t="n">
        <v>40632.92</v>
      </c>
      <c r="BC123" s="2">
        <f>F123+L123+R123+X123+AD123+AJ123+AP123+AV123+IF(BE123="",0,BE123)</f>
        <v/>
      </c>
      <c r="BD123" s="2" t="n">
        <v>600.2268329999999</v>
      </c>
      <c r="BE123" s="2" t="n"/>
      <c r="BF123" s="2" t="n">
        <v>45355.43518518518</v>
      </c>
      <c r="BG123" s="2" t="n">
        <v>600</v>
      </c>
      <c r="BH123" s="2" t="n">
        <v>100</v>
      </c>
      <c r="BI123" s="2" t="n">
        <v>32586.6</v>
      </c>
      <c r="BJ123" s="2" t="n">
        <v>87.34377049180328</v>
      </c>
      <c r="BK123" s="2" t="n">
        <v>0</v>
      </c>
      <c r="BL123" s="2" t="n">
        <v>20</v>
      </c>
      <c r="BM123" s="2" t="n">
        <v>0</v>
      </c>
      <c r="BN123" s="2" t="n">
        <v>5</v>
      </c>
      <c r="BO123" s="2" t="n">
        <v>0</v>
      </c>
      <c r="BP123" s="2" t="n">
        <v>548.5444199999999</v>
      </c>
      <c r="BQ123" s="2" t="n">
        <v>0</v>
      </c>
      <c r="BR123" s="2" t="n">
        <v>33947.4881904918</v>
      </c>
      <c r="BS123" s="2" t="n">
        <v>938.6213934426229</v>
      </c>
      <c r="BT123" s="2" t="n">
        <v>393.4426229508197</v>
      </c>
      <c r="BU123" s="2" t="n">
        <v>6946.20155737705</v>
      </c>
      <c r="BV123" s="2" t="n">
        <v>8278.265573770492</v>
      </c>
      <c r="BW123" s="2" t="n">
        <v>42225.75376426229</v>
      </c>
      <c r="BX123" s="2" t="n">
        <v>39476.03</v>
      </c>
      <c r="BY123" s="2" t="n">
        <v>1156.89</v>
      </c>
      <c r="BZ123" s="2" t="n">
        <v>8350.950000000001</v>
      </c>
      <c r="CA123" s="2" t="n">
        <v>40632.92</v>
      </c>
      <c r="CB123" s="2">
        <f>(BC123+IF(BD123="",0,BD123))-BW123</f>
        <v/>
      </c>
      <c r="CC123" t="inlineStr">
        <is>
          <t>ALERT: profit/loss &lt;= -5000</t>
        </is>
      </c>
    </row>
    <row r="124">
      <c r="A124" s="3" t="inlineStr">
        <is>
          <t>PODSUMOWANIE</t>
        </is>
      </c>
      <c r="B124" s="3" t="n"/>
      <c r="C124" s="3" t="n"/>
      <c r="D124" s="3" t="n"/>
      <c r="E124" s="4">
        <f>SUM(E2:E123)</f>
        <v/>
      </c>
      <c r="F124" s="4">
        <f>SUM(F2:F123)</f>
        <v/>
      </c>
      <c r="G124" s="4">
        <f>SUM(G2:G123)</f>
        <v/>
      </c>
      <c r="H124" s="4">
        <f>SUM(H2:H123)</f>
        <v/>
      </c>
      <c r="I124" s="4">
        <f>SUM(I2:I123)</f>
        <v/>
      </c>
      <c r="J124" s="4">
        <f>SUM(J2:J123)</f>
        <v/>
      </c>
      <c r="K124" s="4">
        <f>SUM(K2:K123)</f>
        <v/>
      </c>
      <c r="L124" s="4">
        <f>SUM(L2:L123)</f>
        <v/>
      </c>
      <c r="M124" s="4">
        <f>SUM(M2:M123)</f>
        <v/>
      </c>
      <c r="N124" s="4">
        <f>SUM(N2:N123)</f>
        <v/>
      </c>
      <c r="O124" s="4">
        <f>SUM(O2:O123)</f>
        <v/>
      </c>
      <c r="P124" s="4">
        <f>SUM(P2:P123)</f>
        <v/>
      </c>
      <c r="Q124" s="4">
        <f>SUM(Q2:Q123)</f>
        <v/>
      </c>
      <c r="R124" s="4">
        <f>SUM(R2:R123)</f>
        <v/>
      </c>
      <c r="S124" s="4">
        <f>SUM(S2:S123)</f>
        <v/>
      </c>
      <c r="T124" s="4">
        <f>SUM(T2:T123)</f>
        <v/>
      </c>
      <c r="U124" s="4">
        <f>SUM(U2:U123)</f>
        <v/>
      </c>
      <c r="V124" s="4">
        <f>SUM(V2:V123)</f>
        <v/>
      </c>
      <c r="W124" s="4">
        <f>SUM(W2:W123)</f>
        <v/>
      </c>
      <c r="X124" s="4">
        <f>SUM(X2:X123)</f>
        <v/>
      </c>
      <c r="Y124" s="4">
        <f>SUM(Y2:Y123)</f>
        <v/>
      </c>
      <c r="Z124" s="4">
        <f>SUM(Z2:Z123)</f>
        <v/>
      </c>
      <c r="AA124" s="4">
        <f>SUM(AA2:AA123)</f>
        <v/>
      </c>
      <c r="AB124" s="4">
        <f>SUM(AB2:AB123)</f>
        <v/>
      </c>
      <c r="AC124" s="4">
        <f>SUM(AC2:AC123)</f>
        <v/>
      </c>
      <c r="AD124" s="4">
        <f>SUM(AD2:AD123)</f>
        <v/>
      </c>
      <c r="AE124" s="4">
        <f>SUM(AE2:AE123)</f>
        <v/>
      </c>
      <c r="AF124" s="4">
        <f>SUM(AF2:AF123)</f>
        <v/>
      </c>
      <c r="AG124" s="4">
        <f>SUM(AG2:AG123)</f>
        <v/>
      </c>
      <c r="AH124" s="4">
        <f>SUM(AH2:AH123)</f>
        <v/>
      </c>
      <c r="AI124" s="4">
        <f>SUM(AI2:AI123)</f>
        <v/>
      </c>
      <c r="AJ124" s="4">
        <f>SUM(AJ2:AJ123)</f>
        <v/>
      </c>
      <c r="AK124" s="4">
        <f>SUM(AK2:AK123)</f>
        <v/>
      </c>
      <c r="AL124" s="4">
        <f>SUM(AL2:AL123)</f>
        <v/>
      </c>
      <c r="AM124" s="4">
        <f>SUM(AM2:AM123)</f>
        <v/>
      </c>
      <c r="AN124" s="4">
        <f>SUM(AN2:AN123)</f>
        <v/>
      </c>
      <c r="AO124" s="4">
        <f>SUM(AO2:AO123)</f>
        <v/>
      </c>
      <c r="AP124" s="4">
        <f>SUM(AP2:AP123)</f>
        <v/>
      </c>
      <c r="AQ124" s="4">
        <f>SUM(AQ2:AQ123)</f>
        <v/>
      </c>
      <c r="AR124" s="4">
        <f>SUM(AR2:AR123)</f>
        <v/>
      </c>
      <c r="AS124" s="4">
        <f>SUM(AS2:AS123)</f>
        <v/>
      </c>
      <c r="AT124" s="4">
        <f>SUM(AT2:AT123)</f>
        <v/>
      </c>
      <c r="AU124" s="4">
        <f>SUM(AU2:AU123)</f>
        <v/>
      </c>
      <c r="AV124" s="4">
        <f>SUM(AV2:AV123)</f>
        <v/>
      </c>
      <c r="AW124" s="4">
        <f>SUM(AW2:AW123)</f>
        <v/>
      </c>
      <c r="AX124" s="4">
        <f>SUM(AX2:AX123)</f>
        <v/>
      </c>
      <c r="AY124" s="4">
        <f>SUM(AY2:AY123)</f>
        <v/>
      </c>
      <c r="AZ124" s="4">
        <f>SUM(AZ2:AZ123)</f>
        <v/>
      </c>
      <c r="BA124" s="4">
        <f>SUM(BA2:BA123)</f>
        <v/>
      </c>
      <c r="BB124" s="4">
        <f>SUM(BB2:BB123)</f>
        <v/>
      </c>
      <c r="BC124" s="4">
        <f>SUM(BC2:BC123)</f>
        <v/>
      </c>
      <c r="BD124" s="4">
        <f>SUM(BD2:BD123)</f>
        <v/>
      </c>
      <c r="BE124" s="4">
        <f>SUM(BE2:BE123)</f>
        <v/>
      </c>
      <c r="BF124" s="4">
        <f>SUM(BF2:BF123)</f>
        <v/>
      </c>
      <c r="BG124" s="4">
        <f>SUM(BG2:BG123)</f>
        <v/>
      </c>
      <c r="BH124" s="4">
        <f>SUM(BH2:BH123)</f>
        <v/>
      </c>
      <c r="BI124" s="4">
        <f>SUM(BI2:BI123)</f>
        <v/>
      </c>
      <c r="BJ124" s="4">
        <f>SUM(BJ2:BJ123)</f>
        <v/>
      </c>
      <c r="BK124" s="4">
        <f>SUM(BK2:BK123)</f>
        <v/>
      </c>
      <c r="BL124" s="4">
        <f>SUM(BL2:BL123)</f>
        <v/>
      </c>
      <c r="BM124" s="4">
        <f>SUM(BM2:BM123)</f>
        <v/>
      </c>
      <c r="BN124" s="4">
        <f>SUM(BN2:BN123)</f>
        <v/>
      </c>
      <c r="BO124" s="4">
        <f>SUM(BO2:BO123)</f>
        <v/>
      </c>
      <c r="BP124" s="4">
        <f>SUM(BP2:BP123)</f>
        <v/>
      </c>
      <c r="BQ124" s="4">
        <f>SUM(BQ2:BQ123)</f>
        <v/>
      </c>
      <c r="BR124" s="4">
        <f>SUM(BR2:BR123)</f>
        <v/>
      </c>
      <c r="BS124" s="4">
        <f>SUM(BS2:BS123)</f>
        <v/>
      </c>
      <c r="BT124" s="4">
        <f>SUM(BT2:BT123)</f>
        <v/>
      </c>
      <c r="BU124" s="4">
        <f>SUM(BU2:BU123)</f>
        <v/>
      </c>
      <c r="BV124" s="4">
        <f>SUM(BV2:BV123)</f>
        <v/>
      </c>
      <c r="BW124" s="4">
        <f>SUM(BW2:BW123)</f>
        <v/>
      </c>
      <c r="BX124" s="4">
        <f>SUM(BX2:BX123)</f>
        <v/>
      </c>
      <c r="BY124" s="4">
        <f>SUM(BY2:BY123)</f>
        <v/>
      </c>
      <c r="BZ124" s="4">
        <f>SUM(BZ2:BZ123)</f>
        <v/>
      </c>
      <c r="CA124" s="4">
        <f>SUM(CA2:CA123)</f>
        <v/>
      </c>
      <c r="CB124" s="4">
        <f>SUM(CB2:CB123)</f>
        <v/>
      </c>
      <c r="CC124" s="3" t="n"/>
    </row>
  </sheetData>
  <conditionalFormatting sqref="CB2:CB123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1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1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1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7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19245.25</v>
      </c>
      <c r="L2" s="2" t="n">
        <v>1601.988865740741</v>
      </c>
      <c r="M2" s="2" t="n">
        <v>17819.67592592592</v>
      </c>
      <c r="N2" s="2" t="n">
        <v>0</v>
      </c>
      <c r="O2" s="2" t="n">
        <v>17788.9</v>
      </c>
      <c r="P2" s="2" t="n">
        <v>1456.35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25330.87</v>
      </c>
      <c r="X2" s="2" t="n">
        <v>750</v>
      </c>
      <c r="Y2" s="2" t="n">
        <v>23454.50925925926</v>
      </c>
      <c r="Z2" s="2" t="n">
        <v>0</v>
      </c>
      <c r="AA2" s="2" t="n">
        <v>24511.12</v>
      </c>
      <c r="AB2" s="2" t="n">
        <v>819.75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14605.38</v>
      </c>
      <c r="AP2" s="2" t="n">
        <v>676.175</v>
      </c>
      <c r="AQ2" s="2" t="n">
        <v>13523.5</v>
      </c>
      <c r="AR2" s="2" t="n">
        <v>0</v>
      </c>
      <c r="AS2" s="2" t="n">
        <v>14208.46</v>
      </c>
      <c r="AT2" s="2" t="n">
        <v>396.92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59181.49999999999</v>
      </c>
      <c r="BB2" s="2" t="n">
        <v>59181.49999999999</v>
      </c>
      <c r="BC2" s="2">
        <f>F2+L2+R2+X2+AD2+AJ2+AP2+AV2+IF(BE2="",0,BE2)</f>
        <v/>
      </c>
      <c r="BD2" s="2" t="n">
        <v>863.2664470000001</v>
      </c>
      <c r="BE2" s="2" t="n"/>
      <c r="BF2" s="2" t="n">
        <v>54797.68518518518</v>
      </c>
      <c r="BG2" s="2" t="n">
        <v>1175.06</v>
      </c>
      <c r="BH2" s="2" t="n">
        <v>264</v>
      </c>
      <c r="BI2" s="2" t="n">
        <v>36187.5</v>
      </c>
      <c r="BJ2" s="2" t="n">
        <v>95.83216666666667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798.9502500000001</v>
      </c>
      <c r="BQ2" s="2" t="n">
        <v>0</v>
      </c>
      <c r="BR2" s="2" t="n">
        <v>38546.34241666667</v>
      </c>
      <c r="BS2" s="2" t="n">
        <v>801.8115</v>
      </c>
      <c r="BT2" s="2" t="n">
        <v>0</v>
      </c>
      <c r="BU2" s="2" t="n">
        <v>7709.840733333334</v>
      </c>
      <c r="BV2" s="2" t="n">
        <v>8511.652233333334</v>
      </c>
      <c r="BW2" s="2" t="n">
        <v>47057.99465</v>
      </c>
      <c r="BX2" s="2" t="n">
        <v>56508.48</v>
      </c>
      <c r="BY2" s="2" t="n">
        <v>2673.02</v>
      </c>
      <c r="BZ2" s="2" t="n">
        <v>0</v>
      </c>
      <c r="CA2" s="2" t="n">
        <v>59181.5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2663.57</v>
      </c>
      <c r="L3" s="2" t="n">
        <v>221.7175398148148</v>
      </c>
      <c r="M3" s="2" t="n">
        <v>2466.268518518519</v>
      </c>
      <c r="N3" s="2" t="n">
        <v>0</v>
      </c>
      <c r="O3" s="2" t="n">
        <v>2429.27</v>
      </c>
      <c r="P3" s="2" t="n">
        <v>234.3</v>
      </c>
      <c r="Q3" s="2" t="n">
        <v>3732.19</v>
      </c>
      <c r="R3" s="2" t="n">
        <v>259.1798611111111</v>
      </c>
      <c r="S3" s="2" t="n">
        <v>3455.731481481481</v>
      </c>
      <c r="T3" s="2" t="n">
        <v>0</v>
      </c>
      <c r="U3" s="2" t="n">
        <v>3545.98</v>
      </c>
      <c r="V3" s="2" t="n">
        <v>186.21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9020.870000000001</v>
      </c>
      <c r="AP3" s="2" t="n">
        <v>417.6328703703704</v>
      </c>
      <c r="AQ3" s="2" t="n">
        <v>8352.657407407407</v>
      </c>
      <c r="AR3" s="2" t="n">
        <v>0</v>
      </c>
      <c r="AS3" s="2" t="n">
        <v>8506.690000000001</v>
      </c>
      <c r="AT3" s="2" t="n">
        <v>514.1799999999999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15416.63</v>
      </c>
      <c r="BB3" s="2" t="n">
        <v>15416.63</v>
      </c>
      <c r="BC3" s="2">
        <f>F3+L3+R3+X3+AD3+AJ3+AP3+AV3+IF(BE3="",0,BE3)</f>
        <v/>
      </c>
      <c r="BD3" s="2" t="n">
        <v>237.416102</v>
      </c>
      <c r="BE3" s="2" t="n"/>
      <c r="BF3" s="2" t="n">
        <v>14274.65740740741</v>
      </c>
      <c r="BG3" s="2" t="n">
        <v>0</v>
      </c>
      <c r="BH3" s="2" t="n">
        <v>0</v>
      </c>
      <c r="BI3" s="2" t="n">
        <v>36187.5</v>
      </c>
      <c r="BJ3" s="2" t="n">
        <v>95.83216666666667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208.124505</v>
      </c>
      <c r="BQ3" s="2" t="n">
        <v>0</v>
      </c>
      <c r="BR3" s="2" t="n">
        <v>36516.45667166667</v>
      </c>
      <c r="BS3" s="2" t="n">
        <v>801.8115</v>
      </c>
      <c r="BT3" s="2" t="n">
        <v>0</v>
      </c>
      <c r="BU3" s="2" t="n">
        <v>7422.028733333334</v>
      </c>
      <c r="BV3" s="2" t="n">
        <v>8223.840233333334</v>
      </c>
      <c r="BW3" s="2" t="n">
        <v>44740.296905</v>
      </c>
      <c r="BX3" s="2" t="n">
        <v>14481.94</v>
      </c>
      <c r="BY3" s="2" t="n">
        <v>934.6899999999999</v>
      </c>
      <c r="BZ3" s="2" t="n">
        <v>0</v>
      </c>
      <c r="CA3" s="2" t="n">
        <v>15416.63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7500.22</v>
      </c>
      <c r="L4" s="2" t="n">
        <v>624.3238685185186</v>
      </c>
      <c r="M4" s="2" t="n">
        <v>6944.648148148148</v>
      </c>
      <c r="N4" s="2" t="n">
        <v>0</v>
      </c>
      <c r="O4" s="2" t="n">
        <v>6804.51</v>
      </c>
      <c r="P4" s="2" t="n">
        <v>695.71</v>
      </c>
      <c r="Q4" s="2" t="n">
        <v>16815.38</v>
      </c>
      <c r="R4" s="2" t="n">
        <v>500</v>
      </c>
      <c r="S4" s="2" t="n">
        <v>15569.7962962963</v>
      </c>
      <c r="T4" s="2" t="n">
        <v>0</v>
      </c>
      <c r="U4" s="2" t="n">
        <v>16167.64</v>
      </c>
      <c r="V4" s="2" t="n">
        <v>647.74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6222.889999999999</v>
      </c>
      <c r="AP4" s="2" t="n">
        <v>288.0967592592592</v>
      </c>
      <c r="AQ4" s="2" t="n">
        <v>5761.935185185184</v>
      </c>
      <c r="AR4" s="2" t="n">
        <v>0</v>
      </c>
      <c r="AS4" s="2" t="n">
        <v>5843.82</v>
      </c>
      <c r="AT4" s="2" t="n">
        <v>379.07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30538.49</v>
      </c>
      <c r="BB4" s="2" t="n">
        <v>30538.49</v>
      </c>
      <c r="BC4" s="2">
        <f>F4+L4+R4+X4+AD4+AJ4+AP4+AV4+IF(BE4="",0,BE4)</f>
        <v/>
      </c>
      <c r="BD4" s="2" t="n">
        <v>470.292746</v>
      </c>
      <c r="BE4" s="2" t="n"/>
      <c r="BF4" s="2" t="n">
        <v>28276.37962962963</v>
      </c>
      <c r="BG4" s="2" t="n">
        <v>0</v>
      </c>
      <c r="BH4" s="2" t="n">
        <v>0</v>
      </c>
      <c r="BI4" s="2" t="n">
        <v>36187.5</v>
      </c>
      <c r="BJ4" s="2" t="n">
        <v>95.83216666666667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412.269615</v>
      </c>
      <c r="BQ4" s="2" t="n">
        <v>0</v>
      </c>
      <c r="BR4" s="2" t="n">
        <v>36720.60178166666</v>
      </c>
      <c r="BS4" s="2" t="n">
        <v>801.8115</v>
      </c>
      <c r="BT4" s="2" t="n">
        <v>0</v>
      </c>
      <c r="BU4" s="2" t="n">
        <v>7422.028733333334</v>
      </c>
      <c r="BV4" s="2" t="n">
        <v>8223.840233333334</v>
      </c>
      <c r="BW4" s="2" t="n">
        <v>44944.442015</v>
      </c>
      <c r="BX4" s="2" t="n">
        <v>28815.97</v>
      </c>
      <c r="BY4" s="2" t="n">
        <v>1722.52</v>
      </c>
      <c r="BZ4" s="2" t="n">
        <v>0</v>
      </c>
      <c r="CA4" s="2" t="n">
        <v>30538.49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27283.77</v>
      </c>
      <c r="L5" s="2" t="n">
        <v>2271.121225</v>
      </c>
      <c r="M5" s="2" t="n">
        <v>25262.75</v>
      </c>
      <c r="N5" s="2" t="n">
        <v>0</v>
      </c>
      <c r="O5" s="2" t="n">
        <v>25519.21</v>
      </c>
      <c r="P5" s="2" t="n">
        <v>1764.56</v>
      </c>
      <c r="Q5" s="2" t="n">
        <v>23.9</v>
      </c>
      <c r="R5" s="2" t="n">
        <v>1.659722222222222</v>
      </c>
      <c r="S5" s="2" t="n">
        <v>22.12962962962963</v>
      </c>
      <c r="T5" s="2" t="n">
        <v>0</v>
      </c>
      <c r="U5" s="2" t="n">
        <v>0</v>
      </c>
      <c r="V5" s="2" t="n">
        <v>23.9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38462.10000000001</v>
      </c>
      <c r="AD5" s="2" t="n">
        <v>2457.300833333334</v>
      </c>
      <c r="AE5" s="2" t="n">
        <v>35613.05555555556</v>
      </c>
      <c r="AF5" s="2" t="n">
        <v>0</v>
      </c>
      <c r="AG5" s="2" t="n">
        <v>35002.66</v>
      </c>
      <c r="AH5" s="2" t="n">
        <v>3459.44</v>
      </c>
      <c r="AI5" s="2" t="n">
        <v>58.77</v>
      </c>
      <c r="AJ5" s="2" t="n">
        <v>4.08125</v>
      </c>
      <c r="AK5" s="2" t="n">
        <v>54.41666666666666</v>
      </c>
      <c r="AL5" s="2" t="n">
        <v>0</v>
      </c>
      <c r="AM5" s="2" t="n">
        <v>42.27</v>
      </c>
      <c r="AN5" s="2" t="n">
        <v>16.5</v>
      </c>
      <c r="AO5" s="2" t="n">
        <v>14809.8</v>
      </c>
      <c r="AP5" s="2" t="n">
        <v>685.6388888888888</v>
      </c>
      <c r="AQ5" s="2" t="n">
        <v>13712.77777777778</v>
      </c>
      <c r="AR5" s="2" t="n">
        <v>0</v>
      </c>
      <c r="AS5" s="2" t="n">
        <v>13489.5</v>
      </c>
      <c r="AT5" s="2" t="n">
        <v>1320.3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80638.34000000001</v>
      </c>
      <c r="BB5" s="2" t="n">
        <v>80638.34000000001</v>
      </c>
      <c r="BC5" s="2">
        <f>F5+L5+R5+X5+AD5+AJ5+AP5+AV5+IF(BE5="",0,BE5)</f>
        <v/>
      </c>
      <c r="BD5" s="2" t="n">
        <v>1241.830436</v>
      </c>
      <c r="BE5" s="2" t="n"/>
      <c r="BF5" s="2" t="n">
        <v>74665.12962962964</v>
      </c>
      <c r="BG5" s="2" t="n">
        <v>0</v>
      </c>
      <c r="BH5" s="2" t="n">
        <v>0</v>
      </c>
      <c r="BI5" s="2" t="n">
        <v>36187.5</v>
      </c>
      <c r="BJ5" s="2" t="n">
        <v>95.83216666666667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1088.61759</v>
      </c>
      <c r="BQ5" s="2" t="n">
        <v>0</v>
      </c>
      <c r="BR5" s="2" t="n">
        <v>37396.94975666667</v>
      </c>
      <c r="BS5" s="2" t="n">
        <v>801.8115</v>
      </c>
      <c r="BT5" s="2" t="n">
        <v>0</v>
      </c>
      <c r="BU5" s="2" t="n">
        <v>7422.028733333334</v>
      </c>
      <c r="BV5" s="2" t="n">
        <v>8223.840233333334</v>
      </c>
      <c r="BW5" s="2" t="n">
        <v>45620.78999</v>
      </c>
      <c r="BX5" s="2" t="n">
        <v>74053.64</v>
      </c>
      <c r="BY5" s="2" t="n">
        <v>6584.7</v>
      </c>
      <c r="BZ5" s="2" t="n">
        <v>0</v>
      </c>
      <c r="CA5" s="2" t="n">
        <v>80638.34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4165.68</v>
      </c>
      <c r="L6" s="2" t="n">
        <v>346.7542888888889</v>
      </c>
      <c r="M6" s="2" t="n">
        <v>3857.111111111111</v>
      </c>
      <c r="N6" s="2" t="n">
        <v>0</v>
      </c>
      <c r="O6" s="2" t="n">
        <v>3981.08</v>
      </c>
      <c r="P6" s="2" t="n">
        <v>184.6</v>
      </c>
      <c r="Q6" s="2" t="n">
        <v>22</v>
      </c>
      <c r="R6" s="2" t="n">
        <v>1.527777777777778</v>
      </c>
      <c r="S6" s="2" t="n">
        <v>20.37037037037037</v>
      </c>
      <c r="T6" s="2" t="n">
        <v>0</v>
      </c>
      <c r="U6" s="2" t="n">
        <v>22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11370.88</v>
      </c>
      <c r="AP6" s="2" t="n">
        <v>526.4296296296296</v>
      </c>
      <c r="AQ6" s="2" t="n">
        <v>10528.59259259259</v>
      </c>
      <c r="AR6" s="2" t="n">
        <v>0</v>
      </c>
      <c r="AS6" s="2" t="n">
        <v>10675.05</v>
      </c>
      <c r="AT6" s="2" t="n">
        <v>695.83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15558.56</v>
      </c>
      <c r="BB6" s="2" t="n">
        <v>15558.56</v>
      </c>
      <c r="BC6" s="2">
        <f>F6+L6+R6+X6+AD6+AJ6+AP6+AV6+IF(BE6="",0,BE6)</f>
        <v/>
      </c>
      <c r="BD6" s="2" t="n">
        <v>239.601824</v>
      </c>
      <c r="BE6" s="2" t="n"/>
      <c r="BF6" s="2" t="n">
        <v>14406.07407407407</v>
      </c>
      <c r="BG6" s="2" t="n">
        <v>0</v>
      </c>
      <c r="BH6" s="2" t="n">
        <v>0</v>
      </c>
      <c r="BI6" s="2" t="n">
        <v>36187.5</v>
      </c>
      <c r="BJ6" s="2" t="n">
        <v>95.83216666666667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210.04056</v>
      </c>
      <c r="BQ6" s="2" t="n">
        <v>0</v>
      </c>
      <c r="BR6" s="2" t="n">
        <v>36518.37272666667</v>
      </c>
      <c r="BS6" s="2" t="n">
        <v>801.8115</v>
      </c>
      <c r="BT6" s="2" t="n">
        <v>0</v>
      </c>
      <c r="BU6" s="2" t="n">
        <v>7422.028733333334</v>
      </c>
      <c r="BV6" s="2" t="n">
        <v>8223.840233333334</v>
      </c>
      <c r="BW6" s="2" t="n">
        <v>44742.21296</v>
      </c>
      <c r="BX6" s="2" t="n">
        <v>14678.13</v>
      </c>
      <c r="BY6" s="2" t="n">
        <v>880.4300000000001</v>
      </c>
      <c r="BZ6" s="2" t="n">
        <v>0</v>
      </c>
      <c r="CA6" s="2" t="n">
        <v>15558.56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19331.63</v>
      </c>
      <c r="L7" s="2" t="n">
        <v>1609.179200925926</v>
      </c>
      <c r="M7" s="2" t="n">
        <v>17899.65740740741</v>
      </c>
      <c r="N7" s="2" t="n">
        <v>0</v>
      </c>
      <c r="O7" s="2" t="n">
        <v>16748.8</v>
      </c>
      <c r="P7" s="2" t="n">
        <v>2582.83</v>
      </c>
      <c r="Q7" s="2" t="n">
        <v>57.4</v>
      </c>
      <c r="R7" s="2" t="n">
        <v>3.986111111111111</v>
      </c>
      <c r="S7" s="2" t="n">
        <v>53.14814814814815</v>
      </c>
      <c r="T7" s="2" t="n">
        <v>0</v>
      </c>
      <c r="U7" s="2" t="n">
        <v>57.4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23.96</v>
      </c>
      <c r="AD7" s="2" t="n">
        <v>1.530777777777778</v>
      </c>
      <c r="AE7" s="2" t="n">
        <v>22.18518518518518</v>
      </c>
      <c r="AF7" s="2" t="n">
        <v>0</v>
      </c>
      <c r="AG7" s="2" t="n">
        <v>23.96</v>
      </c>
      <c r="AH7" s="2" t="n">
        <v>0</v>
      </c>
      <c r="AI7" s="2" t="n">
        <v>43.4</v>
      </c>
      <c r="AJ7" s="2" t="n">
        <v>3.013888888888889</v>
      </c>
      <c r="AK7" s="2" t="n">
        <v>40.18518518518518</v>
      </c>
      <c r="AL7" s="2" t="n">
        <v>0</v>
      </c>
      <c r="AM7" s="2" t="n">
        <v>43.4</v>
      </c>
      <c r="AN7" s="2" t="n">
        <v>0</v>
      </c>
      <c r="AO7" s="2" t="n">
        <v>36621.26</v>
      </c>
      <c r="AP7" s="2" t="n">
        <v>1695.428703703704</v>
      </c>
      <c r="AQ7" s="2" t="n">
        <v>33908.57407407407</v>
      </c>
      <c r="AR7" s="2" t="n">
        <v>0</v>
      </c>
      <c r="AS7" s="2" t="n">
        <v>33107.39</v>
      </c>
      <c r="AT7" s="2" t="n">
        <v>3513.87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56077.65</v>
      </c>
      <c r="BB7" s="2" t="n">
        <v>56077.65</v>
      </c>
      <c r="BC7" s="2">
        <f>F7+L7+R7+X7+AD7+AJ7+AP7+AV7+IF(BE7="",0,BE7)</f>
        <v/>
      </c>
      <c r="BD7" s="2" t="n">
        <v>863.59581</v>
      </c>
      <c r="BE7" s="2" t="n"/>
      <c r="BF7" s="2" t="n">
        <v>51923.75</v>
      </c>
      <c r="BG7" s="2" t="n">
        <v>0</v>
      </c>
      <c r="BH7" s="2" t="n">
        <v>0</v>
      </c>
      <c r="BI7" s="2" t="n">
        <v>36187.5</v>
      </c>
      <c r="BJ7" s="2" t="n">
        <v>95.83216666666667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757.048275</v>
      </c>
      <c r="BQ7" s="2" t="n">
        <v>0</v>
      </c>
      <c r="BR7" s="2" t="n">
        <v>37065.38044166667</v>
      </c>
      <c r="BS7" s="2" t="n">
        <v>801.8115</v>
      </c>
      <c r="BT7" s="2" t="n">
        <v>0</v>
      </c>
      <c r="BU7" s="2" t="n">
        <v>7422.028733333334</v>
      </c>
      <c r="BV7" s="2" t="n">
        <v>8223.840233333334</v>
      </c>
      <c r="BW7" s="2" t="n">
        <v>45289.220675</v>
      </c>
      <c r="BX7" s="2" t="n">
        <v>49980.95</v>
      </c>
      <c r="BY7" s="2" t="n">
        <v>6096.7</v>
      </c>
      <c r="BZ7" s="2" t="n">
        <v>0</v>
      </c>
      <c r="CA7" s="2" t="n">
        <v>56077.64999999999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4.11</v>
      </c>
      <c r="F8" s="2" t="n">
        <v>0.266388888888889</v>
      </c>
      <c r="G8" s="2" t="n">
        <v>3.805555555555556</v>
      </c>
      <c r="H8" s="2" t="n">
        <v>0</v>
      </c>
      <c r="I8" s="2" t="n">
        <v>4.11</v>
      </c>
      <c r="J8" s="2" t="n">
        <v>0</v>
      </c>
      <c r="K8" s="2" t="n">
        <v>12281.02</v>
      </c>
      <c r="L8" s="2" t="n">
        <v>1022.281201851852</v>
      </c>
      <c r="M8" s="2" t="n">
        <v>11371.31481481481</v>
      </c>
      <c r="N8" s="2" t="n">
        <v>0</v>
      </c>
      <c r="O8" s="2" t="n">
        <v>11135.31</v>
      </c>
      <c r="P8" s="2" t="n">
        <v>1145.71</v>
      </c>
      <c r="Q8" s="2" t="n">
        <v>68.15000000000001</v>
      </c>
      <c r="R8" s="2" t="n">
        <v>4.732638888888889</v>
      </c>
      <c r="S8" s="2" t="n">
        <v>63.10185185185185</v>
      </c>
      <c r="T8" s="2" t="n">
        <v>0</v>
      </c>
      <c r="U8" s="2" t="n">
        <v>68.15000000000001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20250.99</v>
      </c>
      <c r="AP8" s="2" t="n">
        <v>937.5458333333332</v>
      </c>
      <c r="AQ8" s="2" t="n">
        <v>18750.91666666666</v>
      </c>
      <c r="AR8" s="2" t="n">
        <v>0</v>
      </c>
      <c r="AS8" s="2" t="n">
        <v>19279.46</v>
      </c>
      <c r="AT8" s="2" t="n">
        <v>971.53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32604.27</v>
      </c>
      <c r="BB8" s="2" t="n">
        <v>32604.27</v>
      </c>
      <c r="BC8" s="2">
        <f>F8+L8+R8+X8+AD8+AJ8+AP8+AV8+IF(BE8="",0,BE8)</f>
        <v/>
      </c>
      <c r="BD8" s="2" t="n">
        <v>502.105758</v>
      </c>
      <c r="BE8" s="2" t="n"/>
      <c r="BF8" s="2" t="n">
        <v>30189.13888888888</v>
      </c>
      <c r="BG8" s="2" t="n">
        <v>0</v>
      </c>
      <c r="BH8" s="2" t="n">
        <v>0</v>
      </c>
      <c r="BI8" s="2" t="n">
        <v>36187.5</v>
      </c>
      <c r="BJ8" s="2" t="n">
        <v>95.83216666666667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440.157645</v>
      </c>
      <c r="BQ8" s="2" t="n">
        <v>0</v>
      </c>
      <c r="BR8" s="2" t="n">
        <v>36748.48981166667</v>
      </c>
      <c r="BS8" s="2" t="n">
        <v>801.8115</v>
      </c>
      <c r="BT8" s="2" t="n">
        <v>0</v>
      </c>
      <c r="BU8" s="2" t="n">
        <v>7422.028733333334</v>
      </c>
      <c r="BV8" s="2" t="n">
        <v>8223.840233333334</v>
      </c>
      <c r="BW8" s="2" t="n">
        <v>44972.330045</v>
      </c>
      <c r="BX8" s="2" t="n">
        <v>30487.03</v>
      </c>
      <c r="BY8" s="2" t="n">
        <v>2117.24</v>
      </c>
      <c r="BZ8" s="2" t="n">
        <v>0</v>
      </c>
      <c r="CA8" s="2" t="n">
        <v>32604.27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11058.32</v>
      </c>
      <c r="L9" s="2" t="n">
        <v>920.5027481481483</v>
      </c>
      <c r="M9" s="2" t="n">
        <v>10239.18518518519</v>
      </c>
      <c r="N9" s="2" t="n">
        <v>0</v>
      </c>
      <c r="O9" s="2" t="n">
        <v>9784.290000000001</v>
      </c>
      <c r="P9" s="2" t="n">
        <v>1274.03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19111.34</v>
      </c>
      <c r="AP9" s="2" t="n">
        <v>884.7842592592592</v>
      </c>
      <c r="AQ9" s="2" t="n">
        <v>17695.68518518518</v>
      </c>
      <c r="AR9" s="2" t="n">
        <v>0</v>
      </c>
      <c r="AS9" s="2" t="n">
        <v>17677.19</v>
      </c>
      <c r="AT9" s="2" t="n">
        <v>1434.15</v>
      </c>
      <c r="AU9" s="2" t="n">
        <v>244.95</v>
      </c>
      <c r="AV9" s="2" t="n">
        <v>9.752638888888887</v>
      </c>
      <c r="AW9" s="2" t="n">
        <v>226.8055555555555</v>
      </c>
      <c r="AX9" s="2" t="n">
        <v>0</v>
      </c>
      <c r="AY9" s="2" t="n">
        <v>244.95</v>
      </c>
      <c r="AZ9" s="2" t="n">
        <v>0</v>
      </c>
      <c r="BA9" s="2" t="n">
        <v>30414.61</v>
      </c>
      <c r="BB9" s="2" t="n">
        <v>30414.61</v>
      </c>
      <c r="BC9" s="2">
        <f>F9+L9+R9+X9+AD9+AJ9+AP9+AV9+IF(BE9="",0,BE9)</f>
        <v/>
      </c>
      <c r="BD9" s="2" t="n">
        <v>468.384994</v>
      </c>
      <c r="BE9" s="2" t="n"/>
      <c r="BF9" s="2" t="n">
        <v>28161.67592592592</v>
      </c>
      <c r="BG9" s="2" t="n">
        <v>0</v>
      </c>
      <c r="BH9" s="2" t="n">
        <v>0</v>
      </c>
      <c r="BI9" s="2" t="n">
        <v>36187.5</v>
      </c>
      <c r="BJ9" s="2" t="n">
        <v>95.83216666666667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410.597235</v>
      </c>
      <c r="BQ9" s="2" t="n">
        <v>0</v>
      </c>
      <c r="BR9" s="2" t="n">
        <v>36718.92940166667</v>
      </c>
      <c r="BS9" s="2" t="n">
        <v>801.8115</v>
      </c>
      <c r="BT9" s="2" t="n">
        <v>0</v>
      </c>
      <c r="BU9" s="2" t="n">
        <v>7422.028733333334</v>
      </c>
      <c r="BV9" s="2" t="n">
        <v>8223.840233333334</v>
      </c>
      <c r="BW9" s="2" t="n">
        <v>44942.769635</v>
      </c>
      <c r="BX9" s="2" t="n">
        <v>27706.43</v>
      </c>
      <c r="BY9" s="2" t="n">
        <v>2708.18</v>
      </c>
      <c r="BZ9" s="2" t="n">
        <v>0</v>
      </c>
      <c r="CA9" s="2" t="n">
        <v>30414.61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2786.85</v>
      </c>
      <c r="L10" s="2" t="n">
        <v>231.9794583333334</v>
      </c>
      <c r="M10" s="2" t="n">
        <v>2580.416666666667</v>
      </c>
      <c r="N10" s="2" t="n">
        <v>0</v>
      </c>
      <c r="O10" s="2" t="n">
        <v>2718.55</v>
      </c>
      <c r="P10" s="2" t="n">
        <v>68.3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4694.72</v>
      </c>
      <c r="AP10" s="2" t="n">
        <v>217.3481481481481</v>
      </c>
      <c r="AQ10" s="2" t="n">
        <v>4346.962962962963</v>
      </c>
      <c r="AR10" s="2" t="n">
        <v>0</v>
      </c>
      <c r="AS10" s="2" t="n">
        <v>4578.71</v>
      </c>
      <c r="AT10" s="2" t="n">
        <v>116.01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7481.570000000001</v>
      </c>
      <c r="BB10" s="2" t="n">
        <v>7481.570000000001</v>
      </c>
      <c r="BC10" s="2">
        <f>F10+L10+R10+X10+AD10+AJ10+AP10+AV10+IF(BE10="",0,BE10)</f>
        <v/>
      </c>
      <c r="BD10" s="2" t="n">
        <v>115.216178</v>
      </c>
      <c r="BE10" s="2" t="n"/>
      <c r="BF10" s="2" t="n">
        <v>6927.37962962963</v>
      </c>
      <c r="BG10" s="2" t="n">
        <v>0</v>
      </c>
      <c r="BH10" s="2" t="n">
        <v>0</v>
      </c>
      <c r="BI10" s="2" t="n">
        <v>36187.5</v>
      </c>
      <c r="BJ10" s="2" t="n">
        <v>95.83216666666667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101.001195</v>
      </c>
      <c r="BQ10" s="2" t="n">
        <v>0</v>
      </c>
      <c r="BR10" s="2" t="n">
        <v>36409.33336166666</v>
      </c>
      <c r="BS10" s="2" t="n">
        <v>801.8115</v>
      </c>
      <c r="BT10" s="2" t="n">
        <v>0</v>
      </c>
      <c r="BU10" s="2" t="n">
        <v>7422.028733333334</v>
      </c>
      <c r="BV10" s="2" t="n">
        <v>8223.840233333334</v>
      </c>
      <c r="BW10" s="2" t="n">
        <v>44633.173595</v>
      </c>
      <c r="BX10" s="2" t="n">
        <v>7297.26</v>
      </c>
      <c r="BY10" s="2" t="n">
        <v>184.31</v>
      </c>
      <c r="BZ10" s="2" t="n">
        <v>0</v>
      </c>
      <c r="CA10" s="2" t="n">
        <v>7481.570000000001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3405.71</v>
      </c>
      <c r="L11" s="2" t="n">
        <v>283.4938231481482</v>
      </c>
      <c r="M11" s="2" t="n">
        <v>3153.435185185185</v>
      </c>
      <c r="N11" s="2" t="n">
        <v>0</v>
      </c>
      <c r="O11" s="2" t="n">
        <v>3171.48</v>
      </c>
      <c r="P11" s="2" t="n">
        <v>234.23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5495.91</v>
      </c>
      <c r="AP11" s="2" t="n">
        <v>254.4402777777777</v>
      </c>
      <c r="AQ11" s="2" t="n">
        <v>5088.805555555555</v>
      </c>
      <c r="AR11" s="2" t="n">
        <v>0</v>
      </c>
      <c r="AS11" s="2" t="n">
        <v>4959.03</v>
      </c>
      <c r="AT11" s="2" t="n">
        <v>536.88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8901.619999999999</v>
      </c>
      <c r="BB11" s="2" t="n">
        <v>8901.619999999999</v>
      </c>
      <c r="BC11" s="2">
        <f>F11+L11+R11+X11+AD11+AJ11+AP11+AV11+IF(BE11="",0,BE11)</f>
        <v/>
      </c>
      <c r="BD11" s="2" t="n">
        <v>137.084948</v>
      </c>
      <c r="BE11" s="2" t="n"/>
      <c r="BF11" s="2" t="n">
        <v>8242.240740740741</v>
      </c>
      <c r="BG11" s="2" t="n">
        <v>0</v>
      </c>
      <c r="BH11" s="2" t="n">
        <v>0</v>
      </c>
      <c r="BI11" s="2" t="n">
        <v>36187.5</v>
      </c>
      <c r="BJ11" s="2" t="n">
        <v>95.83216666666667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120.17187</v>
      </c>
      <c r="BQ11" s="2" t="n">
        <v>0</v>
      </c>
      <c r="BR11" s="2" t="n">
        <v>36428.50403666667</v>
      </c>
      <c r="BS11" s="2" t="n">
        <v>801.8115</v>
      </c>
      <c r="BT11" s="2" t="n">
        <v>0</v>
      </c>
      <c r="BU11" s="2" t="n">
        <v>7422.028733333334</v>
      </c>
      <c r="BV11" s="2" t="n">
        <v>8223.840233333334</v>
      </c>
      <c r="BW11" s="2" t="n">
        <v>44652.34427</v>
      </c>
      <c r="BX11" s="2" t="n">
        <v>8130.51</v>
      </c>
      <c r="BY11" s="2" t="n">
        <v>771.11</v>
      </c>
      <c r="BZ11" s="2" t="n">
        <v>0</v>
      </c>
      <c r="CA11" s="2" t="n">
        <v>8901.620000000001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40.32</v>
      </c>
      <c r="L12" s="2" t="n">
        <v>3.356266666666667</v>
      </c>
      <c r="M12" s="2" t="n">
        <v>37.33333333333333</v>
      </c>
      <c r="N12" s="2" t="n">
        <v>0</v>
      </c>
      <c r="O12" s="2" t="n">
        <v>0</v>
      </c>
      <c r="P12" s="2" t="n">
        <v>40.32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5573.07</v>
      </c>
      <c r="AP12" s="2" t="n">
        <v>3500</v>
      </c>
      <c r="AQ12" s="2" t="n">
        <v>5160.249999999999</v>
      </c>
      <c r="AR12" s="2" t="n">
        <v>0</v>
      </c>
      <c r="AS12" s="2" t="n">
        <v>5187.61</v>
      </c>
      <c r="AT12" s="2" t="n">
        <v>385.46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5613.389999999999</v>
      </c>
      <c r="BB12" s="2" t="n">
        <v>5613.389999999999</v>
      </c>
      <c r="BC12" s="2">
        <f>F12+L12+R12+X12+AD12+AJ12+AP12+AV12+IF(BE12="",0,BE12)</f>
        <v/>
      </c>
      <c r="BD12" s="2" t="n">
        <v>86.446206</v>
      </c>
      <c r="BE12" s="2" t="n"/>
      <c r="BF12" s="2" t="n">
        <v>5197.583333333332</v>
      </c>
      <c r="BG12" s="2" t="n">
        <v>0</v>
      </c>
      <c r="BH12" s="2" t="n">
        <v>0</v>
      </c>
      <c r="BI12" s="2" t="n">
        <v>36187.5</v>
      </c>
      <c r="BJ12" s="2" t="n">
        <v>95.83216666666667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75.78076499999999</v>
      </c>
      <c r="BQ12" s="2" t="n">
        <v>0</v>
      </c>
      <c r="BR12" s="2" t="n">
        <v>36384.11293166667</v>
      </c>
      <c r="BS12" s="2" t="n">
        <v>801.8115</v>
      </c>
      <c r="BT12" s="2" t="n">
        <v>0</v>
      </c>
      <c r="BU12" s="2" t="n">
        <v>7422.028733333334</v>
      </c>
      <c r="BV12" s="2" t="n">
        <v>8223.840233333334</v>
      </c>
      <c r="BW12" s="2" t="n">
        <v>44607.95316500001</v>
      </c>
      <c r="BX12" s="2" t="n">
        <v>5187.61</v>
      </c>
      <c r="BY12" s="2" t="n">
        <v>425.78</v>
      </c>
      <c r="BZ12" s="2" t="n">
        <v>0</v>
      </c>
      <c r="CA12" s="2" t="n">
        <v>5613.389999999999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2077.11</v>
      </c>
      <c r="F13" s="2" t="n">
        <v>134.6275</v>
      </c>
      <c r="G13" s="2" t="n">
        <v>1923.25</v>
      </c>
      <c r="H13" s="2" t="n">
        <v>0</v>
      </c>
      <c r="I13" s="2" t="n">
        <v>1942.06</v>
      </c>
      <c r="J13" s="2" t="n">
        <v>135.05</v>
      </c>
      <c r="K13" s="2" t="n">
        <v>718.26</v>
      </c>
      <c r="L13" s="2" t="n">
        <v>59.78849444444445</v>
      </c>
      <c r="M13" s="2" t="n">
        <v>665.0555555555555</v>
      </c>
      <c r="N13" s="2" t="n">
        <v>0</v>
      </c>
      <c r="O13" s="2" t="n">
        <v>654.91</v>
      </c>
      <c r="P13" s="2" t="n">
        <v>63.35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29.7</v>
      </c>
      <c r="AD13" s="2" t="n">
        <v>1.8975</v>
      </c>
      <c r="AE13" s="2" t="n">
        <v>27.5</v>
      </c>
      <c r="AF13" s="2" t="n">
        <v>0</v>
      </c>
      <c r="AG13" s="2" t="n">
        <v>29.7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8109.63</v>
      </c>
      <c r="AP13" s="2" t="n">
        <v>3740</v>
      </c>
      <c r="AQ13" s="2" t="n">
        <v>7508.916666666666</v>
      </c>
      <c r="AR13" s="2" t="n">
        <v>0</v>
      </c>
      <c r="AS13" s="2" t="n">
        <v>7558.58</v>
      </c>
      <c r="AT13" s="2" t="n">
        <v>551.05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10934.7</v>
      </c>
      <c r="BB13" s="2" t="n">
        <v>10934.7</v>
      </c>
      <c r="BC13" s="2">
        <f>F13+L13+R13+X13+AD13+AJ13+AP13+AV13+IF(BE13="",0,BE13)</f>
        <v/>
      </c>
      <c r="BD13" s="2" t="n">
        <v>168.39438</v>
      </c>
      <c r="BE13" s="2" t="n"/>
      <c r="BF13" s="2" t="n">
        <v>10124.72222222222</v>
      </c>
      <c r="BG13" s="2" t="n">
        <v>0</v>
      </c>
      <c r="BH13" s="2" t="n">
        <v>0</v>
      </c>
      <c r="BI13" s="2" t="n">
        <v>36187.5</v>
      </c>
      <c r="BJ13" s="2" t="n">
        <v>95.83216666666667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147.61845</v>
      </c>
      <c r="BQ13" s="2" t="n">
        <v>0</v>
      </c>
      <c r="BR13" s="2" t="n">
        <v>36455.95061666667</v>
      </c>
      <c r="BS13" s="2" t="n">
        <v>801.8115</v>
      </c>
      <c r="BT13" s="2" t="n">
        <v>0</v>
      </c>
      <c r="BU13" s="2" t="n">
        <v>7422.028733333334</v>
      </c>
      <c r="BV13" s="2" t="n">
        <v>8223.840233333334</v>
      </c>
      <c r="BW13" s="2" t="n">
        <v>44679.79085</v>
      </c>
      <c r="BX13" s="2" t="n">
        <v>10185.25</v>
      </c>
      <c r="BY13" s="2" t="n">
        <v>749.4499999999999</v>
      </c>
      <c r="BZ13" s="2" t="n">
        <v>0</v>
      </c>
      <c r="CA13" s="2" t="n">
        <v>10934.7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16107.83</v>
      </c>
      <c r="L14" s="2" t="n">
        <v>1340.827700925926</v>
      </c>
      <c r="M14" s="2" t="n">
        <v>14914.65740740741</v>
      </c>
      <c r="N14" s="2" t="n">
        <v>0</v>
      </c>
      <c r="O14" s="2" t="n">
        <v>15414.33</v>
      </c>
      <c r="P14" s="2" t="n">
        <v>693.5</v>
      </c>
      <c r="Q14" s="2" t="n">
        <v>174.9</v>
      </c>
      <c r="R14" s="2" t="n">
        <v>12.14583333333333</v>
      </c>
      <c r="S14" s="2" t="n">
        <v>161.9444444444444</v>
      </c>
      <c r="T14" s="2" t="n">
        <v>0</v>
      </c>
      <c r="U14" s="2" t="n">
        <v>174.9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38.8</v>
      </c>
      <c r="AD14" s="2" t="n">
        <v>2.478888888888889</v>
      </c>
      <c r="AE14" s="2" t="n">
        <v>35.92592592592592</v>
      </c>
      <c r="AF14" s="2" t="n">
        <v>0</v>
      </c>
      <c r="AG14" s="2" t="n">
        <v>38.8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19784.86</v>
      </c>
      <c r="AP14" s="2" t="n">
        <v>4100</v>
      </c>
      <c r="AQ14" s="2" t="n">
        <v>18319.31481481481</v>
      </c>
      <c r="AR14" s="2" t="n">
        <v>0</v>
      </c>
      <c r="AS14" s="2" t="n">
        <v>18529.89</v>
      </c>
      <c r="AT14" s="2" t="n">
        <v>1254.97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36106.39</v>
      </c>
      <c r="BB14" s="2" t="n">
        <v>36106.39</v>
      </c>
      <c r="BC14" s="2">
        <f>F14+L14+R14+X14+AD14+AJ14+AP14+AV14+IF(BE14="",0,BE14)</f>
        <v/>
      </c>
      <c r="BD14" s="2" t="n">
        <v>556.038406</v>
      </c>
      <c r="BE14" s="2" t="n"/>
      <c r="BF14" s="2" t="n">
        <v>33431.84259259259</v>
      </c>
      <c r="BG14" s="2" t="n">
        <v>0</v>
      </c>
      <c r="BH14" s="2" t="n">
        <v>0</v>
      </c>
      <c r="BI14" s="2" t="n">
        <v>36187.5</v>
      </c>
      <c r="BJ14" s="2" t="n">
        <v>95.83216666666667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487.436265</v>
      </c>
      <c r="BQ14" s="2" t="n">
        <v>0</v>
      </c>
      <c r="BR14" s="2" t="n">
        <v>36795.76843166666</v>
      </c>
      <c r="BS14" s="2" t="n">
        <v>801.8115</v>
      </c>
      <c r="BT14" s="2" t="n">
        <v>0</v>
      </c>
      <c r="BU14" s="2" t="n">
        <v>7422.028733333334</v>
      </c>
      <c r="BV14" s="2" t="n">
        <v>8223.840233333334</v>
      </c>
      <c r="BW14" s="2" t="n">
        <v>45019.608665</v>
      </c>
      <c r="BX14" s="2" t="n">
        <v>34157.92</v>
      </c>
      <c r="BY14" s="2" t="n">
        <v>1948.47</v>
      </c>
      <c r="BZ14" s="2" t="n">
        <v>0</v>
      </c>
      <c r="CA14" s="2" t="n">
        <v>36106.39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15.8</v>
      </c>
      <c r="F15" s="2" t="n">
        <v>1.024074074074074</v>
      </c>
      <c r="G15" s="2" t="n">
        <v>14.62962962962963</v>
      </c>
      <c r="H15" s="2" t="n">
        <v>0</v>
      </c>
      <c r="I15" s="2" t="n">
        <v>15.8</v>
      </c>
      <c r="J15" s="2" t="n">
        <v>0</v>
      </c>
      <c r="K15" s="2" t="n">
        <v>119</v>
      </c>
      <c r="L15" s="2" t="n">
        <v>9.905648148148147</v>
      </c>
      <c r="M15" s="2" t="n">
        <v>110.1851851851852</v>
      </c>
      <c r="N15" s="2" t="n">
        <v>0</v>
      </c>
      <c r="O15" s="2" t="n">
        <v>119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2528.47</v>
      </c>
      <c r="AP15" s="2" t="n">
        <v>3500</v>
      </c>
      <c r="AQ15" s="2" t="n">
        <v>2341.175925925926</v>
      </c>
      <c r="AR15" s="2" t="n">
        <v>0</v>
      </c>
      <c r="AS15" s="2" t="n">
        <v>2277.97</v>
      </c>
      <c r="AT15" s="2" t="n">
        <v>250.5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2663.27</v>
      </c>
      <c r="BB15" s="2" t="n">
        <v>2663.27</v>
      </c>
      <c r="BC15" s="2">
        <f>F15+L15+R15+X15+AD15+AJ15+AP15+AV15+IF(BE15="",0,BE15)</f>
        <v/>
      </c>
      <c r="BD15" s="2" t="n">
        <v>41.014358</v>
      </c>
      <c r="BE15" s="2" t="n"/>
      <c r="BF15" s="2" t="n">
        <v>2465.99074074074</v>
      </c>
      <c r="BG15" s="2" t="n">
        <v>0</v>
      </c>
      <c r="BH15" s="2" t="n">
        <v>0</v>
      </c>
      <c r="BI15" s="2" t="n">
        <v>36187.5</v>
      </c>
      <c r="BJ15" s="2" t="n">
        <v>95.83216666666667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35.954145</v>
      </c>
      <c r="BQ15" s="2" t="n">
        <v>0</v>
      </c>
      <c r="BR15" s="2" t="n">
        <v>36344.28631166667</v>
      </c>
      <c r="BS15" s="2" t="n">
        <v>801.8115</v>
      </c>
      <c r="BT15" s="2" t="n">
        <v>0</v>
      </c>
      <c r="BU15" s="2" t="n">
        <v>7422.028733333334</v>
      </c>
      <c r="BV15" s="2" t="n">
        <v>8223.840233333334</v>
      </c>
      <c r="BW15" s="2" t="n">
        <v>44568.12654500001</v>
      </c>
      <c r="BX15" s="2" t="n">
        <v>2412.77</v>
      </c>
      <c r="BY15" s="2" t="n">
        <v>250.5</v>
      </c>
      <c r="BZ15" s="2" t="n">
        <v>0</v>
      </c>
      <c r="CA15" s="2" t="n">
        <v>2663.27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14655.98</v>
      </c>
      <c r="L16" s="2" t="n">
        <v>1219.974631481482</v>
      </c>
      <c r="M16" s="2" t="n">
        <v>13570.35185185185</v>
      </c>
      <c r="N16" s="2" t="n">
        <v>0</v>
      </c>
      <c r="O16" s="2" t="n">
        <v>13685.98</v>
      </c>
      <c r="P16" s="2" t="n">
        <v>970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45973.11</v>
      </c>
      <c r="X16" s="2" t="n">
        <v>750</v>
      </c>
      <c r="Y16" s="2" t="n">
        <v>42567.69444444445</v>
      </c>
      <c r="Z16" s="2" t="n">
        <v>0</v>
      </c>
      <c r="AA16" s="2" t="n">
        <v>44822.44</v>
      </c>
      <c r="AB16" s="2" t="n">
        <v>1150.67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7613.55</v>
      </c>
      <c r="AP16" s="2" t="n">
        <v>4150</v>
      </c>
      <c r="AQ16" s="2" t="n">
        <v>7049.583333333333</v>
      </c>
      <c r="AR16" s="2" t="n">
        <v>0</v>
      </c>
      <c r="AS16" s="2" t="n">
        <v>7169.46</v>
      </c>
      <c r="AT16" s="2" t="n">
        <v>444.09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68242.64</v>
      </c>
      <c r="BB16" s="2" t="n">
        <v>68242.64</v>
      </c>
      <c r="BC16" s="2">
        <f>F16+L16+R16+X16+AD16+AJ16+AP16+AV16+IF(BE16="",0,BE16)</f>
        <v/>
      </c>
      <c r="BD16" s="2" t="n">
        <v>963.587747</v>
      </c>
      <c r="BE16" s="2" t="n"/>
      <c r="BF16" s="2" t="n">
        <v>63187.62962962963</v>
      </c>
      <c r="BG16" s="2" t="n">
        <v>1056.72</v>
      </c>
      <c r="BH16" s="2" t="n">
        <v>317.4</v>
      </c>
      <c r="BI16" s="2" t="n">
        <v>36187.5</v>
      </c>
      <c r="BJ16" s="2" t="n">
        <v>95.83216666666667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921.27564</v>
      </c>
      <c r="BQ16" s="2" t="n">
        <v>0</v>
      </c>
      <c r="BR16" s="2" t="n">
        <v>38603.72780666667</v>
      </c>
      <c r="BS16" s="2" t="n">
        <v>801.8115</v>
      </c>
      <c r="BT16" s="2" t="n">
        <v>0</v>
      </c>
      <c r="BU16" s="2" t="n">
        <v>7696.852733333335</v>
      </c>
      <c r="BV16" s="2" t="n">
        <v>8498.664233333335</v>
      </c>
      <c r="BW16" s="2" t="n">
        <v>47102.39204000001</v>
      </c>
      <c r="BX16" s="2" t="n">
        <v>65677.88</v>
      </c>
      <c r="BY16" s="2" t="n">
        <v>2564.76</v>
      </c>
      <c r="BZ16" s="2" t="n">
        <v>0</v>
      </c>
      <c r="CA16" s="2" t="n">
        <v>68242.64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1805.78</v>
      </c>
      <c r="AP17" s="2" t="n">
        <v>3500</v>
      </c>
      <c r="AQ17" s="2" t="n">
        <v>1672.018518518518</v>
      </c>
      <c r="AR17" s="2" t="n">
        <v>0</v>
      </c>
      <c r="AS17" s="2" t="n">
        <v>1785.57</v>
      </c>
      <c r="AT17" s="2" t="n">
        <v>20.21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1805.78</v>
      </c>
      <c r="BB17" s="2" t="n">
        <v>1805.78</v>
      </c>
      <c r="BC17" s="2">
        <f>F17+L17+R17+X17+AD17+AJ17+AP17+AV17+IF(BE17="",0,BE17)</f>
        <v/>
      </c>
      <c r="BD17" s="2" t="n">
        <v>27.809012</v>
      </c>
      <c r="BE17" s="2" t="n"/>
      <c r="BF17" s="2" t="n">
        <v>1672.018518518518</v>
      </c>
      <c r="BG17" s="2" t="n">
        <v>0</v>
      </c>
      <c r="BH17" s="2" t="n">
        <v>0</v>
      </c>
      <c r="BI17" s="2" t="n">
        <v>36187.5</v>
      </c>
      <c r="BJ17" s="2" t="n">
        <v>95.83216666666667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24.37803</v>
      </c>
      <c r="BQ17" s="2" t="n">
        <v>0</v>
      </c>
      <c r="BR17" s="2" t="n">
        <v>36332.71019666667</v>
      </c>
      <c r="BS17" s="2" t="n">
        <v>801.8115</v>
      </c>
      <c r="BT17" s="2" t="n">
        <v>0</v>
      </c>
      <c r="BU17" s="2" t="n">
        <v>7422.028733333334</v>
      </c>
      <c r="BV17" s="2" t="n">
        <v>8223.840233333334</v>
      </c>
      <c r="BW17" s="2" t="n">
        <v>44556.55043</v>
      </c>
      <c r="BX17" s="2" t="n">
        <v>1785.57</v>
      </c>
      <c r="BY17" s="2" t="n">
        <v>20.21</v>
      </c>
      <c r="BZ17" s="2" t="n">
        <v>0</v>
      </c>
      <c r="CA17" s="2" t="n">
        <v>1805.78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5137.66</v>
      </c>
      <c r="L18" s="2" t="n">
        <v>427.6626240740741</v>
      </c>
      <c r="M18" s="2" t="n">
        <v>4757.092592592592</v>
      </c>
      <c r="N18" s="2" t="n">
        <v>0</v>
      </c>
      <c r="O18" s="2" t="n">
        <v>4706.62</v>
      </c>
      <c r="P18" s="2" t="n">
        <v>431.04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1517.09</v>
      </c>
      <c r="AP18" s="2" t="n">
        <v>4150</v>
      </c>
      <c r="AQ18" s="2" t="n">
        <v>1404.712962962963</v>
      </c>
      <c r="AR18" s="2" t="n">
        <v>0</v>
      </c>
      <c r="AS18" s="2" t="n">
        <v>1402.94</v>
      </c>
      <c r="AT18" s="2" t="n">
        <v>114.15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6654.75</v>
      </c>
      <c r="BB18" s="2" t="n">
        <v>6654.75</v>
      </c>
      <c r="BC18" s="2">
        <f>F18+L18+R18+X18+AD18+AJ18+AP18+AV18+IF(BE18="",0,BE18)</f>
        <v/>
      </c>
      <c r="BD18" s="2" t="n">
        <v>102.48315</v>
      </c>
      <c r="BE18" s="2" t="n"/>
      <c r="BF18" s="2" t="n">
        <v>6161.805555555555</v>
      </c>
      <c r="BG18" s="2" t="n">
        <v>0</v>
      </c>
      <c r="BH18" s="2" t="n">
        <v>0</v>
      </c>
      <c r="BI18" s="2" t="n">
        <v>36187.5</v>
      </c>
      <c r="BJ18" s="2" t="n">
        <v>95.83216666666667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89.839125</v>
      </c>
      <c r="BQ18" s="2" t="n">
        <v>0</v>
      </c>
      <c r="BR18" s="2" t="n">
        <v>36398.17129166667</v>
      </c>
      <c r="BS18" s="2" t="n">
        <v>801.8115</v>
      </c>
      <c r="BT18" s="2" t="n">
        <v>0</v>
      </c>
      <c r="BU18" s="2" t="n">
        <v>7422.028733333334</v>
      </c>
      <c r="BV18" s="2" t="n">
        <v>8223.840233333334</v>
      </c>
      <c r="BW18" s="2" t="n">
        <v>44622.011525</v>
      </c>
      <c r="BX18" s="2" t="n">
        <v>6109.559999999999</v>
      </c>
      <c r="BY18" s="2" t="n">
        <v>545.1900000000001</v>
      </c>
      <c r="BZ18" s="2" t="n">
        <v>0</v>
      </c>
      <c r="CA18" s="2" t="n">
        <v>6654.75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6886.940000000001</v>
      </c>
      <c r="L19" s="2" t="n">
        <v>573.2739870370372</v>
      </c>
      <c r="M19" s="2" t="n">
        <v>6376.796296296297</v>
      </c>
      <c r="N19" s="2" t="n">
        <v>0</v>
      </c>
      <c r="O19" s="2" t="n">
        <v>6077.8</v>
      </c>
      <c r="P19" s="2" t="n">
        <v>809.14</v>
      </c>
      <c r="Q19" s="2" t="n">
        <v>16515.48</v>
      </c>
      <c r="R19" s="2" t="n">
        <v>1146.908333333333</v>
      </c>
      <c r="S19" s="2" t="n">
        <v>15292.11111111111</v>
      </c>
      <c r="T19" s="2" t="n">
        <v>0</v>
      </c>
      <c r="U19" s="2" t="n">
        <v>15875.6</v>
      </c>
      <c r="V19" s="2" t="n">
        <v>639.88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7762.83</v>
      </c>
      <c r="AP19" s="2" t="n">
        <v>4150</v>
      </c>
      <c r="AQ19" s="2" t="n">
        <v>7187.805555555555</v>
      </c>
      <c r="AR19" s="2" t="n">
        <v>0</v>
      </c>
      <c r="AS19" s="2" t="n">
        <v>7643.25</v>
      </c>
      <c r="AT19" s="2" t="n">
        <v>119.58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31165.25</v>
      </c>
      <c r="BB19" s="2" t="n">
        <v>31165.25</v>
      </c>
      <c r="BC19" s="2">
        <f>F19+L19+R19+X19+AD19+AJ19+AP19+AV19+IF(BE19="",0,BE19)</f>
        <v/>
      </c>
      <c r="BD19" s="2" t="n">
        <v>479.94485</v>
      </c>
      <c r="BE19" s="2" t="n"/>
      <c r="BF19" s="2" t="n">
        <v>28856.71296296296</v>
      </c>
      <c r="BG19" s="2" t="n">
        <v>0</v>
      </c>
      <c r="BH19" s="2" t="n">
        <v>0</v>
      </c>
      <c r="BI19" s="2" t="n">
        <v>36187.5</v>
      </c>
      <c r="BJ19" s="2" t="n">
        <v>95.83216666666667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420.730875</v>
      </c>
      <c r="BQ19" s="2" t="n">
        <v>0</v>
      </c>
      <c r="BR19" s="2" t="n">
        <v>36729.06304166667</v>
      </c>
      <c r="BS19" s="2" t="n">
        <v>801.8115</v>
      </c>
      <c r="BT19" s="2" t="n">
        <v>0</v>
      </c>
      <c r="BU19" s="2" t="n">
        <v>7422.028733333334</v>
      </c>
      <c r="BV19" s="2" t="n">
        <v>8223.840233333334</v>
      </c>
      <c r="BW19" s="2" t="n">
        <v>44952.903275</v>
      </c>
      <c r="BX19" s="2" t="n">
        <v>29596.65</v>
      </c>
      <c r="BY19" s="2" t="n">
        <v>1568.6</v>
      </c>
      <c r="BZ19" s="2" t="n">
        <v>0</v>
      </c>
      <c r="CA19" s="2" t="n">
        <v>31165.25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2166.43</v>
      </c>
      <c r="L20" s="2" t="n">
        <v>180.335237962963</v>
      </c>
      <c r="M20" s="2" t="n">
        <v>2005.953703703704</v>
      </c>
      <c r="N20" s="2" t="n">
        <v>0</v>
      </c>
      <c r="O20" s="2" t="n">
        <v>2049.01</v>
      </c>
      <c r="P20" s="2" t="n">
        <v>117.42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3286.8</v>
      </c>
      <c r="AP20" s="2" t="n">
        <v>4150</v>
      </c>
      <c r="AQ20" s="2" t="n">
        <v>3043.333333333333</v>
      </c>
      <c r="AR20" s="2" t="n">
        <v>0</v>
      </c>
      <c r="AS20" s="2" t="n">
        <v>2972.97</v>
      </c>
      <c r="AT20" s="2" t="n">
        <v>313.83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5453.23</v>
      </c>
      <c r="BB20" s="2" t="n">
        <v>5453.23</v>
      </c>
      <c r="BC20" s="2">
        <f>F20+L20+R20+X20+AD20+AJ20+AP20+AV20+IF(BE20="",0,BE20)</f>
        <v/>
      </c>
      <c r="BD20" s="2" t="n">
        <v>83.97974200000002</v>
      </c>
      <c r="BE20" s="2" t="n"/>
      <c r="BF20" s="2" t="n">
        <v>5049.287037037036</v>
      </c>
      <c r="BG20" s="2" t="n">
        <v>0</v>
      </c>
      <c r="BH20" s="2" t="n">
        <v>0</v>
      </c>
      <c r="BI20" s="2" t="n">
        <v>36187.5</v>
      </c>
      <c r="BJ20" s="2" t="n">
        <v>95.83216666666667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73.618605</v>
      </c>
      <c r="BQ20" s="2" t="n">
        <v>0</v>
      </c>
      <c r="BR20" s="2" t="n">
        <v>36381.95077166667</v>
      </c>
      <c r="BS20" s="2" t="n">
        <v>801.8115</v>
      </c>
      <c r="BT20" s="2" t="n">
        <v>0</v>
      </c>
      <c r="BU20" s="2" t="n">
        <v>7422.028733333334</v>
      </c>
      <c r="BV20" s="2" t="n">
        <v>8223.840233333334</v>
      </c>
      <c r="BW20" s="2" t="n">
        <v>44605.79100500001</v>
      </c>
      <c r="BX20" s="2" t="n">
        <v>5021.98</v>
      </c>
      <c r="BY20" s="2" t="n">
        <v>431.25</v>
      </c>
      <c r="BZ20" s="2" t="n">
        <v>0</v>
      </c>
      <c r="CA20" s="2" t="n">
        <v>5453.23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3216.11</v>
      </c>
      <c r="L21" s="2" t="n">
        <v>267.7113787037037</v>
      </c>
      <c r="M21" s="2" t="n">
        <v>2977.879629629629</v>
      </c>
      <c r="N21" s="2" t="n">
        <v>0</v>
      </c>
      <c r="O21" s="2" t="n">
        <v>3196.16</v>
      </c>
      <c r="P21" s="2" t="n">
        <v>19.95</v>
      </c>
      <c r="Q21" s="2" t="n">
        <v>152.02</v>
      </c>
      <c r="R21" s="2" t="n">
        <v>10.55694444444445</v>
      </c>
      <c r="S21" s="2" t="n">
        <v>140.7592592592593</v>
      </c>
      <c r="T21" s="2" t="n">
        <v>0</v>
      </c>
      <c r="U21" s="2" t="n">
        <v>152.02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9790.74</v>
      </c>
      <c r="AP21" s="2" t="n">
        <v>8300</v>
      </c>
      <c r="AQ21" s="2" t="n">
        <v>9065.5</v>
      </c>
      <c r="AR21" s="2" t="n">
        <v>0</v>
      </c>
      <c r="AS21" s="2" t="n">
        <v>8764.27</v>
      </c>
      <c r="AT21" s="2" t="n">
        <v>1026.47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13158.87</v>
      </c>
      <c r="BB21" s="2" t="n">
        <v>13158.87</v>
      </c>
      <c r="BC21" s="2">
        <f>F21+L21+R21+X21+AD21+AJ21+AP21+AV21+IF(BE21="",0,BE21)</f>
        <v/>
      </c>
      <c r="BD21" s="2" t="n">
        <v>202.646598</v>
      </c>
      <c r="BE21" s="2" t="n"/>
      <c r="BF21" s="2" t="n">
        <v>12184.13888888889</v>
      </c>
      <c r="BG21" s="2" t="n">
        <v>0</v>
      </c>
      <c r="BH21" s="2" t="n">
        <v>0</v>
      </c>
      <c r="BI21" s="2" t="n">
        <v>36187.5</v>
      </c>
      <c r="BJ21" s="2" t="n">
        <v>95.83216666666667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177.644745</v>
      </c>
      <c r="BQ21" s="2" t="n">
        <v>0</v>
      </c>
      <c r="BR21" s="2" t="n">
        <v>36485.97691166666</v>
      </c>
      <c r="BS21" s="2" t="n">
        <v>801.8115</v>
      </c>
      <c r="BT21" s="2" t="n">
        <v>0</v>
      </c>
      <c r="BU21" s="2" t="n">
        <v>7422.028733333334</v>
      </c>
      <c r="BV21" s="2" t="n">
        <v>8223.840233333334</v>
      </c>
      <c r="BW21" s="2" t="n">
        <v>44709.817145</v>
      </c>
      <c r="BX21" s="2" t="n">
        <v>12112.45</v>
      </c>
      <c r="BY21" s="2" t="n">
        <v>1046.42</v>
      </c>
      <c r="BZ21" s="2" t="n">
        <v>0</v>
      </c>
      <c r="CA21" s="2" t="n">
        <v>13158.87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553.9299999999999</v>
      </c>
      <c r="L22" s="2" t="n">
        <v>46.10954351851851</v>
      </c>
      <c r="M22" s="2" t="n">
        <v>512.898148148148</v>
      </c>
      <c r="N22" s="2" t="n">
        <v>0</v>
      </c>
      <c r="O22" s="2" t="n">
        <v>553.9299999999999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1011.75</v>
      </c>
      <c r="AP22" s="2" t="n">
        <v>3500</v>
      </c>
      <c r="AQ22" s="2" t="n">
        <v>936.8055555555555</v>
      </c>
      <c r="AR22" s="2" t="n">
        <v>0</v>
      </c>
      <c r="AS22" s="2" t="n">
        <v>894.55</v>
      </c>
      <c r="AT22" s="2" t="n">
        <v>117.2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1565.68</v>
      </c>
      <c r="BB22" s="2" t="n">
        <v>1565.68</v>
      </c>
      <c r="BC22" s="2">
        <f>F22+L22+R22+X22+AD22+AJ22+AP22+AV22+IF(BE22="",0,BE22)</f>
        <v/>
      </c>
      <c r="BD22" s="2" t="n">
        <v>24.111472</v>
      </c>
      <c r="BE22" s="2" t="n"/>
      <c r="BF22" s="2" t="n">
        <v>1449.703703703703</v>
      </c>
      <c r="BG22" s="2" t="n">
        <v>0</v>
      </c>
      <c r="BH22" s="2" t="n">
        <v>0</v>
      </c>
      <c r="BI22" s="2" t="n">
        <v>36187.5</v>
      </c>
      <c r="BJ22" s="2" t="n">
        <v>95.83216666666667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21.13668</v>
      </c>
      <c r="BQ22" s="2" t="n">
        <v>0</v>
      </c>
      <c r="BR22" s="2" t="n">
        <v>36329.46884666667</v>
      </c>
      <c r="BS22" s="2" t="n">
        <v>801.8115</v>
      </c>
      <c r="BT22" s="2" t="n">
        <v>0</v>
      </c>
      <c r="BU22" s="2" t="n">
        <v>7422.028733333334</v>
      </c>
      <c r="BV22" s="2" t="n">
        <v>8223.840233333334</v>
      </c>
      <c r="BW22" s="2" t="n">
        <v>44553.30908000001</v>
      </c>
      <c r="BX22" s="2" t="n">
        <v>1448.48</v>
      </c>
      <c r="BY22" s="2" t="n">
        <v>117.2</v>
      </c>
      <c r="BZ22" s="2" t="n">
        <v>0</v>
      </c>
      <c r="CA22" s="2" t="n">
        <v>1565.68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13686.42</v>
      </c>
      <c r="L23" s="2" t="n">
        <v>1139.267738888889</v>
      </c>
      <c r="M23" s="2" t="n">
        <v>12672.61111111111</v>
      </c>
      <c r="N23" s="2" t="n">
        <v>0</v>
      </c>
      <c r="O23" s="2" t="n">
        <v>12735.26</v>
      </c>
      <c r="P23" s="2" t="n">
        <v>951.16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17160.22</v>
      </c>
      <c r="AP23" s="2" t="n">
        <v>3500</v>
      </c>
      <c r="AQ23" s="2" t="n">
        <v>15889.09259259259</v>
      </c>
      <c r="AR23" s="2" t="n">
        <v>0</v>
      </c>
      <c r="AS23" s="2" t="n">
        <v>16296.33</v>
      </c>
      <c r="AT23" s="2" t="n">
        <v>863.89</v>
      </c>
      <c r="AU23" s="2" t="n">
        <v>8667.949999999999</v>
      </c>
      <c r="AV23" s="2" t="n">
        <v>690.2256481481479</v>
      </c>
      <c r="AW23" s="2" t="n">
        <v>8025.879629629628</v>
      </c>
      <c r="AX23" s="2" t="n">
        <v>0</v>
      </c>
      <c r="AY23" s="2" t="n">
        <v>8329.299999999999</v>
      </c>
      <c r="AZ23" s="2" t="n">
        <v>338.65</v>
      </c>
      <c r="BA23" s="2" t="n">
        <v>39514.59</v>
      </c>
      <c r="BB23" s="2" t="n">
        <v>39514.59</v>
      </c>
      <c r="BC23" s="2">
        <f>F23+L23+R23+X23+AD23+AJ23+AP23+AV23+IF(BE23="",0,BE23)</f>
        <v/>
      </c>
      <c r="BD23" s="2" t="n">
        <v>608.524686</v>
      </c>
      <c r="BE23" s="2" t="n"/>
      <c r="BF23" s="2" t="n">
        <v>36587.58333333333</v>
      </c>
      <c r="BG23" s="2" t="n">
        <v>0</v>
      </c>
      <c r="BH23" s="2" t="n">
        <v>0</v>
      </c>
      <c r="BI23" s="2" t="n">
        <v>36187.5</v>
      </c>
      <c r="BJ23" s="2" t="n">
        <v>95.83216666666667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533.446965</v>
      </c>
      <c r="BQ23" s="2" t="n">
        <v>0</v>
      </c>
      <c r="BR23" s="2" t="n">
        <v>36841.77913166667</v>
      </c>
      <c r="BS23" s="2" t="n">
        <v>801.8115</v>
      </c>
      <c r="BT23" s="2" t="n">
        <v>0</v>
      </c>
      <c r="BU23" s="2" t="n">
        <v>7422.028733333334</v>
      </c>
      <c r="BV23" s="2" t="n">
        <v>8223.840233333334</v>
      </c>
      <c r="BW23" s="2" t="n">
        <v>45065.61936500001</v>
      </c>
      <c r="BX23" s="2" t="n">
        <v>37360.89</v>
      </c>
      <c r="BY23" s="2" t="n">
        <v>2153.7</v>
      </c>
      <c r="BZ23" s="2" t="n">
        <v>0</v>
      </c>
      <c r="CA23" s="2" t="n">
        <v>39514.59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1124</v>
      </c>
      <c r="B24" t="inlineStr">
        <is>
          <t>Zwierzyn (Strzelce Krajenskie)</t>
        </is>
      </c>
      <c r="C24" t="inlineStr"/>
      <c r="D24" t="inlineStr"/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6</v>
      </c>
      <c r="L24" s="2" t="n">
        <v>0.4994444444444445</v>
      </c>
      <c r="M24" s="2" t="n">
        <v>5.555555555555555</v>
      </c>
      <c r="N24" s="2" t="n">
        <v>0</v>
      </c>
      <c r="O24" s="2" t="n">
        <v>6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9.26</v>
      </c>
      <c r="AD24" s="2" t="n">
        <v>0.5916111111111111</v>
      </c>
      <c r="AE24" s="2" t="n">
        <v>8.574074074074073</v>
      </c>
      <c r="AF24" s="2" t="n">
        <v>0</v>
      </c>
      <c r="AG24" s="2" t="n">
        <v>9.26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1424.42</v>
      </c>
      <c r="AP24" s="2" t="n">
        <v>4200</v>
      </c>
      <c r="AQ24" s="2" t="n">
        <v>1318.907407407407</v>
      </c>
      <c r="AR24" s="2" t="n">
        <v>0</v>
      </c>
      <c r="AS24" s="2" t="n">
        <v>1344.62</v>
      </c>
      <c r="AT24" s="2" t="n">
        <v>79.8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1439.68</v>
      </c>
      <c r="BB24" s="2" t="n">
        <v>1439.68</v>
      </c>
      <c r="BC24" s="2">
        <f>F24+L24+R24+X24+AD24+AJ24+AP24+AV24+IF(BE24="",0,BE24)</f>
        <v/>
      </c>
      <c r="BD24" s="2" t="n">
        <v>22.171072</v>
      </c>
      <c r="BE24" s="2" t="n"/>
      <c r="BF24" s="2" t="n">
        <v>1333.037037037037</v>
      </c>
      <c r="BG24" s="2" t="n">
        <v>0</v>
      </c>
      <c r="BH24" s="2" t="n">
        <v>0</v>
      </c>
      <c r="BI24" s="2" t="n">
        <v>36187.5</v>
      </c>
      <c r="BJ24" s="2" t="n">
        <v>95.83216666666667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19.43568</v>
      </c>
      <c r="BQ24" s="2" t="n">
        <v>0</v>
      </c>
      <c r="BR24" s="2" t="n">
        <v>36327.76784666667</v>
      </c>
      <c r="BS24" s="2" t="n">
        <v>801.8115</v>
      </c>
      <c r="BT24" s="2" t="n">
        <v>0</v>
      </c>
      <c r="BU24" s="2" t="n">
        <v>7422.028733333334</v>
      </c>
      <c r="BV24" s="2" t="n">
        <v>8223.840233333334</v>
      </c>
      <c r="BW24" s="2" t="n">
        <v>44551.60808000001</v>
      </c>
      <c r="BX24" s="2" t="n">
        <v>1359.88</v>
      </c>
      <c r="BY24" s="2" t="n">
        <v>79.8</v>
      </c>
      <c r="BZ24" s="2" t="n">
        <v>0</v>
      </c>
      <c r="CA24" s="2" t="n">
        <v>1439.68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1125</v>
      </c>
      <c r="B25" t="inlineStr">
        <is>
          <t>Czestochowa</t>
        </is>
      </c>
      <c r="C25" t="inlineStr">
        <is>
          <t>Koluszki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590.05</v>
      </c>
      <c r="L25" s="2" t="n">
        <v>49.11619907407407</v>
      </c>
      <c r="M25" s="2" t="n">
        <v>546.3425925925925</v>
      </c>
      <c r="N25" s="2" t="n">
        <v>0</v>
      </c>
      <c r="O25" s="2" t="n">
        <v>551.63</v>
      </c>
      <c r="P25" s="2" t="n">
        <v>38.42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117.12</v>
      </c>
      <c r="AJ25" s="2" t="n">
        <v>8.133333333333333</v>
      </c>
      <c r="AK25" s="2" t="n">
        <v>108.4444444444444</v>
      </c>
      <c r="AL25" s="2" t="n">
        <v>0</v>
      </c>
      <c r="AM25" s="2" t="n">
        <v>117.12</v>
      </c>
      <c r="AN25" s="2" t="n">
        <v>0</v>
      </c>
      <c r="AO25" s="2" t="n">
        <v>1498.01</v>
      </c>
      <c r="AP25" s="2" t="n">
        <v>4200</v>
      </c>
      <c r="AQ25" s="2" t="n">
        <v>1387.046296296296</v>
      </c>
      <c r="AR25" s="2" t="n">
        <v>0</v>
      </c>
      <c r="AS25" s="2" t="n">
        <v>1331.77</v>
      </c>
      <c r="AT25" s="2" t="n">
        <v>166.24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2205.18</v>
      </c>
      <c r="BB25" s="2" t="n">
        <v>2205.18</v>
      </c>
      <c r="BC25" s="2">
        <f>F25+L25+R25+X25+AD25+AJ25+AP25+AV25+IF(BE25="",0,BE25)</f>
        <v/>
      </c>
      <c r="BD25" s="2" t="n">
        <v>33.959772</v>
      </c>
      <c r="BE25" s="2" t="n"/>
      <c r="BF25" s="2" t="n">
        <v>2041.833333333333</v>
      </c>
      <c r="BG25" s="2" t="n">
        <v>0</v>
      </c>
      <c r="BH25" s="2" t="n">
        <v>0</v>
      </c>
      <c r="BI25" s="2" t="n">
        <v>36187.5</v>
      </c>
      <c r="BJ25" s="2" t="n">
        <v>95.83216666666667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29.76993</v>
      </c>
      <c r="BQ25" s="2" t="n">
        <v>0</v>
      </c>
      <c r="BR25" s="2" t="n">
        <v>36338.10209666667</v>
      </c>
      <c r="BS25" s="2" t="n">
        <v>801.8115</v>
      </c>
      <c r="BT25" s="2" t="n">
        <v>0</v>
      </c>
      <c r="BU25" s="2" t="n">
        <v>7422.028733333334</v>
      </c>
      <c r="BV25" s="2" t="n">
        <v>8223.840233333334</v>
      </c>
      <c r="BW25" s="2" t="n">
        <v>44561.94233000001</v>
      </c>
      <c r="BX25" s="2" t="n">
        <v>2000.52</v>
      </c>
      <c r="BY25" s="2" t="n">
        <v>204.66</v>
      </c>
      <c r="BZ25" s="2" t="n">
        <v>0</v>
      </c>
      <c r="CA25" s="2" t="n">
        <v>2205.18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1126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41941.07</v>
      </c>
      <c r="L26" s="2" t="n">
        <v>3491.205734259259</v>
      </c>
      <c r="M26" s="2" t="n">
        <v>38834.32407407407</v>
      </c>
      <c r="N26" s="2" t="n">
        <v>0</v>
      </c>
      <c r="O26" s="2" t="n">
        <v>39957.27</v>
      </c>
      <c r="P26" s="2" t="n">
        <v>1983.8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1027.21</v>
      </c>
      <c r="AJ26" s="2" t="n">
        <v>71.33402777777778</v>
      </c>
      <c r="AK26" s="2" t="n">
        <v>951.1203703703703</v>
      </c>
      <c r="AL26" s="2" t="n">
        <v>0</v>
      </c>
      <c r="AM26" s="2" t="n">
        <v>884.12</v>
      </c>
      <c r="AN26" s="2" t="n">
        <v>143.09</v>
      </c>
      <c r="AO26" s="2" t="n">
        <v>1454.97</v>
      </c>
      <c r="AP26" s="2" t="n">
        <v>106.4283611111111</v>
      </c>
      <c r="AQ26" s="2" t="n">
        <v>1347.194444444444</v>
      </c>
      <c r="AR26" s="2" t="n">
        <v>0</v>
      </c>
      <c r="AS26" s="2" t="n">
        <v>1454.97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44423.25</v>
      </c>
      <c r="BB26" s="2" t="n">
        <v>44423.25</v>
      </c>
      <c r="BC26" s="2">
        <f>F26+L26+R26+X26+AD26+AJ26+AP26+AV26+IF(BE26="",0,BE26)</f>
        <v/>
      </c>
      <c r="BD26" s="2" t="n">
        <v>684.1180499999999</v>
      </c>
      <c r="BE26" s="2" t="n"/>
      <c r="BF26" s="2" t="n">
        <v>41132.63888888889</v>
      </c>
      <c r="BG26" s="2" t="n">
        <v>888.51</v>
      </c>
      <c r="BH26" s="2" t="n">
        <v>263.52</v>
      </c>
      <c r="BI26" s="2" t="n">
        <v>36187.5</v>
      </c>
      <c r="BJ26" s="2" t="n">
        <v>95.83216666666667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599.713875</v>
      </c>
      <c r="BQ26" s="2" t="n">
        <v>0</v>
      </c>
      <c r="BR26" s="2" t="n">
        <v>38060.07604166667</v>
      </c>
      <c r="BS26" s="2" t="n">
        <v>801.8115</v>
      </c>
      <c r="BT26" s="2" t="n">
        <v>0</v>
      </c>
      <c r="BU26" s="2" t="n">
        <v>7652.434733333334</v>
      </c>
      <c r="BV26" s="2" t="n">
        <v>8454.246233333335</v>
      </c>
      <c r="BW26" s="2" t="n">
        <v>46514.322275</v>
      </c>
      <c r="BX26" s="2" t="n">
        <v>42296.36</v>
      </c>
      <c r="BY26" s="2" t="n">
        <v>2126.89</v>
      </c>
      <c r="BZ26" s="2" t="n">
        <v>0</v>
      </c>
      <c r="CA26" s="2" t="n">
        <v>44423.25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1127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28314.73</v>
      </c>
      <c r="L27" s="2" t="n">
        <v>2356.939099074074</v>
      </c>
      <c r="M27" s="2" t="n">
        <v>26217.34259259259</v>
      </c>
      <c r="N27" s="2" t="n">
        <v>0</v>
      </c>
      <c r="O27" s="2" t="n">
        <v>26362.71</v>
      </c>
      <c r="P27" s="2" t="n">
        <v>1952.02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1178.68</v>
      </c>
      <c r="AJ27" s="2" t="n">
        <v>81.85277777777777</v>
      </c>
      <c r="AK27" s="2" t="n">
        <v>1091.37037037037</v>
      </c>
      <c r="AL27" s="2" t="n">
        <v>0</v>
      </c>
      <c r="AM27" s="2" t="n">
        <v>1118.88</v>
      </c>
      <c r="AN27" s="2" t="n">
        <v>59.8</v>
      </c>
      <c r="AO27" s="2" t="n">
        <v>1867.77</v>
      </c>
      <c r="AP27" s="2" t="n">
        <v>136.6239166666666</v>
      </c>
      <c r="AQ27" s="2" t="n">
        <v>1729.416666666667</v>
      </c>
      <c r="AR27" s="2" t="n">
        <v>0</v>
      </c>
      <c r="AS27" s="2" t="n">
        <v>1689.87</v>
      </c>
      <c r="AT27" s="2" t="n">
        <v>177.9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31361.18</v>
      </c>
      <c r="BB27" s="2" t="n">
        <v>31361.18</v>
      </c>
      <c r="BC27" s="2">
        <f>F27+L27+R27+X27+AD27+AJ27+AP27+AV27+IF(BE27="",0,BE27)</f>
        <v/>
      </c>
      <c r="BD27" s="2" t="n">
        <v>482.9621720000001</v>
      </c>
      <c r="BE27" s="2" t="n"/>
      <c r="BF27" s="2" t="n">
        <v>29038.12962962963</v>
      </c>
      <c r="BG27" s="2" t="n">
        <v>888.51</v>
      </c>
      <c r="BH27" s="2" t="n">
        <v>263.52</v>
      </c>
      <c r="BI27" s="2" t="n">
        <v>36187.5</v>
      </c>
      <c r="BJ27" s="2" t="n">
        <v>95.83216666666667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423.37593</v>
      </c>
      <c r="BQ27" s="2" t="n">
        <v>0</v>
      </c>
      <c r="BR27" s="2" t="n">
        <v>37883.73809666667</v>
      </c>
      <c r="BS27" s="2" t="n">
        <v>801.8115</v>
      </c>
      <c r="BT27" s="2" t="n">
        <v>0</v>
      </c>
      <c r="BU27" s="2" t="n">
        <v>7652.434733333334</v>
      </c>
      <c r="BV27" s="2" t="n">
        <v>8454.246233333335</v>
      </c>
      <c r="BW27" s="2" t="n">
        <v>46337.98433000001</v>
      </c>
      <c r="BX27" s="2" t="n">
        <v>29171.46</v>
      </c>
      <c r="BY27" s="2" t="n">
        <v>2189.72</v>
      </c>
      <c r="BZ27" s="2" t="n">
        <v>0</v>
      </c>
      <c r="CA27" s="2" t="n">
        <v>31361.18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1128</v>
      </c>
      <c r="B28" t="inlineStr">
        <is>
          <t>Wojska Polskiego 109, 64-761 Krzyż Wielkopolski</t>
        </is>
      </c>
      <c r="C28" t="inlineStr">
        <is>
          <t>Krzyż Wielkopolski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2620.41</v>
      </c>
      <c r="L28" s="2" t="n">
        <v>218.1248694444444</v>
      </c>
      <c r="M28" s="2" t="n">
        <v>2426.305555555555</v>
      </c>
      <c r="N28" s="2" t="n">
        <v>0</v>
      </c>
      <c r="O28" s="2" t="n">
        <v>2479.66</v>
      </c>
      <c r="P28" s="2" t="n">
        <v>140.75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187.78</v>
      </c>
      <c r="AD28" s="2" t="n">
        <v>11.99705555555555</v>
      </c>
      <c r="AE28" s="2" t="n">
        <v>173.8703703703704</v>
      </c>
      <c r="AF28" s="2" t="n">
        <v>0</v>
      </c>
      <c r="AG28" s="2" t="n">
        <v>165.18</v>
      </c>
      <c r="AH28" s="2" t="n">
        <v>22.6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3133.92</v>
      </c>
      <c r="AP28" s="2" t="n">
        <v>229.2404444444444</v>
      </c>
      <c r="AQ28" s="2" t="n">
        <v>2901.777777777778</v>
      </c>
      <c r="AR28" s="2" t="n">
        <v>0</v>
      </c>
      <c r="AS28" s="2" t="n">
        <v>2850.84</v>
      </c>
      <c r="AT28" s="2" t="n">
        <v>283.08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5942.110000000001</v>
      </c>
      <c r="BB28" s="2" t="n">
        <v>5942.110000000001</v>
      </c>
      <c r="BC28" s="2">
        <f>F28+L28+R28+X28+AD28+AJ28+AP28+AV28+IF(BE28="",0,BE28)</f>
        <v/>
      </c>
      <c r="BD28" s="2" t="n">
        <v>91.50849400000001</v>
      </c>
      <c r="BE28" s="2" t="n"/>
      <c r="BF28" s="2" t="n">
        <v>5501.953703703703</v>
      </c>
      <c r="BG28" s="2" t="n">
        <v>518</v>
      </c>
      <c r="BH28" s="2" t="n">
        <v>332</v>
      </c>
      <c r="BI28" s="2" t="n">
        <v>36187.5</v>
      </c>
      <c r="BJ28" s="2" t="n">
        <v>95.83216666666667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80.218485</v>
      </c>
      <c r="BQ28" s="2" t="n">
        <v>0</v>
      </c>
      <c r="BR28" s="2" t="n">
        <v>37238.55065166666</v>
      </c>
      <c r="BS28" s="2" t="n">
        <v>801.8115</v>
      </c>
      <c r="BT28" s="2" t="n">
        <v>0</v>
      </c>
      <c r="BU28" s="2" t="n">
        <v>7592.028733333334</v>
      </c>
      <c r="BV28" s="2" t="n">
        <v>8393.840233333334</v>
      </c>
      <c r="BW28" s="2" t="n">
        <v>45632.390885</v>
      </c>
      <c r="BX28" s="2" t="n">
        <v>5495.68</v>
      </c>
      <c r="BY28" s="2" t="n">
        <v>446.4299999999999</v>
      </c>
      <c r="BZ28" s="2" t="n">
        <v>0</v>
      </c>
      <c r="CA28" s="2" t="n">
        <v>5942.110000000001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1129</v>
      </c>
      <c r="B29" t="inlineStr">
        <is>
          <t>Dworcowa 1, 62-300 Września</t>
        </is>
      </c>
      <c r="C29" t="inlineStr">
        <is>
          <t>Września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1514.77</v>
      </c>
      <c r="L29" s="2" t="n">
        <v>126.0905768518519</v>
      </c>
      <c r="M29" s="2" t="n">
        <v>1402.564814814815</v>
      </c>
      <c r="N29" s="2" t="n">
        <v>0</v>
      </c>
      <c r="O29" s="2" t="n">
        <v>1398.17</v>
      </c>
      <c r="P29" s="2" t="n">
        <v>116.6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6767.67</v>
      </c>
      <c r="AD29" s="2" t="n">
        <v>432.3789166666667</v>
      </c>
      <c r="AE29" s="2" t="n">
        <v>6266.36111111111</v>
      </c>
      <c r="AF29" s="2" t="n">
        <v>0</v>
      </c>
      <c r="AG29" s="2" t="n">
        <v>6451.55</v>
      </c>
      <c r="AH29" s="2" t="n">
        <v>316.12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8282.440000000001</v>
      </c>
      <c r="BB29" s="2" t="n">
        <v>8282.440000000001</v>
      </c>
      <c r="BC29" s="2">
        <f>F29+L29+R29+X29+AD29+AJ29+AP29+AV29+IF(BE29="",0,BE29)</f>
        <v/>
      </c>
      <c r="BD29" s="2" t="n">
        <v>127.549576</v>
      </c>
      <c r="BE29" s="2" t="n"/>
      <c r="BF29" s="2" t="n">
        <v>7668.925925925925</v>
      </c>
      <c r="BG29" s="2" t="n">
        <v>400</v>
      </c>
      <c r="BH29" s="2" t="n">
        <v>243.8</v>
      </c>
      <c r="BI29" s="2" t="n">
        <v>36187.5</v>
      </c>
      <c r="BJ29" s="2" t="n">
        <v>95.83216666666667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111.81294</v>
      </c>
      <c r="BQ29" s="2" t="n">
        <v>0</v>
      </c>
      <c r="BR29" s="2" t="n">
        <v>37063.94510666667</v>
      </c>
      <c r="BS29" s="2" t="n">
        <v>801.8115</v>
      </c>
      <c r="BT29" s="2" t="n">
        <v>0</v>
      </c>
      <c r="BU29" s="2" t="n">
        <v>7550.788733333335</v>
      </c>
      <c r="BV29" s="2" t="n">
        <v>8352.600233333334</v>
      </c>
      <c r="BW29" s="2" t="n">
        <v>45416.54534000001</v>
      </c>
      <c r="BX29" s="2" t="n">
        <v>7849.72</v>
      </c>
      <c r="BY29" s="2" t="n">
        <v>432.72</v>
      </c>
      <c r="BZ29" s="2" t="n">
        <v>0</v>
      </c>
      <c r="CA29" s="2" t="n">
        <v>8282.440000000001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1130</v>
      </c>
      <c r="B30" t="inlineStr">
        <is>
          <t>Plac Dworcowy 2, 64-300 Nowy Tomyśl</t>
        </is>
      </c>
      <c r="C30" t="inlineStr">
        <is>
          <t>Nowy Tomyśl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1691.64</v>
      </c>
      <c r="L30" s="2" t="n">
        <v>140.8133666666667</v>
      </c>
      <c r="M30" s="2" t="n">
        <v>1566.333333333333</v>
      </c>
      <c r="N30" s="2" t="n">
        <v>0</v>
      </c>
      <c r="O30" s="2" t="n">
        <v>1492.64</v>
      </c>
      <c r="P30" s="2" t="n">
        <v>199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3584.13</v>
      </c>
      <c r="AD30" s="2" t="n">
        <v>228.9860833333333</v>
      </c>
      <c r="AE30" s="2" t="n">
        <v>3318.638888888889</v>
      </c>
      <c r="AF30" s="2" t="n">
        <v>0</v>
      </c>
      <c r="AG30" s="2" t="n">
        <v>2994.69</v>
      </c>
      <c r="AH30" s="2" t="n">
        <v>589.4400000000001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920.25</v>
      </c>
      <c r="AP30" s="2" t="n">
        <v>67.31458333333333</v>
      </c>
      <c r="AQ30" s="2" t="n">
        <v>852.0833333333333</v>
      </c>
      <c r="AR30" s="2" t="n">
        <v>0</v>
      </c>
      <c r="AS30" s="2" t="n">
        <v>780.3200000000001</v>
      </c>
      <c r="AT30" s="2" t="n">
        <v>139.93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6196.02</v>
      </c>
      <c r="BB30" s="2" t="n">
        <v>6196.02</v>
      </c>
      <c r="BC30" s="2">
        <f>F30+L30+R30+X30+AD30+AJ30+AP30+AV30+IF(BE30="",0,BE30)</f>
        <v/>
      </c>
      <c r="BD30" s="2" t="n">
        <v>95.41870800000001</v>
      </c>
      <c r="BE30" s="2" t="n"/>
      <c r="BF30" s="2" t="n">
        <v>5737.055555555555</v>
      </c>
      <c r="BG30" s="2" t="n">
        <v>362.68</v>
      </c>
      <c r="BH30" s="2" t="n">
        <v>246</v>
      </c>
      <c r="BI30" s="2" t="n">
        <v>36187.5</v>
      </c>
      <c r="BJ30" s="2" t="n">
        <v>95.83216666666667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83.64627000000002</v>
      </c>
      <c r="BQ30" s="2" t="n">
        <v>0</v>
      </c>
      <c r="BR30" s="2" t="n">
        <v>37000.65843666666</v>
      </c>
      <c r="BS30" s="2" t="n">
        <v>801.8115</v>
      </c>
      <c r="BT30" s="2" t="n">
        <v>0</v>
      </c>
      <c r="BU30" s="2" t="n">
        <v>7543.764733333334</v>
      </c>
      <c r="BV30" s="2" t="n">
        <v>8345.576233333335</v>
      </c>
      <c r="BW30" s="2" t="n">
        <v>45346.23467</v>
      </c>
      <c r="BX30" s="2" t="n">
        <v>5267.65</v>
      </c>
      <c r="BY30" s="2" t="n">
        <v>928.3700000000001</v>
      </c>
      <c r="BZ30" s="2" t="n">
        <v>0</v>
      </c>
      <c r="CA30" s="2" t="n">
        <v>6196.02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1131</v>
      </c>
      <c r="B31" t="inlineStr">
        <is>
          <t>Dworcowa 1, 64-000 Kościan</t>
        </is>
      </c>
      <c r="C31" t="inlineStr">
        <is>
          <t>Kościan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3564.87</v>
      </c>
      <c r="L31" s="2" t="n">
        <v>296.7424194444445</v>
      </c>
      <c r="M31" s="2" t="n">
        <v>3300.805555555555</v>
      </c>
      <c r="N31" s="2" t="n">
        <v>0</v>
      </c>
      <c r="O31" s="2" t="n">
        <v>3564.87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3133.49</v>
      </c>
      <c r="AD31" s="2" t="n">
        <v>200.1951944444444</v>
      </c>
      <c r="AE31" s="2" t="n">
        <v>2901.379629629629</v>
      </c>
      <c r="AF31" s="2" t="n">
        <v>0</v>
      </c>
      <c r="AG31" s="2" t="n">
        <v>3133.49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1675.64</v>
      </c>
      <c r="AP31" s="2" t="n">
        <v>122.569962962963</v>
      </c>
      <c r="AQ31" s="2" t="n">
        <v>1551.518518518518</v>
      </c>
      <c r="AR31" s="2" t="n">
        <v>0</v>
      </c>
      <c r="AS31" s="2" t="n">
        <v>1675.64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8374</v>
      </c>
      <c r="BB31" s="2" t="n">
        <v>8374</v>
      </c>
      <c r="BC31" s="2">
        <f>F31+L31+R31+X31+AD31+AJ31+AP31+AV31+IF(BE31="",0,BE31)</f>
        <v/>
      </c>
      <c r="BD31" s="2" t="n">
        <v>128.9596</v>
      </c>
      <c r="BE31" s="2" t="n"/>
      <c r="BF31" s="2" t="n">
        <v>7753.703703703703</v>
      </c>
      <c r="BG31" s="2" t="n">
        <v>300</v>
      </c>
      <c r="BH31" s="2" t="n">
        <v>340.5</v>
      </c>
      <c r="BI31" s="2" t="n">
        <v>36187.5</v>
      </c>
      <c r="BJ31" s="2" t="n">
        <v>95.83216666666667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113.049</v>
      </c>
      <c r="BQ31" s="2" t="n">
        <v>0</v>
      </c>
      <c r="BR31" s="2" t="n">
        <v>37061.88116666667</v>
      </c>
      <c r="BS31" s="2" t="n">
        <v>801.8115</v>
      </c>
      <c r="BT31" s="2" t="n">
        <v>0</v>
      </c>
      <c r="BU31" s="2" t="n">
        <v>7550.128733333335</v>
      </c>
      <c r="BV31" s="2" t="n">
        <v>8351.940233333335</v>
      </c>
      <c r="BW31" s="2" t="n">
        <v>45413.8214</v>
      </c>
      <c r="BX31" s="2" t="n">
        <v>8374</v>
      </c>
      <c r="BY31" s="2" t="n">
        <v>0</v>
      </c>
      <c r="BZ31" s="2" t="n">
        <v>0</v>
      </c>
      <c r="CA31" s="2" t="n">
        <v>8374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1132</v>
      </c>
      <c r="B32" t="inlineStr">
        <is>
          <t>Dworcowa 1, 63-900 Rawicz</t>
        </is>
      </c>
      <c r="C32" t="inlineStr">
        <is>
          <t>Rawicz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229.66</v>
      </c>
      <c r="L32" s="2" t="n">
        <v>19.11706851851852</v>
      </c>
      <c r="M32" s="2" t="n">
        <v>212.6481481481481</v>
      </c>
      <c r="N32" s="2" t="n">
        <v>0</v>
      </c>
      <c r="O32" s="2" t="n">
        <v>229.66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183.34</v>
      </c>
      <c r="AD32" s="2" t="n">
        <v>11.71338888888889</v>
      </c>
      <c r="AE32" s="2" t="n">
        <v>169.7592592592592</v>
      </c>
      <c r="AF32" s="2" t="n">
        <v>0</v>
      </c>
      <c r="AG32" s="2" t="n">
        <v>183.34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110.62</v>
      </c>
      <c r="AP32" s="2" t="n">
        <v>8.091648148148147</v>
      </c>
      <c r="AQ32" s="2" t="n">
        <v>102.4259259259259</v>
      </c>
      <c r="AR32" s="2" t="n">
        <v>0</v>
      </c>
      <c r="AS32" s="2" t="n">
        <v>110.62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523.62</v>
      </c>
      <c r="BB32" s="2" t="n">
        <v>523.62</v>
      </c>
      <c r="BC32" s="2">
        <f>F32+L32+R32+X32+AD32+AJ32+AP32+AV32+IF(BE32="",0,BE32)</f>
        <v/>
      </c>
      <c r="BD32" s="2" t="n">
        <v>8.063748</v>
      </c>
      <c r="BE32" s="2" t="n"/>
      <c r="BF32" s="2" t="n">
        <v>484.8333333333333</v>
      </c>
      <c r="BG32" s="2" t="n">
        <v>0</v>
      </c>
      <c r="BH32" s="2" t="n">
        <v>0</v>
      </c>
      <c r="BI32" s="2" t="n">
        <v>31518.14516129032</v>
      </c>
      <c r="BJ32" s="2" t="n">
        <v>95.83216666666667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7.06887</v>
      </c>
      <c r="BQ32" s="2" t="n">
        <v>0</v>
      </c>
      <c r="BR32" s="2" t="n">
        <v>31646.04619795699</v>
      </c>
      <c r="BS32" s="2" t="n">
        <v>801.8115</v>
      </c>
      <c r="BT32" s="2" t="n">
        <v>0</v>
      </c>
      <c r="BU32" s="2" t="n">
        <v>6488.157765591398</v>
      </c>
      <c r="BV32" s="2" t="n">
        <v>7289.969265591398</v>
      </c>
      <c r="BW32" s="2" t="n">
        <v>38936.01546354839</v>
      </c>
      <c r="BX32" s="2" t="n">
        <v>523.62</v>
      </c>
      <c r="BY32" s="2" t="n">
        <v>0</v>
      </c>
      <c r="BZ32" s="2" t="n">
        <v>0</v>
      </c>
      <c r="CA32" s="2" t="n">
        <v>523.62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1203</v>
      </c>
      <c r="B33" t="inlineStr">
        <is>
          <t>Piłsudskiego 105, 50-085 Wrocław</t>
        </is>
      </c>
      <c r="C33" t="inlineStr">
        <is>
          <t>Wrocław Główny</t>
        </is>
      </c>
      <c r="D33" t="inlineStr">
        <is>
          <t>FAA2000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35948.66</v>
      </c>
      <c r="L33" s="2" t="n">
        <v>2992.393087037037</v>
      </c>
      <c r="M33" s="2" t="n">
        <v>33285.79629629629</v>
      </c>
      <c r="N33" s="2" t="n">
        <v>4663.3</v>
      </c>
      <c r="O33" s="2" t="n">
        <v>28912.91</v>
      </c>
      <c r="P33" s="2" t="n">
        <v>2372.45</v>
      </c>
      <c r="Q33" s="2" t="n">
        <v>22238.76</v>
      </c>
      <c r="R33" s="2" t="n">
        <v>1600</v>
      </c>
      <c r="S33" s="2" t="n">
        <v>20591.44444444445</v>
      </c>
      <c r="T33" s="2" t="n">
        <v>3545.9</v>
      </c>
      <c r="U33" s="2" t="n">
        <v>17672.4</v>
      </c>
      <c r="V33" s="2" t="n">
        <v>1020.46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13538.87</v>
      </c>
      <c r="AP33" s="2" t="n">
        <v>990.3432685185186</v>
      </c>
      <c r="AQ33" s="2" t="n">
        <v>12535.99074074074</v>
      </c>
      <c r="AR33" s="2" t="n">
        <v>1776.38</v>
      </c>
      <c r="AS33" s="2" t="n">
        <v>11230.84</v>
      </c>
      <c r="AT33" s="2" t="n">
        <v>531.65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71726.28999999999</v>
      </c>
      <c r="BB33" s="2" t="n">
        <v>61740.71</v>
      </c>
      <c r="BC33" s="2">
        <f>F33+L33+R33+X33+AD33+AJ33+AP33+AV33+IF(BE33="",0,BE33)</f>
        <v/>
      </c>
      <c r="BD33" s="2" t="n">
        <v>950.8069340000001</v>
      </c>
      <c r="BE33" s="2" t="n"/>
      <c r="BF33" s="2" t="n">
        <v>66413.23148148147</v>
      </c>
      <c r="BG33" s="2" t="n">
        <v>0</v>
      </c>
      <c r="BH33" s="2" t="n">
        <v>0</v>
      </c>
      <c r="BI33" s="2" t="n">
        <v>36187.5</v>
      </c>
      <c r="BJ33" s="2" t="n">
        <v>95.83216666666667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833.499585</v>
      </c>
      <c r="BQ33" s="2" t="n">
        <v>0</v>
      </c>
      <c r="BR33" s="2" t="n">
        <v>37141.83175166666</v>
      </c>
      <c r="BS33" s="2" t="n">
        <v>801.8115</v>
      </c>
      <c r="BT33" s="2" t="n">
        <v>0</v>
      </c>
      <c r="BU33" s="2" t="n">
        <v>7422.028733333334</v>
      </c>
      <c r="BV33" s="2" t="n">
        <v>8223.840233333334</v>
      </c>
      <c r="BW33" s="2" t="n">
        <v>45365.671985</v>
      </c>
      <c r="BX33" s="2" t="n">
        <v>57816.14999999999</v>
      </c>
      <c r="BY33" s="2" t="n">
        <v>3924.56</v>
      </c>
      <c r="BZ33" s="2" t="n">
        <v>9985.580000000002</v>
      </c>
      <c r="CA33" s="2" t="n">
        <v>61740.70999999999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1204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13318.65</v>
      </c>
      <c r="L34" s="2" t="n">
        <v>1108.654291666667</v>
      </c>
      <c r="M34" s="2" t="n">
        <v>12332.08333333333</v>
      </c>
      <c r="N34" s="2" t="n">
        <v>2563.29</v>
      </c>
      <c r="O34" s="2" t="n">
        <v>10755.36</v>
      </c>
      <c r="P34" s="2" t="n">
        <v>0</v>
      </c>
      <c r="Q34" s="2" t="n">
        <v>25391.37</v>
      </c>
      <c r="R34" s="2" t="n">
        <v>1600</v>
      </c>
      <c r="S34" s="2" t="n">
        <v>23510.52777777777</v>
      </c>
      <c r="T34" s="2" t="n">
        <v>4008.27</v>
      </c>
      <c r="U34" s="2" t="n">
        <v>21383.1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10193.18</v>
      </c>
      <c r="AP34" s="2" t="n">
        <v>745.6122407407407</v>
      </c>
      <c r="AQ34" s="2" t="n">
        <v>9438.12962962963</v>
      </c>
      <c r="AR34" s="2" t="n">
        <v>1176.71</v>
      </c>
      <c r="AS34" s="2" t="n">
        <v>9016.469999999999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48903.2</v>
      </c>
      <c r="BB34" s="2" t="n">
        <v>41154.93</v>
      </c>
      <c r="BC34" s="2">
        <f>F34+L34+R34+X34+AD34+AJ34+AP34+AV34+IF(BE34="",0,BE34)</f>
        <v/>
      </c>
      <c r="BD34" s="2" t="n">
        <v>633.785922</v>
      </c>
      <c r="BE34" s="2" t="n"/>
      <c r="BF34" s="2" t="n">
        <v>45280.74074074074</v>
      </c>
      <c r="BG34" s="2" t="n">
        <v>652.9399999999999</v>
      </c>
      <c r="BH34" s="2" t="n">
        <v>82</v>
      </c>
      <c r="BI34" s="2" t="n">
        <v>36187.5</v>
      </c>
      <c r="BJ34" s="2" t="n">
        <v>95.83216666666667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555.591555</v>
      </c>
      <c r="BQ34" s="2" t="n">
        <v>0</v>
      </c>
      <c r="BR34" s="2" t="n">
        <v>37598.86372166667</v>
      </c>
      <c r="BS34" s="2" t="n">
        <v>801.8115</v>
      </c>
      <c r="BT34" s="2" t="n">
        <v>0</v>
      </c>
      <c r="BU34" s="2" t="n">
        <v>7569.016733333335</v>
      </c>
      <c r="BV34" s="2" t="n">
        <v>8370.828233333335</v>
      </c>
      <c r="BW34" s="2" t="n">
        <v>45969.691955</v>
      </c>
      <c r="BX34" s="2" t="n">
        <v>41154.93</v>
      </c>
      <c r="BY34" s="2" t="n">
        <v>0</v>
      </c>
      <c r="BZ34" s="2" t="n">
        <v>7748.27</v>
      </c>
      <c r="CA34" s="2" t="n">
        <v>41154.93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1206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24986.76</v>
      </c>
      <c r="L35" s="2" t="n">
        <v>2079.916411111111</v>
      </c>
      <c r="M35" s="2" t="n">
        <v>23135.88888888889</v>
      </c>
      <c r="N35" s="2" t="n">
        <v>3827.05</v>
      </c>
      <c r="O35" s="2" t="n">
        <v>19810.85</v>
      </c>
      <c r="P35" s="2" t="n">
        <v>1348.86</v>
      </c>
      <c r="Q35" s="2" t="n">
        <v>43433.39999999999</v>
      </c>
      <c r="R35" s="2" t="n">
        <v>1600</v>
      </c>
      <c r="S35" s="2" t="n">
        <v>40216.1111111111</v>
      </c>
      <c r="T35" s="2" t="n">
        <v>5916.38</v>
      </c>
      <c r="U35" s="2" t="n">
        <v>36283.35</v>
      </c>
      <c r="V35" s="2" t="n">
        <v>1233.67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11749.65</v>
      </c>
      <c r="AP35" s="2" t="n">
        <v>859.465138888889</v>
      </c>
      <c r="AQ35" s="2" t="n">
        <v>10879.30555555556</v>
      </c>
      <c r="AR35" s="2" t="n">
        <v>1867.18</v>
      </c>
      <c r="AS35" s="2" t="n">
        <v>9619.85</v>
      </c>
      <c r="AT35" s="2" t="n">
        <v>262.62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80169.81</v>
      </c>
      <c r="BB35" s="2" t="n">
        <v>68559.2</v>
      </c>
      <c r="BC35" s="2">
        <f>F35+L35+R35+X35+AD35+AJ35+AP35+AV35+IF(BE35="",0,BE35)</f>
        <v/>
      </c>
      <c r="BD35" s="2" t="n">
        <v>1055.81168</v>
      </c>
      <c r="BE35" s="2" t="n"/>
      <c r="BF35" s="2" t="n">
        <v>74231.30555555555</v>
      </c>
      <c r="BG35" s="2" t="n">
        <v>652.9399999999999</v>
      </c>
      <c r="BH35" s="2" t="n">
        <v>82</v>
      </c>
      <c r="BI35" s="2" t="n">
        <v>36187.5</v>
      </c>
      <c r="BJ35" s="2" t="n">
        <v>95.83216666666667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925.5492</v>
      </c>
      <c r="BQ35" s="2" t="n">
        <v>0</v>
      </c>
      <c r="BR35" s="2" t="n">
        <v>37968.82136666667</v>
      </c>
      <c r="BS35" s="2" t="n">
        <v>801.8115</v>
      </c>
      <c r="BT35" s="2" t="n">
        <v>0</v>
      </c>
      <c r="BU35" s="2" t="n">
        <v>7569.016733333335</v>
      </c>
      <c r="BV35" s="2" t="n">
        <v>8370.828233333335</v>
      </c>
      <c r="BW35" s="2" t="n">
        <v>46339.6496</v>
      </c>
      <c r="BX35" s="2" t="n">
        <v>65714.05</v>
      </c>
      <c r="BY35" s="2" t="n">
        <v>2845.15</v>
      </c>
      <c r="BZ35" s="2" t="n">
        <v>11610.61</v>
      </c>
      <c r="CA35" s="2" t="n">
        <v>68559.2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1207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19629.63</v>
      </c>
      <c r="L36" s="2" t="n">
        <v>1633.984941666667</v>
      </c>
      <c r="M36" s="2" t="n">
        <v>18175.58333333333</v>
      </c>
      <c r="N36" s="2" t="n">
        <v>3319.66</v>
      </c>
      <c r="O36" s="2" t="n">
        <v>15622.52</v>
      </c>
      <c r="P36" s="2" t="n">
        <v>687.45</v>
      </c>
      <c r="Q36" s="2" t="n">
        <v>33603.46</v>
      </c>
      <c r="R36" s="2" t="n">
        <v>1600</v>
      </c>
      <c r="S36" s="2" t="n">
        <v>31114.31481481481</v>
      </c>
      <c r="T36" s="2" t="n">
        <v>6930.42</v>
      </c>
      <c r="U36" s="2" t="n">
        <v>25570.64</v>
      </c>
      <c r="V36" s="2" t="n">
        <v>1102.4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8369.92</v>
      </c>
      <c r="AP36" s="2" t="n">
        <v>612.244148148148</v>
      </c>
      <c r="AQ36" s="2" t="n">
        <v>7749.925925925925</v>
      </c>
      <c r="AR36" s="2" t="n">
        <v>1972.07</v>
      </c>
      <c r="AS36" s="2" t="n">
        <v>6277.65</v>
      </c>
      <c r="AT36" s="2" t="n">
        <v>120.2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61603.00999999999</v>
      </c>
      <c r="BB36" s="2" t="n">
        <v>49380.86</v>
      </c>
      <c r="BC36" s="2">
        <f>F36+L36+R36+X36+AD36+AJ36+AP36+AV36+IF(BE36="",0,BE36)</f>
        <v/>
      </c>
      <c r="BD36" s="2" t="n">
        <v>760.4652440000001</v>
      </c>
      <c r="BE36" s="2" t="n"/>
      <c r="BF36" s="2" t="n">
        <v>57039.82407407407</v>
      </c>
      <c r="BG36" s="2" t="n">
        <v>652.9399999999999</v>
      </c>
      <c r="BH36" s="2" t="n">
        <v>82</v>
      </c>
      <c r="BI36" s="2" t="n">
        <v>36187.5</v>
      </c>
      <c r="BJ36" s="2" t="n">
        <v>95.83216666666667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666.6416100000001</v>
      </c>
      <c r="BQ36" s="2" t="n">
        <v>0</v>
      </c>
      <c r="BR36" s="2" t="n">
        <v>37709.91377666667</v>
      </c>
      <c r="BS36" s="2" t="n">
        <v>801.8115</v>
      </c>
      <c r="BT36" s="2" t="n">
        <v>0</v>
      </c>
      <c r="BU36" s="2" t="n">
        <v>7569.016733333335</v>
      </c>
      <c r="BV36" s="2" t="n">
        <v>8370.828233333335</v>
      </c>
      <c r="BW36" s="2" t="n">
        <v>46080.74201</v>
      </c>
      <c r="BX36" s="2" t="n">
        <v>47470.81</v>
      </c>
      <c r="BY36" s="2" t="n">
        <v>1910.05</v>
      </c>
      <c r="BZ36" s="2" t="n">
        <v>12222.15</v>
      </c>
      <c r="CA36" s="2" t="n">
        <v>49380.86000000001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1208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9756.25</v>
      </c>
      <c r="L37" s="2" t="n">
        <v>812.1174768518518</v>
      </c>
      <c r="M37" s="2" t="n">
        <v>9033.564814814814</v>
      </c>
      <c r="N37" s="2" t="n">
        <v>1898.61</v>
      </c>
      <c r="O37" s="2" t="n">
        <v>7420.22</v>
      </c>
      <c r="P37" s="2" t="n">
        <v>437.42</v>
      </c>
      <c r="Q37" s="2" t="n">
        <v>19785.75</v>
      </c>
      <c r="R37" s="2" t="n">
        <v>1600</v>
      </c>
      <c r="S37" s="2" t="n">
        <v>18320.13888888889</v>
      </c>
      <c r="T37" s="2" t="n">
        <v>3828.77</v>
      </c>
      <c r="U37" s="2" t="n">
        <v>15081.25</v>
      </c>
      <c r="V37" s="2" t="n">
        <v>875.73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9131.48</v>
      </c>
      <c r="AP37" s="2" t="n">
        <v>667.9508518518518</v>
      </c>
      <c r="AQ37" s="2" t="n">
        <v>8455.074074074073</v>
      </c>
      <c r="AR37" s="2" t="n">
        <v>1614.51</v>
      </c>
      <c r="AS37" s="2" t="n">
        <v>7100.79</v>
      </c>
      <c r="AT37" s="2" t="n">
        <v>416.18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38673.48</v>
      </c>
      <c r="BB37" s="2" t="n">
        <v>31331.59</v>
      </c>
      <c r="BC37" s="2">
        <f>F37+L37+R37+X37+AD37+AJ37+AP37+AV37+IF(BE37="",0,BE37)</f>
        <v/>
      </c>
      <c r="BD37" s="2" t="n">
        <v>482.5064860000001</v>
      </c>
      <c r="BE37" s="2" t="n"/>
      <c r="BF37" s="2" t="n">
        <v>35808.77777777777</v>
      </c>
      <c r="BG37" s="2" t="n">
        <v>652.9399999999999</v>
      </c>
      <c r="BH37" s="2" t="n">
        <v>82</v>
      </c>
      <c r="BI37" s="2" t="n">
        <v>36187.5</v>
      </c>
      <c r="BJ37" s="2" t="n">
        <v>95.83216666666667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422.976465</v>
      </c>
      <c r="BQ37" s="2" t="n">
        <v>0</v>
      </c>
      <c r="BR37" s="2" t="n">
        <v>37466.24863166667</v>
      </c>
      <c r="BS37" s="2" t="n">
        <v>801.8115</v>
      </c>
      <c r="BT37" s="2" t="n">
        <v>0</v>
      </c>
      <c r="BU37" s="2" t="n">
        <v>7569.016733333335</v>
      </c>
      <c r="BV37" s="2" t="n">
        <v>8370.828233333335</v>
      </c>
      <c r="BW37" s="2" t="n">
        <v>45837.076865</v>
      </c>
      <c r="BX37" s="2" t="n">
        <v>29602.26</v>
      </c>
      <c r="BY37" s="2" t="n">
        <v>1729.33</v>
      </c>
      <c r="BZ37" s="2" t="n">
        <v>7341.89</v>
      </c>
      <c r="CA37" s="2" t="n">
        <v>31331.59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1210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44568</v>
      </c>
      <c r="L38" s="2" t="n">
        <v>3709.873333333333</v>
      </c>
      <c r="M38" s="2" t="n">
        <v>41266.66666666666</v>
      </c>
      <c r="N38" s="2" t="n">
        <v>5598.91</v>
      </c>
      <c r="O38" s="2" t="n">
        <v>38969.09</v>
      </c>
      <c r="P38" s="2" t="n">
        <v>0</v>
      </c>
      <c r="Q38" s="2" t="n">
        <v>28065.71</v>
      </c>
      <c r="R38" s="2" t="n">
        <v>1600</v>
      </c>
      <c r="S38" s="2" t="n">
        <v>25986.76851851851</v>
      </c>
      <c r="T38" s="2" t="n">
        <v>6332.53</v>
      </c>
      <c r="U38" s="2" t="n">
        <v>21733.18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15768.44</v>
      </c>
      <c r="AP38" s="2" t="n">
        <v>1153.432185185185</v>
      </c>
      <c r="AQ38" s="2" t="n">
        <v>14600.40740740741</v>
      </c>
      <c r="AR38" s="2" t="n">
        <v>2155.72</v>
      </c>
      <c r="AS38" s="2" t="n">
        <v>13612.72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88402.14999999999</v>
      </c>
      <c r="BB38" s="2" t="n">
        <v>74314.98999999999</v>
      </c>
      <c r="BC38" s="2">
        <f>F38+L38+R38+X38+AD38+AJ38+AP38+AV38+IF(BE38="",0,BE38)</f>
        <v/>
      </c>
      <c r="BD38" s="2" t="n">
        <v>1144.450846</v>
      </c>
      <c r="BE38" s="2" t="n"/>
      <c r="BF38" s="2" t="n">
        <v>81853.84259259258</v>
      </c>
      <c r="BG38" s="2" t="n">
        <v>760.5599999999999</v>
      </c>
      <c r="BH38" s="2" t="n">
        <v>260</v>
      </c>
      <c r="BI38" s="2" t="n">
        <v>36187.5</v>
      </c>
      <c r="BJ38" s="2" t="n">
        <v>95.83216666666667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1003.252365</v>
      </c>
      <c r="BQ38" s="2" t="n">
        <v>0</v>
      </c>
      <c r="BR38" s="2" t="n">
        <v>38332.14453166666</v>
      </c>
      <c r="BS38" s="2" t="n">
        <v>801.8115</v>
      </c>
      <c r="BT38" s="2" t="n">
        <v>0</v>
      </c>
      <c r="BU38" s="2" t="n">
        <v>7626.140733333334</v>
      </c>
      <c r="BV38" s="2" t="n">
        <v>8427.952233333333</v>
      </c>
      <c r="BW38" s="2" t="n">
        <v>46760.09676499999</v>
      </c>
      <c r="BX38" s="2" t="n">
        <v>74314.98999999999</v>
      </c>
      <c r="BY38" s="2" t="n">
        <v>0</v>
      </c>
      <c r="BZ38" s="2" t="n">
        <v>14087.16</v>
      </c>
      <c r="CA38" s="2" t="n">
        <v>74314.98999999999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1211</v>
      </c>
      <c r="B39" t="inlineStr">
        <is>
          <t>Kolejowa, 59-300 Lubin</t>
        </is>
      </c>
      <c r="C39" t="inlineStr">
        <is>
          <t>Lubin</t>
        </is>
      </c>
      <c r="D39" t="inlineStr">
        <is>
          <t>ST|40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27633.02</v>
      </c>
      <c r="R39" s="2" t="n">
        <v>1600</v>
      </c>
      <c r="S39" s="2" t="n">
        <v>25586.12962962963</v>
      </c>
      <c r="T39" s="2" t="n">
        <v>11143.79</v>
      </c>
      <c r="U39" s="2" t="n">
        <v>15115.21</v>
      </c>
      <c r="V39" s="2" t="n">
        <v>1374.02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27633.02</v>
      </c>
      <c r="BB39" s="2" t="n">
        <v>16489.23</v>
      </c>
      <c r="BC39" s="2">
        <f>F39+L39+R39+X39+AD39+AJ39+AP39+AV39+IF(BE39="",0,BE39)</f>
        <v/>
      </c>
      <c r="BD39" s="2" t="n">
        <v>253.934142</v>
      </c>
      <c r="BE39" s="2" t="n"/>
      <c r="BF39" s="2" t="n">
        <v>25586.12962962963</v>
      </c>
      <c r="BG39" s="2" t="n">
        <v>0</v>
      </c>
      <c r="BH39" s="2" t="n">
        <v>112.06</v>
      </c>
      <c r="BI39" s="2" t="n">
        <v>36187.5</v>
      </c>
      <c r="BJ39" s="2" t="n">
        <v>95.83216666666667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222.604605</v>
      </c>
      <c r="BQ39" s="2" t="n">
        <v>0</v>
      </c>
      <c r="BR39" s="2" t="n">
        <v>36642.99677166667</v>
      </c>
      <c r="BS39" s="2" t="n">
        <v>801.8115</v>
      </c>
      <c r="BT39" s="2" t="n">
        <v>0</v>
      </c>
      <c r="BU39" s="2" t="n">
        <v>7444.440733333334</v>
      </c>
      <c r="BV39" s="2" t="n">
        <v>8246.252233333335</v>
      </c>
      <c r="BW39" s="2" t="n">
        <v>44889.249005</v>
      </c>
      <c r="BX39" s="2" t="n">
        <v>15115.21</v>
      </c>
      <c r="BY39" s="2" t="n">
        <v>1374.02</v>
      </c>
      <c r="BZ39" s="2" t="n">
        <v>11143.79</v>
      </c>
      <c r="CA39" s="2" t="n">
        <v>16489.23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1212</v>
      </c>
      <c r="B40" t="inlineStr">
        <is>
          <t>Armii Krajowej 26C, 58-302 Wałbrzych</t>
        </is>
      </c>
      <c r="C40" t="inlineStr">
        <is>
          <t>Wałbrzych Miasto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2655.1</v>
      </c>
      <c r="L40" s="2" t="n">
        <v>221.0124907407407</v>
      </c>
      <c r="M40" s="2" t="n">
        <v>2458.425925925926</v>
      </c>
      <c r="N40" s="2" t="n">
        <v>556.76</v>
      </c>
      <c r="O40" s="2" t="n">
        <v>1734.34</v>
      </c>
      <c r="P40" s="2" t="n">
        <v>364</v>
      </c>
      <c r="Q40" s="2" t="n">
        <v>9268.849999999999</v>
      </c>
      <c r="R40" s="2" t="n">
        <v>1600</v>
      </c>
      <c r="S40" s="2" t="n">
        <v>8582.268518518516</v>
      </c>
      <c r="T40" s="2" t="n">
        <v>1819.8</v>
      </c>
      <c r="U40" s="2" t="n">
        <v>6987.15</v>
      </c>
      <c r="V40" s="2" t="n">
        <v>461.9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348.04</v>
      </c>
      <c r="AP40" s="2" t="n">
        <v>25.45848148148148</v>
      </c>
      <c r="AQ40" s="2" t="n">
        <v>322.2592592592592</v>
      </c>
      <c r="AR40" s="2" t="n">
        <v>43.25</v>
      </c>
      <c r="AS40" s="2" t="n">
        <v>304.79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12271.99</v>
      </c>
      <c r="BB40" s="2" t="n">
        <v>9852.18</v>
      </c>
      <c r="BC40" s="2">
        <f>F40+L40+R40+X40+AD40+AJ40+AP40+AV40+IF(BE40="",0,BE40)</f>
        <v/>
      </c>
      <c r="BD40" s="2" t="n">
        <v>151.723572</v>
      </c>
      <c r="BE40" s="2" t="n"/>
      <c r="BF40" s="2" t="n">
        <v>11362.9537037037</v>
      </c>
      <c r="BG40" s="2" t="n">
        <v>573.92</v>
      </c>
      <c r="BH40" s="2" t="n">
        <v>110.7</v>
      </c>
      <c r="BI40" s="2" t="n">
        <v>36187.5</v>
      </c>
      <c r="BJ40" s="2" t="n">
        <v>95.83216666666667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133.00443</v>
      </c>
      <c r="BQ40" s="2" t="n">
        <v>0</v>
      </c>
      <c r="BR40" s="2" t="n">
        <v>37125.95659666667</v>
      </c>
      <c r="BS40" s="2" t="n">
        <v>801.8115</v>
      </c>
      <c r="BT40" s="2" t="n">
        <v>0</v>
      </c>
      <c r="BU40" s="2" t="n">
        <v>7558.952733333335</v>
      </c>
      <c r="BV40" s="2" t="n">
        <v>8360.764233333335</v>
      </c>
      <c r="BW40" s="2" t="n">
        <v>45486.72083000001</v>
      </c>
      <c r="BX40" s="2" t="n">
        <v>9026.280000000001</v>
      </c>
      <c r="BY40" s="2" t="n">
        <v>825.9</v>
      </c>
      <c r="BZ40" s="2" t="n">
        <v>2419.81</v>
      </c>
      <c r="CA40" s="2" t="n">
        <v>9852.18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1213</v>
      </c>
      <c r="B41" t="inlineStr">
        <is>
          <t>Plac 1000-Lecia 1, 67-200 Głogów</t>
        </is>
      </c>
      <c r="C41" t="inlineStr">
        <is>
          <t>Głogów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17787.59</v>
      </c>
      <c r="L41" s="2" t="n">
        <v>1480.652167592592</v>
      </c>
      <c r="M41" s="2" t="n">
        <v>16469.99074074074</v>
      </c>
      <c r="N41" s="2" t="n">
        <v>7502.9</v>
      </c>
      <c r="O41" s="2" t="n">
        <v>9611.09</v>
      </c>
      <c r="P41" s="2" t="n">
        <v>673.6</v>
      </c>
      <c r="Q41" s="2" t="n">
        <v>23655.05</v>
      </c>
      <c r="R41" s="2" t="n">
        <v>1600</v>
      </c>
      <c r="S41" s="2" t="n">
        <v>21902.82407407407</v>
      </c>
      <c r="T41" s="2" t="n">
        <v>7914.63</v>
      </c>
      <c r="U41" s="2" t="n">
        <v>15289.99</v>
      </c>
      <c r="V41" s="2" t="n">
        <v>450.43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4875.68</v>
      </c>
      <c r="AP41" s="2" t="n">
        <v>356.646962962963</v>
      </c>
      <c r="AQ41" s="2" t="n">
        <v>4514.518518518518</v>
      </c>
      <c r="AR41" s="2" t="n">
        <v>2303.67</v>
      </c>
      <c r="AS41" s="2" t="n">
        <v>2270.46</v>
      </c>
      <c r="AT41" s="2" t="n">
        <v>301.55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46318.32</v>
      </c>
      <c r="BB41" s="2" t="n">
        <v>28597.12</v>
      </c>
      <c r="BC41" s="2">
        <f>F41+L41+R41+X41+AD41+AJ41+AP41+AV41+IF(BE41="",0,BE41)</f>
        <v/>
      </c>
      <c r="BD41" s="2" t="n">
        <v>440.395648</v>
      </c>
      <c r="BE41" s="2" t="n"/>
      <c r="BF41" s="2" t="n">
        <v>42887.33333333333</v>
      </c>
      <c r="BG41" s="2" t="n">
        <v>573.92</v>
      </c>
      <c r="BH41" s="2" t="n">
        <v>134.1</v>
      </c>
      <c r="BI41" s="2" t="n">
        <v>36187.5</v>
      </c>
      <c r="BJ41" s="2" t="n">
        <v>95.83216666666667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386.06112</v>
      </c>
      <c r="BQ41" s="2" t="n">
        <v>0</v>
      </c>
      <c r="BR41" s="2" t="n">
        <v>37402.41328666666</v>
      </c>
      <c r="BS41" s="2" t="n">
        <v>801.8115</v>
      </c>
      <c r="BT41" s="2" t="n">
        <v>0</v>
      </c>
      <c r="BU41" s="2" t="n">
        <v>7563.632733333334</v>
      </c>
      <c r="BV41" s="2" t="n">
        <v>8365.444233333334</v>
      </c>
      <c r="BW41" s="2" t="n">
        <v>45767.85752</v>
      </c>
      <c r="BX41" s="2" t="n">
        <v>27171.54</v>
      </c>
      <c r="BY41" s="2" t="n">
        <v>1425.58</v>
      </c>
      <c r="BZ41" s="2" t="n">
        <v>17721.2</v>
      </c>
      <c r="CA41" s="2" t="n">
        <v>28597.12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1214</v>
      </c>
      <c r="B42" t="inlineStr">
        <is>
          <t>Dworcowa 72A, 69-110 Rzepin</t>
        </is>
      </c>
      <c r="C42" t="inlineStr">
        <is>
          <t>Rzepin</t>
        </is>
      </c>
      <c r="D42" t="inlineStr">
        <is>
          <t>ST|40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10554.75</v>
      </c>
      <c r="L42" s="2" t="n">
        <v>878.5852083333333</v>
      </c>
      <c r="M42" s="2" t="n">
        <v>9772.916666666666</v>
      </c>
      <c r="N42" s="2" t="n">
        <v>5119.85</v>
      </c>
      <c r="O42" s="2" t="n">
        <v>5241.4</v>
      </c>
      <c r="P42" s="2" t="n">
        <v>193.5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10554.75</v>
      </c>
      <c r="BB42" s="2" t="n">
        <v>5434.9</v>
      </c>
      <c r="BC42" s="2">
        <f>F42+L42+R42+X42+AD42+AJ42+AP42+AV42+IF(BE42="",0,BE42)</f>
        <v/>
      </c>
      <c r="BD42" s="2" t="n">
        <v>83.69745999999999</v>
      </c>
      <c r="BE42" s="2" t="n"/>
      <c r="BF42" s="2" t="n">
        <v>9772.916666666666</v>
      </c>
      <c r="BG42" s="2" t="n">
        <v>430.45</v>
      </c>
      <c r="BH42" s="2" t="n">
        <v>0</v>
      </c>
      <c r="BI42" s="2" t="n">
        <v>36187.5</v>
      </c>
      <c r="BJ42" s="2" t="n">
        <v>95.83216666666667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73.37115</v>
      </c>
      <c r="BQ42" s="2" t="n">
        <v>0</v>
      </c>
      <c r="BR42" s="2" t="n">
        <v>36812.15331666666</v>
      </c>
      <c r="BS42" s="2" t="n">
        <v>801.8115</v>
      </c>
      <c r="BT42" s="2" t="n">
        <v>0</v>
      </c>
      <c r="BU42" s="2" t="n">
        <v>7508.118733333334</v>
      </c>
      <c r="BV42" s="2" t="n">
        <v>8309.930233333334</v>
      </c>
      <c r="BW42" s="2" t="n">
        <v>45122.08355</v>
      </c>
      <c r="BX42" s="2" t="n">
        <v>5241.4</v>
      </c>
      <c r="BY42" s="2" t="n">
        <v>193.5</v>
      </c>
      <c r="BZ42" s="2" t="n">
        <v>5119.85</v>
      </c>
      <c r="CA42" s="2" t="n">
        <v>5434.9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1216</v>
      </c>
      <c r="B43" t="inlineStr">
        <is>
          <t>Pszczyna</t>
        </is>
      </c>
      <c r="C43" t="inlineStr"/>
      <c r="D43" t="inlineStr"/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1746.39</v>
      </c>
      <c r="L43" s="2" t="n">
        <v>145.3707972222222</v>
      </c>
      <c r="M43" s="2" t="n">
        <v>1617.027777777778</v>
      </c>
      <c r="N43" s="2" t="n">
        <v>157.24</v>
      </c>
      <c r="O43" s="2" t="n">
        <v>1555.62</v>
      </c>
      <c r="P43" s="2" t="n">
        <v>33.53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1746.39</v>
      </c>
      <c r="BB43" s="2" t="n">
        <v>1589.15</v>
      </c>
      <c r="BC43" s="2">
        <f>F43+L43+R43+X43+AD43+AJ43+AP43+AV43+IF(BE43="",0,BE43)</f>
        <v/>
      </c>
      <c r="BD43" s="2" t="n">
        <v>24.47291</v>
      </c>
      <c r="BE43" s="2" t="n"/>
      <c r="BF43" s="2" t="n">
        <v>1617.027777777778</v>
      </c>
      <c r="BG43" s="2" t="n">
        <v>588.99</v>
      </c>
      <c r="BH43" s="2" t="n">
        <v>117.6</v>
      </c>
      <c r="BI43" s="2" t="n">
        <v>36187.5</v>
      </c>
      <c r="BJ43" s="2" t="n">
        <v>95.83216666666667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21.453525</v>
      </c>
      <c r="BQ43" s="2" t="n">
        <v>0</v>
      </c>
      <c r="BR43" s="2" t="n">
        <v>37036.37569166666</v>
      </c>
      <c r="BS43" s="2" t="n">
        <v>801.8115</v>
      </c>
      <c r="BT43" s="2" t="n">
        <v>0</v>
      </c>
      <c r="BU43" s="2" t="n">
        <v>7563.346733333334</v>
      </c>
      <c r="BV43" s="2" t="n">
        <v>8365.158233333334</v>
      </c>
      <c r="BW43" s="2" t="n">
        <v>45401.533925</v>
      </c>
      <c r="BX43" s="2" t="n">
        <v>1555.62</v>
      </c>
      <c r="BY43" s="2" t="n">
        <v>33.53</v>
      </c>
      <c r="BZ43" s="2" t="n">
        <v>157.24</v>
      </c>
      <c r="CA43" s="2" t="n">
        <v>1589.15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1217</v>
      </c>
      <c r="B44" t="inlineStr">
        <is>
          <t>pl. Marii i Lecha Kaczyńskiego 2, 40-098 Katowice</t>
        </is>
      </c>
      <c r="C44" t="inlineStr">
        <is>
          <t>Katowice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17350.81</v>
      </c>
      <c r="L44" s="2" t="n">
        <v>1444.294276851852</v>
      </c>
      <c r="M44" s="2" t="n">
        <v>16065.56481481482</v>
      </c>
      <c r="N44" s="2" t="n">
        <v>7426.56</v>
      </c>
      <c r="O44" s="2" t="n">
        <v>9424.67</v>
      </c>
      <c r="P44" s="2" t="n">
        <v>499.58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7536.010000000001</v>
      </c>
      <c r="AP44" s="2" t="n">
        <v>551.245175925926</v>
      </c>
      <c r="AQ44" s="2" t="n">
        <v>6977.787037037037</v>
      </c>
      <c r="AR44" s="2" t="n">
        <v>2944.69</v>
      </c>
      <c r="AS44" s="2" t="n">
        <v>4347.01</v>
      </c>
      <c r="AT44" s="2" t="n">
        <v>244.31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24886.82</v>
      </c>
      <c r="BB44" s="2" t="n">
        <v>14515.57</v>
      </c>
      <c r="BC44" s="2">
        <f>F44+L44+R44+X44+AD44+AJ44+AP44+AV44+IF(BE44="",0,BE44)</f>
        <v/>
      </c>
      <c r="BD44" s="2" t="n">
        <v>223.539778</v>
      </c>
      <c r="BE44" s="2" t="n"/>
      <c r="BF44" s="2" t="n">
        <v>23043.35185185185</v>
      </c>
      <c r="BG44" s="2" t="n">
        <v>775</v>
      </c>
      <c r="BH44" s="2" t="n">
        <v>540</v>
      </c>
      <c r="BI44" s="2" t="n">
        <v>36187.5</v>
      </c>
      <c r="BJ44" s="2" t="n">
        <v>95.83216666666667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195.960195</v>
      </c>
      <c r="BQ44" s="2" t="n">
        <v>0</v>
      </c>
      <c r="BR44" s="2" t="n">
        <v>37819.29236166667</v>
      </c>
      <c r="BS44" s="2" t="n">
        <v>801.8115</v>
      </c>
      <c r="BT44" s="2" t="n">
        <v>0</v>
      </c>
      <c r="BU44" s="2" t="n">
        <v>7685.028733333334</v>
      </c>
      <c r="BV44" s="2" t="n">
        <v>8486.840233333334</v>
      </c>
      <c r="BW44" s="2" t="n">
        <v>46306.132595</v>
      </c>
      <c r="BX44" s="2" t="n">
        <v>13771.68</v>
      </c>
      <c r="BY44" s="2" t="n">
        <v>743.89</v>
      </c>
      <c r="BZ44" s="2" t="n">
        <v>10371.25</v>
      </c>
      <c r="CA44" s="2" t="n">
        <v>14515.57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1219</v>
      </c>
      <c r="B45" t="inlineStr">
        <is>
          <t>Armii Krajowej 3, 75-200 Koszalin</t>
        </is>
      </c>
      <c r="C45" t="inlineStr">
        <is>
          <t>Koszalin</t>
        </is>
      </c>
      <c r="D45" t="inlineStr">
        <is>
          <t>FAA2000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8127.48</v>
      </c>
      <c r="L45" s="2" t="n">
        <v>676.5374555555555</v>
      </c>
      <c r="M45" s="2" t="n">
        <v>7525.444444444443</v>
      </c>
      <c r="N45" s="2" t="n">
        <v>2241.74</v>
      </c>
      <c r="O45" s="2" t="n">
        <v>5198.43</v>
      </c>
      <c r="P45" s="2" t="n">
        <v>687.3099999999999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6473.62</v>
      </c>
      <c r="AP45" s="2" t="n">
        <v>473.5333148148148</v>
      </c>
      <c r="AQ45" s="2" t="n">
        <v>5994.092592592592</v>
      </c>
      <c r="AR45" s="2" t="n">
        <v>1530.13</v>
      </c>
      <c r="AS45" s="2" t="n">
        <v>4568.62</v>
      </c>
      <c r="AT45" s="2" t="n">
        <v>374.87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14601.1</v>
      </c>
      <c r="BB45" s="2" t="n">
        <v>10829.23</v>
      </c>
      <c r="BC45" s="2">
        <f>F45+L45+R45+X45+AD45+AJ45+AP45+AV45+IF(BE45="",0,BE45)</f>
        <v/>
      </c>
      <c r="BD45" s="2" t="n">
        <v>166.770142</v>
      </c>
      <c r="BE45" s="2" t="n"/>
      <c r="BF45" s="2" t="n">
        <v>13519.53703703704</v>
      </c>
      <c r="BG45" s="2" t="n">
        <v>0</v>
      </c>
      <c r="BH45" s="2" t="n">
        <v>0</v>
      </c>
      <c r="BI45" s="2" t="n">
        <v>36187.5</v>
      </c>
      <c r="BJ45" s="2" t="n">
        <v>95.83216666666667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146.194605</v>
      </c>
      <c r="BQ45" s="2" t="n">
        <v>0</v>
      </c>
      <c r="BR45" s="2" t="n">
        <v>36454.52677166666</v>
      </c>
      <c r="BS45" s="2" t="n">
        <v>801.8115</v>
      </c>
      <c r="BT45" s="2" t="n">
        <v>0</v>
      </c>
      <c r="BU45" s="2" t="n">
        <v>7422.028733333334</v>
      </c>
      <c r="BV45" s="2" t="n">
        <v>8223.840233333334</v>
      </c>
      <c r="BW45" s="2" t="n">
        <v>44678.367005</v>
      </c>
      <c r="BX45" s="2" t="n">
        <v>9767.049999999999</v>
      </c>
      <c r="BY45" s="2" t="n">
        <v>1062.18</v>
      </c>
      <c r="BZ45" s="2" t="n">
        <v>3771.87</v>
      </c>
      <c r="CA45" s="2" t="n">
        <v>10829.23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1220</v>
      </c>
      <c r="B46" t="inlineStr">
        <is>
          <t>Kotłątaja 32, 76-200 Słupsk</t>
        </is>
      </c>
      <c r="C46" t="inlineStr">
        <is>
          <t>Słupsk</t>
        </is>
      </c>
      <c r="D46" t="inlineStr">
        <is>
          <t>FAA2000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7185.67</v>
      </c>
      <c r="L46" s="2" t="n">
        <v>598.1404935185185</v>
      </c>
      <c r="M46" s="2" t="n">
        <v>6653.398148148148</v>
      </c>
      <c r="N46" s="2" t="n">
        <v>4036.69</v>
      </c>
      <c r="O46" s="2" t="n">
        <v>3024.08</v>
      </c>
      <c r="P46" s="2" t="n">
        <v>124.9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8404.66</v>
      </c>
      <c r="AP46" s="2" t="n">
        <v>4144</v>
      </c>
      <c r="AQ46" s="2" t="n">
        <v>7782.092592592592</v>
      </c>
      <c r="AR46" s="2" t="n">
        <v>4440.91</v>
      </c>
      <c r="AS46" s="2" t="n">
        <v>3456.05</v>
      </c>
      <c r="AT46" s="2" t="n">
        <v>507.7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15590.33</v>
      </c>
      <c r="BB46" s="2" t="n">
        <v>7112.73</v>
      </c>
      <c r="BC46" s="2">
        <f>F46+L46+R46+X46+AD46+AJ46+AP46+AV46+IF(BE46="",0,BE46)</f>
        <v/>
      </c>
      <c r="BD46" s="2" t="n">
        <v>109.536042</v>
      </c>
      <c r="BE46" s="2" t="n"/>
      <c r="BF46" s="2" t="n">
        <v>14435.49074074074</v>
      </c>
      <c r="BG46" s="2" t="n">
        <v>0</v>
      </c>
      <c r="BH46" s="2" t="n">
        <v>0</v>
      </c>
      <c r="BI46" s="2" t="n">
        <v>36187.5</v>
      </c>
      <c r="BJ46" s="2" t="n">
        <v>95.83216666666667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96.02185499999999</v>
      </c>
      <c r="BQ46" s="2" t="n">
        <v>0</v>
      </c>
      <c r="BR46" s="2" t="n">
        <v>36404.35402166667</v>
      </c>
      <c r="BS46" s="2" t="n">
        <v>801.8115</v>
      </c>
      <c r="BT46" s="2" t="n">
        <v>0</v>
      </c>
      <c r="BU46" s="2" t="n">
        <v>7422.028733333334</v>
      </c>
      <c r="BV46" s="2" t="n">
        <v>8223.840233333334</v>
      </c>
      <c r="BW46" s="2" t="n">
        <v>44628.194255</v>
      </c>
      <c r="BX46" s="2" t="n">
        <v>6480.13</v>
      </c>
      <c r="BY46" s="2" t="n">
        <v>632.6</v>
      </c>
      <c r="BZ46" s="2" t="n">
        <v>8477.6</v>
      </c>
      <c r="CA46" s="2" t="n">
        <v>7112.73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1221</v>
      </c>
      <c r="B47" t="inlineStr">
        <is>
          <t>Dworcowa 2, 58-100 Świdnica</t>
        </is>
      </c>
      <c r="C47" t="inlineStr">
        <is>
          <t>Świdnica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40701.1</v>
      </c>
      <c r="R47" s="2" t="n">
        <v>1600</v>
      </c>
      <c r="S47" s="2" t="n">
        <v>37686.2037037037</v>
      </c>
      <c r="T47" s="2" t="n">
        <v>13646.74</v>
      </c>
      <c r="U47" s="2" t="n">
        <v>25355.32</v>
      </c>
      <c r="V47" s="2" t="n">
        <v>1699.04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40701.1</v>
      </c>
      <c r="BB47" s="2" t="n">
        <v>27054.36</v>
      </c>
      <c r="BC47" s="2">
        <f>F47+L47+R47+X47+AD47+AJ47+AP47+AV47+IF(BE47="",0,BE47)</f>
        <v/>
      </c>
      <c r="BD47" s="2" t="n">
        <v>416.637144</v>
      </c>
      <c r="BE47" s="2" t="n"/>
      <c r="BF47" s="2" t="n">
        <v>37686.2037037037</v>
      </c>
      <c r="BG47" s="2" t="n">
        <v>200</v>
      </c>
      <c r="BH47" s="2" t="n">
        <v>0</v>
      </c>
      <c r="BI47" s="2" t="n">
        <v>36187.5</v>
      </c>
      <c r="BJ47" s="2" t="n">
        <v>95.83216666666667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365.23386</v>
      </c>
      <c r="BQ47" s="2" t="n">
        <v>0</v>
      </c>
      <c r="BR47" s="2" t="n">
        <v>36873.56602666667</v>
      </c>
      <c r="BS47" s="2" t="n">
        <v>801.8115</v>
      </c>
      <c r="BT47" s="2" t="n">
        <v>0</v>
      </c>
      <c r="BU47" s="2" t="n">
        <v>7462.028733333334</v>
      </c>
      <c r="BV47" s="2" t="n">
        <v>8263.840233333334</v>
      </c>
      <c r="BW47" s="2" t="n">
        <v>45137.40626</v>
      </c>
      <c r="BX47" s="2" t="n">
        <v>25355.32</v>
      </c>
      <c r="BY47" s="2" t="n">
        <v>1699.04</v>
      </c>
      <c r="BZ47" s="2" t="n">
        <v>13646.74</v>
      </c>
      <c r="CA47" s="2" t="n">
        <v>27054.36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1222</v>
      </c>
      <c r="B48" t="inlineStr">
        <is>
          <t>Dworcowa 33, 83-400 Kościerzyna</t>
        </is>
      </c>
      <c r="C48" t="inlineStr">
        <is>
          <t>Kościerzyna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3005.95</v>
      </c>
      <c r="AP48" s="2" t="n">
        <v>4050</v>
      </c>
      <c r="AQ48" s="2" t="n">
        <v>2783.287037037036</v>
      </c>
      <c r="AR48" s="2" t="n">
        <v>0</v>
      </c>
      <c r="AS48" s="2" t="n">
        <v>2831.45</v>
      </c>
      <c r="AT48" s="2" t="n">
        <v>174.5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3005.95</v>
      </c>
      <c r="BB48" s="2" t="n">
        <v>3005.95</v>
      </c>
      <c r="BC48" s="2">
        <f>F48+L48+R48+X48+AD48+AJ48+AP48+AV48+IF(BE48="",0,BE48)</f>
        <v/>
      </c>
      <c r="BD48" s="2" t="n">
        <v>46.29163</v>
      </c>
      <c r="BE48" s="2" t="n"/>
      <c r="BF48" s="2" t="n">
        <v>2783.287037037036</v>
      </c>
      <c r="BG48" s="2" t="n">
        <v>0</v>
      </c>
      <c r="BH48" s="2" t="n">
        <v>0</v>
      </c>
      <c r="BI48" s="2" t="n">
        <v>36187.5</v>
      </c>
      <c r="BJ48" s="2" t="n">
        <v>95.83216666666667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40.58032499999999</v>
      </c>
      <c r="BQ48" s="2" t="n">
        <v>0</v>
      </c>
      <c r="BR48" s="2" t="n">
        <v>36348.91249166667</v>
      </c>
      <c r="BS48" s="2" t="n">
        <v>801.8115</v>
      </c>
      <c r="BT48" s="2" t="n">
        <v>0</v>
      </c>
      <c r="BU48" s="2" t="n">
        <v>7422.028733333334</v>
      </c>
      <c r="BV48" s="2" t="n">
        <v>8223.840233333334</v>
      </c>
      <c r="BW48" s="2" t="n">
        <v>44572.75272500001</v>
      </c>
      <c r="BX48" s="2" t="n">
        <v>2831.45</v>
      </c>
      <c r="BY48" s="2" t="n">
        <v>174.5</v>
      </c>
      <c r="BZ48" s="2" t="n">
        <v>0</v>
      </c>
      <c r="CA48" s="2" t="n">
        <v>3005.95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1223</v>
      </c>
      <c r="B49" t="inlineStr">
        <is>
          <t>Dworcowa 17, 82-200 Malbork</t>
        </is>
      </c>
      <c r="C49" t="inlineStr">
        <is>
          <t>Malbork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16816.06</v>
      </c>
      <c r="L49" s="2" t="n">
        <v>1399.781290740741</v>
      </c>
      <c r="M49" s="2" t="n">
        <v>15570.42592592592</v>
      </c>
      <c r="N49" s="2" t="n">
        <v>3135.41</v>
      </c>
      <c r="O49" s="2" t="n">
        <v>13354.71</v>
      </c>
      <c r="P49" s="2" t="n">
        <v>325.94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22279.36</v>
      </c>
      <c r="AP49" s="2" t="n">
        <v>1629.693925925926</v>
      </c>
      <c r="AQ49" s="2" t="n">
        <v>20629.03703703704</v>
      </c>
      <c r="AR49" s="2" t="n">
        <v>6149.59</v>
      </c>
      <c r="AS49" s="2" t="n">
        <v>15254.77</v>
      </c>
      <c r="AT49" s="2" t="n">
        <v>875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39095.42</v>
      </c>
      <c r="BB49" s="2" t="n">
        <v>29810.42</v>
      </c>
      <c r="BC49" s="2">
        <f>F49+L49+R49+X49+AD49+AJ49+AP49+AV49+IF(BE49="",0,BE49)</f>
        <v/>
      </c>
      <c r="BD49" s="2" t="n">
        <v>459.080468</v>
      </c>
      <c r="BE49" s="2" t="n"/>
      <c r="BF49" s="2" t="n">
        <v>36199.46296296296</v>
      </c>
      <c r="BG49" s="2" t="n">
        <v>456.34</v>
      </c>
      <c r="BH49" s="2" t="n">
        <v>117</v>
      </c>
      <c r="BI49" s="2" t="n">
        <v>36187.5</v>
      </c>
      <c r="BJ49" s="2" t="n">
        <v>95.83216666666667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402.44067</v>
      </c>
      <c r="BQ49" s="2" t="n">
        <v>0</v>
      </c>
      <c r="BR49" s="2" t="n">
        <v>37284.11283666667</v>
      </c>
      <c r="BS49" s="2" t="n">
        <v>801.8115</v>
      </c>
      <c r="BT49" s="2" t="n">
        <v>0</v>
      </c>
      <c r="BU49" s="2" t="n">
        <v>7536.696733333334</v>
      </c>
      <c r="BV49" s="2" t="n">
        <v>8338.508233333334</v>
      </c>
      <c r="BW49" s="2" t="n">
        <v>45622.62107</v>
      </c>
      <c r="BX49" s="2" t="n">
        <v>28609.48</v>
      </c>
      <c r="BY49" s="2" t="n">
        <v>1200.94</v>
      </c>
      <c r="BZ49" s="2" t="n">
        <v>9285</v>
      </c>
      <c r="CA49" s="2" t="n">
        <v>29810.42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1224</v>
      </c>
      <c r="B50" t="inlineStr">
        <is>
          <t>Kuznica</t>
        </is>
      </c>
      <c r="C50" t="inlineStr">
        <is>
          <t>Kuźnica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4807.04</v>
      </c>
      <c r="AP50" s="2" t="n">
        <v>4052</v>
      </c>
      <c r="AQ50" s="2" t="n">
        <v>4450.962962962963</v>
      </c>
      <c r="AR50" s="2" t="n">
        <v>0</v>
      </c>
      <c r="AS50" s="2" t="n">
        <v>4074.55</v>
      </c>
      <c r="AT50" s="2" t="n">
        <v>732.49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4807.04</v>
      </c>
      <c r="BB50" s="2" t="n">
        <v>4807.04</v>
      </c>
      <c r="BC50" s="2">
        <f>F50+L50+R50+X50+AD50+AJ50+AP50+AV50+IF(BE50="",0,BE50)</f>
        <v/>
      </c>
      <c r="BD50" s="2" t="n">
        <v>74.02841600000001</v>
      </c>
      <c r="BE50" s="2" t="n"/>
      <c r="BF50" s="2" t="n">
        <v>4450.962962962963</v>
      </c>
      <c r="BG50" s="2" t="n">
        <v>456.34</v>
      </c>
      <c r="BH50" s="2" t="n">
        <v>141</v>
      </c>
      <c r="BI50" s="2" t="n">
        <v>36187.5</v>
      </c>
      <c r="BJ50" s="2" t="n">
        <v>95.83216666666667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64.89503999999999</v>
      </c>
      <c r="BQ50" s="2" t="n">
        <v>0</v>
      </c>
      <c r="BR50" s="2" t="n">
        <v>36970.56720666667</v>
      </c>
      <c r="BS50" s="2" t="n">
        <v>801.8115</v>
      </c>
      <c r="BT50" s="2" t="n">
        <v>0</v>
      </c>
      <c r="BU50" s="2" t="n">
        <v>7541.496733333333</v>
      </c>
      <c r="BV50" s="2" t="n">
        <v>8343.308233333333</v>
      </c>
      <c r="BW50" s="2" t="n">
        <v>45313.87544</v>
      </c>
      <c r="BX50" s="2" t="n">
        <v>4074.55</v>
      </c>
      <c r="BY50" s="2" t="n">
        <v>732.49</v>
      </c>
      <c r="BZ50" s="2" t="n">
        <v>0</v>
      </c>
      <c r="CA50" s="2" t="n">
        <v>4807.04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1225</v>
      </c>
      <c r="B51" t="inlineStr">
        <is>
          <t>Plac Legionów 2, 37-700 Przemyśl</t>
        </is>
      </c>
      <c r="C51" t="inlineStr">
        <is>
          <t>Przemyśl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32815.28</v>
      </c>
      <c r="L51" s="2" t="n">
        <v>2731.568214814815</v>
      </c>
      <c r="M51" s="2" t="n">
        <v>30384.51851851851</v>
      </c>
      <c r="N51" s="2" t="n">
        <v>2988.53</v>
      </c>
      <c r="O51" s="2" t="n">
        <v>29721.48</v>
      </c>
      <c r="P51" s="2" t="n">
        <v>105.27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7479.16</v>
      </c>
      <c r="AP51" s="2" t="n">
        <v>547.0867037037037</v>
      </c>
      <c r="AQ51" s="2" t="n">
        <v>6925.148148148148</v>
      </c>
      <c r="AR51" s="2" t="n">
        <v>1594.12</v>
      </c>
      <c r="AS51" s="2" t="n">
        <v>5791.03</v>
      </c>
      <c r="AT51" s="2" t="n">
        <v>94.01000000000001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40294.44</v>
      </c>
      <c r="BB51" s="2" t="n">
        <v>35711.79</v>
      </c>
      <c r="BC51" s="2">
        <f>F51+L51+R51+X51+AD51+AJ51+AP51+AV51+IF(BE51="",0,BE51)</f>
        <v/>
      </c>
      <c r="BD51" s="2" t="n">
        <v>549.9615659999999</v>
      </c>
      <c r="BE51" s="2" t="n"/>
      <c r="BF51" s="2" t="n">
        <v>37309.66666666666</v>
      </c>
      <c r="BG51" s="2" t="n">
        <v>456.34</v>
      </c>
      <c r="BH51" s="2" t="n">
        <v>113</v>
      </c>
      <c r="BI51" s="2" t="n">
        <v>36187.5</v>
      </c>
      <c r="BJ51" s="2" t="n">
        <v>95.83216666666667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482.109165</v>
      </c>
      <c r="BQ51" s="2" t="n">
        <v>0</v>
      </c>
      <c r="BR51" s="2" t="n">
        <v>37359.78133166667</v>
      </c>
      <c r="BS51" s="2" t="n">
        <v>801.8115</v>
      </c>
      <c r="BT51" s="2" t="n">
        <v>0</v>
      </c>
      <c r="BU51" s="2" t="n">
        <v>7535.896733333334</v>
      </c>
      <c r="BV51" s="2" t="n">
        <v>8337.708233333335</v>
      </c>
      <c r="BW51" s="2" t="n">
        <v>45697.489565</v>
      </c>
      <c r="BX51" s="2" t="n">
        <v>35512.51</v>
      </c>
      <c r="BY51" s="2" t="n">
        <v>199.28</v>
      </c>
      <c r="BZ51" s="2" t="n">
        <v>4582.65</v>
      </c>
      <c r="CA51" s="2" t="n">
        <v>35711.79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1226</v>
      </c>
      <c r="B52" t="inlineStr">
        <is>
          <t>Plac Dworcowy 3, 33-100 Tarnów</t>
        </is>
      </c>
      <c r="C52" t="inlineStr">
        <is>
          <t>Tarnów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11855.56</v>
      </c>
      <c r="L52" s="2" t="n">
        <v>986.8655962962962</v>
      </c>
      <c r="M52" s="2" t="n">
        <v>10977.37037037037</v>
      </c>
      <c r="N52" s="2" t="n">
        <v>2070.79</v>
      </c>
      <c r="O52" s="2" t="n">
        <v>9637.389999999999</v>
      </c>
      <c r="P52" s="2" t="n">
        <v>147.38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9495.01</v>
      </c>
      <c r="AP52" s="2" t="n">
        <v>694.5423981481481</v>
      </c>
      <c r="AQ52" s="2" t="n">
        <v>8791.675925925925</v>
      </c>
      <c r="AR52" s="2" t="n">
        <v>2000.13</v>
      </c>
      <c r="AS52" s="2" t="n">
        <v>7372.05</v>
      </c>
      <c r="AT52" s="2" t="n">
        <v>122.83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21350.57</v>
      </c>
      <c r="BB52" s="2" t="n">
        <v>17279.65</v>
      </c>
      <c r="BC52" s="2">
        <f>F52+L52+R52+X52+AD52+AJ52+AP52+AV52+IF(BE52="",0,BE52)</f>
        <v/>
      </c>
      <c r="BD52" s="2" t="n">
        <v>266.10661</v>
      </c>
      <c r="BE52" s="2" t="n"/>
      <c r="BF52" s="2" t="n">
        <v>19769.04629629629</v>
      </c>
      <c r="BG52" s="2" t="n">
        <v>456.34</v>
      </c>
      <c r="BH52" s="2" t="n">
        <v>142</v>
      </c>
      <c r="BI52" s="2" t="n">
        <v>36187.5</v>
      </c>
      <c r="BJ52" s="2" t="n">
        <v>95.83216666666667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233.275275</v>
      </c>
      <c r="BQ52" s="2" t="n">
        <v>0</v>
      </c>
      <c r="BR52" s="2" t="n">
        <v>37139.94744166666</v>
      </c>
      <c r="BS52" s="2" t="n">
        <v>801.8115</v>
      </c>
      <c r="BT52" s="2" t="n">
        <v>0</v>
      </c>
      <c r="BU52" s="2" t="n">
        <v>7541.696733333334</v>
      </c>
      <c r="BV52" s="2" t="n">
        <v>8343.508233333334</v>
      </c>
      <c r="BW52" s="2" t="n">
        <v>45483.455675</v>
      </c>
      <c r="BX52" s="2" t="n">
        <v>17009.44</v>
      </c>
      <c r="BY52" s="2" t="n">
        <v>270.21</v>
      </c>
      <c r="BZ52" s="2" t="n">
        <v>4070.92</v>
      </c>
      <c r="CA52" s="2" t="n">
        <v>17279.65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1227</v>
      </c>
      <c r="B53" t="inlineStr">
        <is>
          <t>Bochnia</t>
        </is>
      </c>
      <c r="C53" t="inlineStr"/>
      <c r="D53" t="inlineStr"/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5084.030000000001</v>
      </c>
      <c r="L53" s="2" t="n">
        <v>423.1984231481482</v>
      </c>
      <c r="M53" s="2" t="n">
        <v>4707.435185185185</v>
      </c>
      <c r="N53" s="2" t="n">
        <v>775.4299999999999</v>
      </c>
      <c r="O53" s="2" t="n">
        <v>4185.3</v>
      </c>
      <c r="P53" s="2" t="n">
        <v>123.3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4190.42</v>
      </c>
      <c r="X53" s="2" t="n">
        <v>350</v>
      </c>
      <c r="Y53" s="2" t="n">
        <v>3880.018518518518</v>
      </c>
      <c r="Z53" s="2" t="n">
        <v>1033.4</v>
      </c>
      <c r="AA53" s="2" t="n">
        <v>3041.7</v>
      </c>
      <c r="AB53" s="2" t="n">
        <v>115.32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2780.83</v>
      </c>
      <c r="AP53" s="2" t="n">
        <v>203.4125648148148</v>
      </c>
      <c r="AQ53" s="2" t="n">
        <v>2574.842592592592</v>
      </c>
      <c r="AR53" s="2" t="n">
        <v>511.59</v>
      </c>
      <c r="AS53" s="2" t="n">
        <v>2226.56</v>
      </c>
      <c r="AT53" s="2" t="n">
        <v>42.68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12055.28</v>
      </c>
      <c r="BB53" s="2" t="n">
        <v>9734.860000000001</v>
      </c>
      <c r="BC53" s="2">
        <f>F53+L53+R53+X53+AD53+AJ53+AP53+AV53+IF(BE53="",0,BE53)</f>
        <v/>
      </c>
      <c r="BD53" s="2" t="n">
        <v>143.918506</v>
      </c>
      <c r="BE53" s="2" t="n"/>
      <c r="BF53" s="2" t="n">
        <v>11162.2962962963</v>
      </c>
      <c r="BG53" s="2" t="n">
        <v>456.34</v>
      </c>
      <c r="BH53" s="2" t="n">
        <v>92.8</v>
      </c>
      <c r="BI53" s="2" t="n">
        <v>36187.5</v>
      </c>
      <c r="BJ53" s="2" t="n">
        <v>95.83216666666667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131.42061</v>
      </c>
      <c r="BQ53" s="2" t="n">
        <v>0</v>
      </c>
      <c r="BR53" s="2" t="n">
        <v>36988.89277666667</v>
      </c>
      <c r="BS53" s="2" t="n">
        <v>801.8115</v>
      </c>
      <c r="BT53" s="2" t="n">
        <v>0</v>
      </c>
      <c r="BU53" s="2" t="n">
        <v>7531.856733333334</v>
      </c>
      <c r="BV53" s="2" t="n">
        <v>8333.668233333334</v>
      </c>
      <c r="BW53" s="2" t="n">
        <v>45322.56101</v>
      </c>
      <c r="BX53" s="2" t="n">
        <v>9453.559999999999</v>
      </c>
      <c r="BY53" s="2" t="n">
        <v>281.3</v>
      </c>
      <c r="BZ53" s="2" t="n">
        <v>2320.42</v>
      </c>
      <c r="CA53" s="2" t="n">
        <v>9734.859999999999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1228</v>
      </c>
      <c r="B54" t="inlineStr">
        <is>
          <t>Sosnowiec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5425.209999999999</v>
      </c>
      <c r="L54" s="2" t="n">
        <v>451.598499074074</v>
      </c>
      <c r="M54" s="2" t="n">
        <v>5023.342592592591</v>
      </c>
      <c r="N54" s="2" t="n">
        <v>698.9</v>
      </c>
      <c r="O54" s="2" t="n">
        <v>4386.41</v>
      </c>
      <c r="P54" s="2" t="n">
        <v>339.9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5425.209999999999</v>
      </c>
      <c r="BB54" s="2" t="n">
        <v>4726.309999999999</v>
      </c>
      <c r="BC54" s="2">
        <f>F54+L54+R54+X54+AD54+AJ54+AP54+AV54+IF(BE54="",0,BE54)</f>
        <v/>
      </c>
      <c r="BD54" s="2" t="n">
        <v>72.785174</v>
      </c>
      <c r="BE54" s="2" t="n"/>
      <c r="BF54" s="2" t="n">
        <v>5023.342592592591</v>
      </c>
      <c r="BG54" s="2" t="n">
        <v>0</v>
      </c>
      <c r="BH54" s="2" t="n">
        <v>0</v>
      </c>
      <c r="BI54" s="2" t="n">
        <v>36187.5</v>
      </c>
      <c r="BJ54" s="2" t="n">
        <v>95.83216666666667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63.80518499999999</v>
      </c>
      <c r="BQ54" s="2" t="n">
        <v>0</v>
      </c>
      <c r="BR54" s="2" t="n">
        <v>36372.13735166666</v>
      </c>
      <c r="BS54" s="2" t="n">
        <v>801.8115</v>
      </c>
      <c r="BT54" s="2" t="n">
        <v>0</v>
      </c>
      <c r="BU54" s="2" t="n">
        <v>7422.028733333334</v>
      </c>
      <c r="BV54" s="2" t="n">
        <v>8223.840233333334</v>
      </c>
      <c r="BW54" s="2" t="n">
        <v>44595.977585</v>
      </c>
      <c r="BX54" s="2" t="n">
        <v>4386.41</v>
      </c>
      <c r="BY54" s="2" t="n">
        <v>339.9</v>
      </c>
      <c r="BZ54" s="2" t="n">
        <v>698.9</v>
      </c>
      <c r="CA54" s="2" t="n">
        <v>4726.309999999999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1229</v>
      </c>
      <c r="B55" t="inlineStr">
        <is>
          <t>Tychy</t>
        </is>
      </c>
      <c r="C55" t="inlineStr"/>
      <c r="D55" t="inlineStr"/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2139.42</v>
      </c>
      <c r="L55" s="2" t="n">
        <v>178.0869055555556</v>
      </c>
      <c r="M55" s="2" t="n">
        <v>1980.944444444444</v>
      </c>
      <c r="N55" s="2" t="n">
        <v>591.64</v>
      </c>
      <c r="O55" s="2" t="n">
        <v>1492.28</v>
      </c>
      <c r="P55" s="2" t="n">
        <v>55.5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2139.42</v>
      </c>
      <c r="BB55" s="2" t="n">
        <v>1547.78</v>
      </c>
      <c r="BC55" s="2">
        <f>F55+L55+R55+X55+AD55+AJ55+AP55+AV55+IF(BE55="",0,BE55)</f>
        <v/>
      </c>
      <c r="BD55" s="2" t="n">
        <v>23.835812</v>
      </c>
      <c r="BE55" s="2" t="n"/>
      <c r="BF55" s="2" t="n">
        <v>1980.944444444444</v>
      </c>
      <c r="BG55" s="2" t="n">
        <v>0</v>
      </c>
      <c r="BH55" s="2" t="n">
        <v>0</v>
      </c>
      <c r="BI55" s="2" t="n">
        <v>36187.5</v>
      </c>
      <c r="BJ55" s="2" t="n">
        <v>95.83216666666667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20.89503</v>
      </c>
      <c r="BQ55" s="2" t="n">
        <v>0</v>
      </c>
      <c r="BR55" s="2" t="n">
        <v>36329.22719666667</v>
      </c>
      <c r="BS55" s="2" t="n">
        <v>801.8115</v>
      </c>
      <c r="BT55" s="2" t="n">
        <v>0</v>
      </c>
      <c r="BU55" s="2" t="n">
        <v>7422.028733333334</v>
      </c>
      <c r="BV55" s="2" t="n">
        <v>8223.840233333334</v>
      </c>
      <c r="BW55" s="2" t="n">
        <v>44553.06743</v>
      </c>
      <c r="BX55" s="2" t="n">
        <v>1492.28</v>
      </c>
      <c r="BY55" s="2" t="n">
        <v>55.5</v>
      </c>
      <c r="BZ55" s="2" t="n">
        <v>591.64</v>
      </c>
      <c r="CA55" s="2" t="n">
        <v>1547.78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1230</v>
      </c>
      <c r="B56" t="inlineStr">
        <is>
          <t>Bohaterów Getta Warszawskiego 12, 44-100 Gliwice</t>
        </is>
      </c>
      <c r="C56" t="inlineStr">
        <is>
          <t>Gliwice</t>
        </is>
      </c>
      <c r="D56" t="inlineStr">
        <is>
          <t>ST|40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15355.61</v>
      </c>
      <c r="L56" s="2" t="n">
        <v>1278.212350925926</v>
      </c>
      <c r="M56" s="2" t="n">
        <v>14218.15740740741</v>
      </c>
      <c r="N56" s="2" t="n">
        <v>2970.28</v>
      </c>
      <c r="O56" s="2" t="n">
        <v>11520.77</v>
      </c>
      <c r="P56" s="2" t="n">
        <v>864.5599999999999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15355.61</v>
      </c>
      <c r="BB56" s="2" t="n">
        <v>12385.33</v>
      </c>
      <c r="BC56" s="2">
        <f>F56+L56+R56+X56+AD56+AJ56+AP56+AV56+IF(BE56="",0,BE56)</f>
        <v/>
      </c>
      <c r="BD56" s="2" t="n">
        <v>190.734082</v>
      </c>
      <c r="BE56" s="2" t="n"/>
      <c r="BF56" s="2" t="n">
        <v>14218.15740740741</v>
      </c>
      <c r="BG56" s="2" t="n">
        <v>1184.31</v>
      </c>
      <c r="BH56" s="2" t="n">
        <v>109.6</v>
      </c>
      <c r="BI56" s="2" t="n">
        <v>36187.5</v>
      </c>
      <c r="BJ56" s="2" t="n">
        <v>95.83216666666667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167.201955</v>
      </c>
      <c r="BQ56" s="2" t="n">
        <v>0</v>
      </c>
      <c r="BR56" s="2" t="n">
        <v>37769.44412166667</v>
      </c>
      <c r="BS56" s="2" t="n">
        <v>801.8115</v>
      </c>
      <c r="BT56" s="2" t="n">
        <v>0</v>
      </c>
      <c r="BU56" s="2" t="n">
        <v>7680.810733333334</v>
      </c>
      <c r="BV56" s="2" t="n">
        <v>8482.622233333333</v>
      </c>
      <c r="BW56" s="2" t="n">
        <v>46252.066355</v>
      </c>
      <c r="BX56" s="2" t="n">
        <v>11520.77</v>
      </c>
      <c r="BY56" s="2" t="n">
        <v>864.5599999999999</v>
      </c>
      <c r="BZ56" s="2" t="n">
        <v>2970.28</v>
      </c>
      <c r="CA56" s="2" t="n">
        <v>12385.33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1231</v>
      </c>
      <c r="B57" t="inlineStr">
        <is>
          <t>Rybnik</t>
        </is>
      </c>
      <c r="C57" t="inlineStr"/>
      <c r="D57" t="inlineStr"/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4003.42</v>
      </c>
      <c r="L57" s="2" t="n">
        <v>333.2476462962963</v>
      </c>
      <c r="M57" s="2" t="n">
        <v>3706.87037037037</v>
      </c>
      <c r="N57" s="2" t="n">
        <v>1141.09</v>
      </c>
      <c r="O57" s="2" t="n">
        <v>2541.21</v>
      </c>
      <c r="P57" s="2" t="n">
        <v>321.12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4003.42</v>
      </c>
      <c r="BB57" s="2" t="n">
        <v>2862.33</v>
      </c>
      <c r="BC57" s="2">
        <f>F57+L57+R57+X57+AD57+AJ57+AP57+AV57+IF(BE57="",0,BE57)</f>
        <v/>
      </c>
      <c r="BD57" s="2" t="n">
        <v>44.079882</v>
      </c>
      <c r="BE57" s="2" t="n"/>
      <c r="BF57" s="2" t="n">
        <v>3706.87037037037</v>
      </c>
      <c r="BG57" s="2" t="n">
        <v>592.22</v>
      </c>
      <c r="BH57" s="2" t="n">
        <v>201</v>
      </c>
      <c r="BI57" s="2" t="n">
        <v>36187.5</v>
      </c>
      <c r="BJ57" s="2" t="n">
        <v>95.83216666666667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38.641455</v>
      </c>
      <c r="BQ57" s="2" t="n">
        <v>0</v>
      </c>
      <c r="BR57" s="2" t="n">
        <v>37140.19362166667</v>
      </c>
      <c r="BS57" s="2" t="n">
        <v>801.8115</v>
      </c>
      <c r="BT57" s="2" t="n">
        <v>0</v>
      </c>
      <c r="BU57" s="2" t="n">
        <v>7580.672733333335</v>
      </c>
      <c r="BV57" s="2" t="n">
        <v>8382.484233333334</v>
      </c>
      <c r="BW57" s="2" t="n">
        <v>45522.677855</v>
      </c>
      <c r="BX57" s="2" t="n">
        <v>2541.21</v>
      </c>
      <c r="BY57" s="2" t="n">
        <v>321.12</v>
      </c>
      <c r="BZ57" s="2" t="n">
        <v>1141.09</v>
      </c>
      <c r="CA57" s="2" t="n">
        <v>2862.33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1232</v>
      </c>
      <c r="B58" t="inlineStr">
        <is>
          <t>Bielsko Biala</t>
        </is>
      </c>
      <c r="C58" t="inlineStr">
        <is>
          <t>Oława Zachodnia</t>
        </is>
      </c>
      <c r="D58" t="inlineStr">
        <is>
          <t>ST|40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5173.92</v>
      </c>
      <c r="L58" s="2" t="n">
        <v>430.6809333333333</v>
      </c>
      <c r="M58" s="2" t="n">
        <v>4790.666666666666</v>
      </c>
      <c r="N58" s="2" t="n">
        <v>1923.53</v>
      </c>
      <c r="O58" s="2" t="n">
        <v>3127.52</v>
      </c>
      <c r="P58" s="2" t="n">
        <v>122.87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5173.92</v>
      </c>
      <c r="BB58" s="2" t="n">
        <v>3250.39</v>
      </c>
      <c r="BC58" s="2">
        <f>F58+L58+R58+X58+AD58+AJ58+AP58+AV58+IF(BE58="",0,BE58)</f>
        <v/>
      </c>
      <c r="BD58" s="2" t="n">
        <v>50.056006</v>
      </c>
      <c r="BE58" s="2" t="n"/>
      <c r="BF58" s="2" t="n">
        <v>4790.666666666666</v>
      </c>
      <c r="BG58" s="2" t="n">
        <v>596.39</v>
      </c>
      <c r="BH58" s="2" t="n">
        <v>28</v>
      </c>
      <c r="BI58" s="2" t="n">
        <v>36187.5</v>
      </c>
      <c r="BJ58" s="2" t="n">
        <v>95.83216666666667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43.88026499999999</v>
      </c>
      <c r="BQ58" s="2" t="n">
        <v>0</v>
      </c>
      <c r="BR58" s="2" t="n">
        <v>36976.60243166667</v>
      </c>
      <c r="BS58" s="2" t="n">
        <v>801.8115</v>
      </c>
      <c r="BT58" s="2" t="n">
        <v>0</v>
      </c>
      <c r="BU58" s="2" t="n">
        <v>7546.906733333334</v>
      </c>
      <c r="BV58" s="2" t="n">
        <v>8348.718233333335</v>
      </c>
      <c r="BW58" s="2" t="n">
        <v>45325.320665</v>
      </c>
      <c r="BX58" s="2" t="n">
        <v>3127.52</v>
      </c>
      <c r="BY58" s="2" t="n">
        <v>122.87</v>
      </c>
      <c r="BZ58" s="2" t="n">
        <v>1923.53</v>
      </c>
      <c r="CA58" s="2" t="n">
        <v>3250.39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1233</v>
      </c>
      <c r="B59" t="inlineStr">
        <is>
          <t>Lubliniec</t>
        </is>
      </c>
      <c r="C59" t="inlineStr"/>
      <c r="D59" t="inlineStr"/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4818.219999999999</v>
      </c>
      <c r="L59" s="2" t="n">
        <v>401.0722018518518</v>
      </c>
      <c r="M59" s="2" t="n">
        <v>4461.314814814814</v>
      </c>
      <c r="N59" s="2" t="n">
        <v>1382.52</v>
      </c>
      <c r="O59" s="2" t="n">
        <v>3179.3</v>
      </c>
      <c r="P59" s="2" t="n">
        <v>256.4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4818.219999999999</v>
      </c>
      <c r="BB59" s="2" t="n">
        <v>3435.7</v>
      </c>
      <c r="BC59" s="2">
        <f>F59+L59+R59+X59+AD59+AJ59+AP59+AV59+IF(BE59="",0,BE59)</f>
        <v/>
      </c>
      <c r="BD59" s="2" t="n">
        <v>52.90978</v>
      </c>
      <c r="BE59" s="2" t="n"/>
      <c r="BF59" s="2" t="n">
        <v>4461.314814814814</v>
      </c>
      <c r="BG59" s="2" t="n">
        <v>447.64</v>
      </c>
      <c r="BH59" s="2" t="n">
        <v>127</v>
      </c>
      <c r="BI59" s="2" t="n">
        <v>36187.5</v>
      </c>
      <c r="BJ59" s="2" t="n">
        <v>95.83216666666667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46.38195</v>
      </c>
      <c r="BQ59" s="2" t="n">
        <v>0</v>
      </c>
      <c r="BR59" s="2" t="n">
        <v>36929.35411666667</v>
      </c>
      <c r="BS59" s="2" t="n">
        <v>801.8115</v>
      </c>
      <c r="BT59" s="2" t="n">
        <v>0</v>
      </c>
      <c r="BU59" s="2" t="n">
        <v>7536.956733333334</v>
      </c>
      <c r="BV59" s="2" t="n">
        <v>8338.768233333334</v>
      </c>
      <c r="BW59" s="2" t="n">
        <v>45268.12235000001</v>
      </c>
      <c r="BX59" s="2" t="n">
        <v>3179.3</v>
      </c>
      <c r="BY59" s="2" t="n">
        <v>256.4</v>
      </c>
      <c r="BZ59" s="2" t="n">
        <v>1382.52</v>
      </c>
      <c r="CA59" s="2" t="n">
        <v>3435.7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1234</v>
      </c>
      <c r="B60" t="inlineStr">
        <is>
          <t>Kolejowa 88, 68-100 Żagań</t>
        </is>
      </c>
      <c r="C60" t="inlineStr">
        <is>
          <t>Żagań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718.4400000000001</v>
      </c>
      <c r="L60" s="2" t="n">
        <v>59.80347777777779</v>
      </c>
      <c r="M60" s="2" t="n">
        <v>665.2222222222223</v>
      </c>
      <c r="N60" s="2" t="n">
        <v>346.34</v>
      </c>
      <c r="O60" s="2" t="n">
        <v>372.1</v>
      </c>
      <c r="P60" s="2" t="n">
        <v>0</v>
      </c>
      <c r="Q60" s="2" t="n">
        <v>5720.709999999999</v>
      </c>
      <c r="R60" s="2" t="n">
        <v>1600</v>
      </c>
      <c r="S60" s="2" t="n">
        <v>5296.953703703703</v>
      </c>
      <c r="T60" s="2" t="n">
        <v>1419.95</v>
      </c>
      <c r="U60" s="2" t="n">
        <v>4196.19</v>
      </c>
      <c r="V60" s="2" t="n">
        <v>104.57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3911.77</v>
      </c>
      <c r="AP60" s="2" t="n">
        <v>286.1387314814815</v>
      </c>
      <c r="AQ60" s="2" t="n">
        <v>3622.00925925926</v>
      </c>
      <c r="AR60" s="2" t="n">
        <v>1751.7</v>
      </c>
      <c r="AS60" s="2" t="n">
        <v>2064.61</v>
      </c>
      <c r="AT60" s="2" t="n">
        <v>95.45999999999999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10350.92</v>
      </c>
      <c r="BB60" s="2" t="n">
        <v>6832.93</v>
      </c>
      <c r="BC60" s="2">
        <f>F60+L60+R60+X60+AD60+AJ60+AP60+AV60+IF(BE60="",0,BE60)</f>
        <v/>
      </c>
      <c r="BD60" s="2" t="n">
        <v>105.227122</v>
      </c>
      <c r="BE60" s="2" t="n"/>
      <c r="BF60" s="2" t="n">
        <v>9584.185185185184</v>
      </c>
      <c r="BG60" s="2" t="n">
        <v>594.14</v>
      </c>
      <c r="BH60" s="2" t="n">
        <v>214</v>
      </c>
      <c r="BI60" s="2" t="n">
        <v>36187.5</v>
      </c>
      <c r="BJ60" s="2" t="n">
        <v>95.83216666666667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92.24455499999999</v>
      </c>
      <c r="BQ60" s="2" t="n">
        <v>0</v>
      </c>
      <c r="BR60" s="2" t="n">
        <v>37208.71672166666</v>
      </c>
      <c r="BS60" s="2" t="n">
        <v>801.8115</v>
      </c>
      <c r="BT60" s="2" t="n">
        <v>0</v>
      </c>
      <c r="BU60" s="2" t="n">
        <v>7583.656733333334</v>
      </c>
      <c r="BV60" s="2" t="n">
        <v>8385.468233333335</v>
      </c>
      <c r="BW60" s="2" t="n">
        <v>45594.184955</v>
      </c>
      <c r="BX60" s="2" t="n">
        <v>6632.9</v>
      </c>
      <c r="BY60" s="2" t="n">
        <v>200.03</v>
      </c>
      <c r="BZ60" s="2" t="n">
        <v>3517.99</v>
      </c>
      <c r="CA60" s="2" t="n">
        <v>6832.929999999999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1235</v>
      </c>
      <c r="B61" t="inlineStr">
        <is>
          <t>Dworcowa 2, 61-801 Poznań</t>
        </is>
      </c>
      <c r="C61" t="inlineStr">
        <is>
          <t>Poznań Główny, Dworzec Zachodni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14842.57</v>
      </c>
      <c r="L61" s="2" t="n">
        <v>1235.506521296296</v>
      </c>
      <c r="M61" s="2" t="n">
        <v>13743.12037037037</v>
      </c>
      <c r="N61" s="2" t="n">
        <v>2994.33</v>
      </c>
      <c r="O61" s="2" t="n">
        <v>11223.69</v>
      </c>
      <c r="P61" s="2" t="n">
        <v>624.55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22421.95</v>
      </c>
      <c r="AD61" s="2" t="n">
        <v>1432.513472222222</v>
      </c>
      <c r="AE61" s="2" t="n">
        <v>20761.06481481481</v>
      </c>
      <c r="AF61" s="2" t="n">
        <v>4987.95</v>
      </c>
      <c r="AG61" s="2" t="n">
        <v>16295.68</v>
      </c>
      <c r="AH61" s="2" t="n">
        <v>1138.32</v>
      </c>
      <c r="AI61" s="2" t="n">
        <v>4.4</v>
      </c>
      <c r="AJ61" s="2" t="n">
        <v>0.3055555555555556</v>
      </c>
      <c r="AK61" s="2" t="n">
        <v>4.074074074074074</v>
      </c>
      <c r="AL61" s="2" t="n">
        <v>0</v>
      </c>
      <c r="AM61" s="2" t="n">
        <v>4.4</v>
      </c>
      <c r="AN61" s="2" t="n">
        <v>0</v>
      </c>
      <c r="AO61" s="2" t="n">
        <v>8843.17</v>
      </c>
      <c r="AP61" s="2" t="n">
        <v>646.8615092592592</v>
      </c>
      <c r="AQ61" s="2" t="n">
        <v>8188.12037037037</v>
      </c>
      <c r="AR61" s="2" t="n">
        <v>1720.19</v>
      </c>
      <c r="AS61" s="2" t="n">
        <v>6591.11</v>
      </c>
      <c r="AT61" s="2" t="n">
        <v>531.87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46112.09</v>
      </c>
      <c r="BB61" s="2" t="n">
        <v>36409.62</v>
      </c>
      <c r="BC61" s="2">
        <f>F61+L61+R61+X61+AD61+AJ61+AP61+AV61+IF(BE61="",0,BE61)</f>
        <v/>
      </c>
      <c r="BD61" s="2" t="n">
        <v>560.7081480000001</v>
      </c>
      <c r="BE61" s="2" t="n"/>
      <c r="BF61" s="2" t="n">
        <v>42696.37962962963</v>
      </c>
      <c r="BG61" s="2" t="n">
        <v>458.58</v>
      </c>
      <c r="BH61" s="2" t="n">
        <v>0</v>
      </c>
      <c r="BI61" s="2" t="n">
        <v>36187.5</v>
      </c>
      <c r="BJ61" s="2" t="n">
        <v>95.83216666666667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491.52987</v>
      </c>
      <c r="BQ61" s="2" t="n">
        <v>0</v>
      </c>
      <c r="BR61" s="2" t="n">
        <v>37258.44203666667</v>
      </c>
      <c r="BS61" s="2" t="n">
        <v>801.8115</v>
      </c>
      <c r="BT61" s="2" t="n">
        <v>0</v>
      </c>
      <c r="BU61" s="2" t="n">
        <v>7513.744733333335</v>
      </c>
      <c r="BV61" s="2" t="n">
        <v>8315.556233333335</v>
      </c>
      <c r="BW61" s="2" t="n">
        <v>45573.99827</v>
      </c>
      <c r="BX61" s="2" t="n">
        <v>34114.88</v>
      </c>
      <c r="BY61" s="2" t="n">
        <v>2294.74</v>
      </c>
      <c r="BZ61" s="2" t="n">
        <v>9702.469999999999</v>
      </c>
      <c r="CA61" s="2" t="n">
        <v>36409.62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1236</v>
      </c>
      <c r="B62" t="inlineStr">
        <is>
          <t>Pelplin</t>
        </is>
      </c>
      <c r="C62" t="inlineStr">
        <is>
          <t>Pelplin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3089.18</v>
      </c>
      <c r="AP62" s="2" t="n">
        <v>3900</v>
      </c>
      <c r="AQ62" s="2" t="n">
        <v>2860.351851851852</v>
      </c>
      <c r="AR62" s="2" t="n">
        <v>0</v>
      </c>
      <c r="AS62" s="2" t="n">
        <v>2716</v>
      </c>
      <c r="AT62" s="2" t="n">
        <v>373.18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3089.18</v>
      </c>
      <c r="BB62" s="2" t="n">
        <v>3089.18</v>
      </c>
      <c r="BC62" s="2">
        <f>F62+L62+R62+X62+AD62+AJ62+AP62+AV62+IF(BE62="",0,BE62)</f>
        <v/>
      </c>
      <c r="BD62" s="2" t="n">
        <v>47.573372</v>
      </c>
      <c r="BE62" s="2" t="n"/>
      <c r="BF62" s="2" t="n">
        <v>2860.351851851852</v>
      </c>
      <c r="BG62" s="2" t="n">
        <v>458.58</v>
      </c>
      <c r="BH62" s="2" t="n">
        <v>0</v>
      </c>
      <c r="BI62" s="2" t="n">
        <v>12840.72580645161</v>
      </c>
      <c r="BJ62" s="2" t="n">
        <v>95.83216666666667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41.70393</v>
      </c>
      <c r="BQ62" s="2" t="n">
        <v>0</v>
      </c>
      <c r="BR62" s="2" t="n">
        <v>13461.84190311828</v>
      </c>
      <c r="BS62" s="2" t="n">
        <v>801.8115</v>
      </c>
      <c r="BT62" s="2" t="n">
        <v>0</v>
      </c>
      <c r="BU62" s="2" t="n">
        <v>2844.389894623656</v>
      </c>
      <c r="BV62" s="2" t="n">
        <v>3646.201394623657</v>
      </c>
      <c r="BW62" s="2" t="n">
        <v>17108.04329774194</v>
      </c>
      <c r="BX62" s="2" t="n">
        <v>2716</v>
      </c>
      <c r="BY62" s="2" t="n">
        <v>373.18</v>
      </c>
      <c r="BZ62" s="2" t="n">
        <v>0</v>
      </c>
      <c r="CA62" s="2" t="n">
        <v>3089.18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1237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18201.22</v>
      </c>
      <c r="L63" s="2" t="n">
        <v>1515.083035185185</v>
      </c>
      <c r="M63" s="2" t="n">
        <v>16852.98148148148</v>
      </c>
      <c r="N63" s="2" t="n">
        <v>2862.79</v>
      </c>
      <c r="O63" s="2" t="n">
        <v>15338.43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23922.86</v>
      </c>
      <c r="AD63" s="2" t="n">
        <v>1528.404944444444</v>
      </c>
      <c r="AE63" s="2" t="n">
        <v>22150.7962962963</v>
      </c>
      <c r="AF63" s="2" t="n">
        <v>4680.58</v>
      </c>
      <c r="AG63" s="2" t="n">
        <v>19242.28</v>
      </c>
      <c r="AH63" s="2" t="n">
        <v>0</v>
      </c>
      <c r="AI63" s="2" t="n">
        <v>17.92</v>
      </c>
      <c r="AJ63" s="2" t="n">
        <v>1.244444444444444</v>
      </c>
      <c r="AK63" s="2" t="n">
        <v>16.59259259259259</v>
      </c>
      <c r="AL63" s="2" t="n">
        <v>0</v>
      </c>
      <c r="AM63" s="2" t="n">
        <v>17.92</v>
      </c>
      <c r="AN63" s="2" t="n">
        <v>0</v>
      </c>
      <c r="AO63" s="2" t="n">
        <v>9488.41</v>
      </c>
      <c r="AP63" s="2" t="n">
        <v>694.0596203703703</v>
      </c>
      <c r="AQ63" s="2" t="n">
        <v>8785.564814814814</v>
      </c>
      <c r="AR63" s="2" t="n">
        <v>2045.41</v>
      </c>
      <c r="AS63" s="2" t="n">
        <v>7443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51630.41</v>
      </c>
      <c r="BB63" s="2" t="n">
        <v>42041.63</v>
      </c>
      <c r="BC63" s="2">
        <f>F63+L63+R63+X63+AD63+AJ63+AP63+AV63+IF(BE63="",0,BE63)</f>
        <v/>
      </c>
      <c r="BD63" s="2" t="n">
        <v>647.4411020000001</v>
      </c>
      <c r="BE63" s="2" t="n"/>
      <c r="BF63" s="2" t="n">
        <v>47805.93518518518</v>
      </c>
      <c r="BG63" s="2" t="n">
        <v>458.58</v>
      </c>
      <c r="BH63" s="2" t="n">
        <v>0</v>
      </c>
      <c r="BI63" s="2" t="n">
        <v>36187.5</v>
      </c>
      <c r="BJ63" s="2" t="n">
        <v>95.83216666666667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567.562005</v>
      </c>
      <c r="BQ63" s="2" t="n">
        <v>0</v>
      </c>
      <c r="BR63" s="2" t="n">
        <v>37334.47417166667</v>
      </c>
      <c r="BS63" s="2" t="n">
        <v>801.8115</v>
      </c>
      <c r="BT63" s="2" t="n">
        <v>0</v>
      </c>
      <c r="BU63" s="2" t="n">
        <v>7513.744733333335</v>
      </c>
      <c r="BV63" s="2" t="n">
        <v>8315.556233333335</v>
      </c>
      <c r="BW63" s="2" t="n">
        <v>45650.030405</v>
      </c>
      <c r="BX63" s="2" t="n">
        <v>42041.63</v>
      </c>
      <c r="BY63" s="2" t="n">
        <v>0</v>
      </c>
      <c r="BZ63" s="2" t="n">
        <v>9588.780000000001</v>
      </c>
      <c r="CA63" s="2" t="n">
        <v>42041.63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1238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11183.13</v>
      </c>
      <c r="L64" s="2" t="n">
        <v>930.8920250000001</v>
      </c>
      <c r="M64" s="2" t="n">
        <v>10354.75</v>
      </c>
      <c r="N64" s="2" t="n">
        <v>1944.87</v>
      </c>
      <c r="O64" s="2" t="n">
        <v>8973.67</v>
      </c>
      <c r="P64" s="2" t="n">
        <v>264.59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17845.07</v>
      </c>
      <c r="AD64" s="2" t="n">
        <v>1140.101694444444</v>
      </c>
      <c r="AE64" s="2" t="n">
        <v>16523.21296296296</v>
      </c>
      <c r="AF64" s="2" t="n">
        <v>3364.14</v>
      </c>
      <c r="AG64" s="2" t="n">
        <v>13710.57</v>
      </c>
      <c r="AH64" s="2" t="n">
        <v>770.36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5610.73</v>
      </c>
      <c r="AP64" s="2" t="n">
        <v>410.4145092592592</v>
      </c>
      <c r="AQ64" s="2" t="n">
        <v>5195.12037037037</v>
      </c>
      <c r="AR64" s="2" t="n">
        <v>730.66</v>
      </c>
      <c r="AS64" s="2" t="n">
        <v>4555.88</v>
      </c>
      <c r="AT64" s="2" t="n">
        <v>324.19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34638.93</v>
      </c>
      <c r="BB64" s="2" t="n">
        <v>28599.26</v>
      </c>
      <c r="BC64" s="2">
        <f>F64+L64+R64+X64+AD64+AJ64+AP64+AV64+IF(BE64="",0,BE64)</f>
        <v/>
      </c>
      <c r="BD64" s="2" t="n">
        <v>440.428604</v>
      </c>
      <c r="BE64" s="2" t="n"/>
      <c r="BF64" s="2" t="n">
        <v>32073.08333333333</v>
      </c>
      <c r="BG64" s="2" t="n">
        <v>458.58</v>
      </c>
      <c r="BH64" s="2" t="n">
        <v>0</v>
      </c>
      <c r="BI64" s="2" t="n">
        <v>36187.5</v>
      </c>
      <c r="BJ64" s="2" t="n">
        <v>95.83216666666667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386.09001</v>
      </c>
      <c r="BQ64" s="2" t="n">
        <v>0</v>
      </c>
      <c r="BR64" s="2" t="n">
        <v>37153.00217666667</v>
      </c>
      <c r="BS64" s="2" t="n">
        <v>801.8115</v>
      </c>
      <c r="BT64" s="2" t="n">
        <v>0</v>
      </c>
      <c r="BU64" s="2" t="n">
        <v>7513.744733333335</v>
      </c>
      <c r="BV64" s="2" t="n">
        <v>8315.556233333335</v>
      </c>
      <c r="BW64" s="2" t="n">
        <v>45468.55841000001</v>
      </c>
      <c r="BX64" s="2" t="n">
        <v>27240.12</v>
      </c>
      <c r="BY64" s="2" t="n">
        <v>1359.14</v>
      </c>
      <c r="BZ64" s="2" t="n">
        <v>6039.67</v>
      </c>
      <c r="CA64" s="2" t="n">
        <v>28599.26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1239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26688.65</v>
      </c>
      <c r="L65" s="2" t="n">
        <v>2221.58299537037</v>
      </c>
      <c r="M65" s="2" t="n">
        <v>24711.71296296296</v>
      </c>
      <c r="N65" s="2" t="n">
        <v>5010.23</v>
      </c>
      <c r="O65" s="2" t="n">
        <v>21678.42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51674.24</v>
      </c>
      <c r="AD65" s="2" t="n">
        <v>3301.409777777777</v>
      </c>
      <c r="AE65" s="2" t="n">
        <v>47846.51851851851</v>
      </c>
      <c r="AF65" s="2" t="n">
        <v>9862.969999999999</v>
      </c>
      <c r="AG65" s="2" t="n">
        <v>41811.27</v>
      </c>
      <c r="AH65" s="2" t="n">
        <v>0</v>
      </c>
      <c r="AI65" s="2" t="n">
        <v>19.21</v>
      </c>
      <c r="AJ65" s="2" t="n">
        <v>1.334027777777778</v>
      </c>
      <c r="AK65" s="2" t="n">
        <v>17.78703703703704</v>
      </c>
      <c r="AL65" s="2" t="n">
        <v>0</v>
      </c>
      <c r="AM65" s="2" t="n">
        <v>19.21</v>
      </c>
      <c r="AN65" s="2" t="n">
        <v>0</v>
      </c>
      <c r="AO65" s="2" t="n">
        <v>14927.08</v>
      </c>
      <c r="AP65" s="2" t="n">
        <v>1091.888259259259</v>
      </c>
      <c r="AQ65" s="2" t="n">
        <v>13821.37037037037</v>
      </c>
      <c r="AR65" s="2" t="n">
        <v>2480.44</v>
      </c>
      <c r="AS65" s="2" t="n">
        <v>12446.64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93309.18000000001</v>
      </c>
      <c r="BB65" s="2" t="n">
        <v>75955.53999999999</v>
      </c>
      <c r="BC65" s="2">
        <f>F65+L65+R65+X65+AD65+AJ65+AP65+AV65+IF(BE65="",0,BE65)</f>
        <v/>
      </c>
      <c r="BD65" s="2" t="n">
        <v>1169.715316</v>
      </c>
      <c r="BE65" s="2" t="n"/>
      <c r="BF65" s="2" t="n">
        <v>86397.38888888888</v>
      </c>
      <c r="BG65" s="2" t="n">
        <v>458.58</v>
      </c>
      <c r="BH65" s="2" t="n">
        <v>0</v>
      </c>
      <c r="BI65" s="2" t="n">
        <v>36187.5</v>
      </c>
      <c r="BJ65" s="2" t="n">
        <v>95.83216666666667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1025.39979</v>
      </c>
      <c r="BQ65" s="2" t="n">
        <v>0</v>
      </c>
      <c r="BR65" s="2" t="n">
        <v>37792.31195666667</v>
      </c>
      <c r="BS65" s="2" t="n">
        <v>801.8115</v>
      </c>
      <c r="BT65" s="2" t="n">
        <v>0</v>
      </c>
      <c r="BU65" s="2" t="n">
        <v>7513.744733333335</v>
      </c>
      <c r="BV65" s="2" t="n">
        <v>8315.556233333335</v>
      </c>
      <c r="BW65" s="2" t="n">
        <v>46107.86819000001</v>
      </c>
      <c r="BX65" s="2" t="n">
        <v>75955.53999999999</v>
      </c>
      <c r="BY65" s="2" t="n">
        <v>0</v>
      </c>
      <c r="BZ65" s="2" t="n">
        <v>17353.64</v>
      </c>
      <c r="CA65" s="2" t="n">
        <v>75955.53999999999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1240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35632.58</v>
      </c>
      <c r="L66" s="2" t="n">
        <v>2966.082353703704</v>
      </c>
      <c r="M66" s="2" t="n">
        <v>32993.12962962963</v>
      </c>
      <c r="N66" s="2" t="n">
        <v>6259.08</v>
      </c>
      <c r="O66" s="2" t="n">
        <v>29373.5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61959.27</v>
      </c>
      <c r="AD66" s="2" t="n">
        <v>3958.508916666667</v>
      </c>
      <c r="AE66" s="2" t="n">
        <v>57369.69444444445</v>
      </c>
      <c r="AF66" s="2" t="n">
        <v>10815.26</v>
      </c>
      <c r="AG66" s="2" t="n">
        <v>51144.01</v>
      </c>
      <c r="AH66" s="2" t="n">
        <v>0</v>
      </c>
      <c r="AI66" s="2" t="n">
        <v>49.81</v>
      </c>
      <c r="AJ66" s="2" t="n">
        <v>3.459027777777778</v>
      </c>
      <c r="AK66" s="2" t="n">
        <v>46.12037037037037</v>
      </c>
      <c r="AL66" s="2" t="n">
        <v>0</v>
      </c>
      <c r="AM66" s="2" t="n">
        <v>49.81</v>
      </c>
      <c r="AN66" s="2" t="n">
        <v>0</v>
      </c>
      <c r="AO66" s="2" t="n">
        <v>19413.69</v>
      </c>
      <c r="AP66" s="2" t="n">
        <v>1420.075472222222</v>
      </c>
      <c r="AQ66" s="2" t="n">
        <v>17975.63888888889</v>
      </c>
      <c r="AR66" s="2" t="n">
        <v>3737.14</v>
      </c>
      <c r="AS66" s="2" t="n">
        <v>15676.55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117055.35</v>
      </c>
      <c r="BB66" s="2" t="n">
        <v>96243.87000000001</v>
      </c>
      <c r="BC66" s="2">
        <f>F66+L66+R66+X66+AD66+AJ66+AP66+AV66+IF(BE66="",0,BE66)</f>
        <v/>
      </c>
      <c r="BD66" s="2" t="n">
        <v>1482.155598</v>
      </c>
      <c r="BE66" s="2" t="n"/>
      <c r="BF66" s="2" t="n">
        <v>108384.5833333333</v>
      </c>
      <c r="BG66" s="2" t="n">
        <v>458.58</v>
      </c>
      <c r="BH66" s="2" t="n">
        <v>0</v>
      </c>
      <c r="BI66" s="2" t="n">
        <v>36187.5</v>
      </c>
      <c r="BJ66" s="2" t="n">
        <v>95.83216666666667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1299.292245</v>
      </c>
      <c r="BQ66" s="2" t="n">
        <v>0</v>
      </c>
      <c r="BR66" s="2" t="n">
        <v>38066.20441166667</v>
      </c>
      <c r="BS66" s="2" t="n">
        <v>801.8115</v>
      </c>
      <c r="BT66" s="2" t="n">
        <v>0</v>
      </c>
      <c r="BU66" s="2" t="n">
        <v>7513.744733333335</v>
      </c>
      <c r="BV66" s="2" t="n">
        <v>8315.556233333335</v>
      </c>
      <c r="BW66" s="2" t="n">
        <v>46381.760645</v>
      </c>
      <c r="BX66" s="2" t="n">
        <v>96243.87000000001</v>
      </c>
      <c r="BY66" s="2" t="n">
        <v>0</v>
      </c>
      <c r="BZ66" s="2" t="n">
        <v>20811.48</v>
      </c>
      <c r="CA66" s="2" t="n">
        <v>96243.87000000001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1241</v>
      </c>
      <c r="B67" t="inlineStr">
        <is>
          <t>Kolejowa 1, 62-510 Konin</t>
        </is>
      </c>
      <c r="C67" t="inlineStr">
        <is>
          <t>Konin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4766.18</v>
      </c>
      <c r="L67" s="2" t="n">
        <v>396.7403537037037</v>
      </c>
      <c r="M67" s="2" t="n">
        <v>4413.12962962963</v>
      </c>
      <c r="N67" s="2" t="n">
        <v>1235.39</v>
      </c>
      <c r="O67" s="2" t="n">
        <v>3126.06</v>
      </c>
      <c r="P67" s="2" t="n">
        <v>404.73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8557.040000000001</v>
      </c>
      <c r="AD67" s="2" t="n">
        <v>546.6997777777779</v>
      </c>
      <c r="AE67" s="2" t="n">
        <v>7923.185185185185</v>
      </c>
      <c r="AF67" s="2" t="n">
        <v>1717.93</v>
      </c>
      <c r="AG67" s="2" t="n">
        <v>6415.87</v>
      </c>
      <c r="AH67" s="2" t="n">
        <v>423.24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13323.22</v>
      </c>
      <c r="BB67" s="2" t="n">
        <v>10369.9</v>
      </c>
      <c r="BC67" s="2">
        <f>F67+L67+R67+X67+AD67+AJ67+AP67+AV67+IF(BE67="",0,BE67)</f>
        <v/>
      </c>
      <c r="BD67" s="2" t="n">
        <v>159.69646</v>
      </c>
      <c r="BE67" s="2" t="n"/>
      <c r="BF67" s="2" t="n">
        <v>12336.31481481481</v>
      </c>
      <c r="BG67" s="2" t="n">
        <v>0</v>
      </c>
      <c r="BH67" s="2" t="n">
        <v>0</v>
      </c>
      <c r="BI67" s="2" t="n">
        <v>36187.5</v>
      </c>
      <c r="BJ67" s="2" t="n">
        <v>95.83216666666667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139.99365</v>
      </c>
      <c r="BQ67" s="2" t="n">
        <v>0</v>
      </c>
      <c r="BR67" s="2" t="n">
        <v>36448.32581666666</v>
      </c>
      <c r="BS67" s="2" t="n">
        <v>801.8115</v>
      </c>
      <c r="BT67" s="2" t="n">
        <v>0</v>
      </c>
      <c r="BU67" s="2" t="n">
        <v>7422.028733333334</v>
      </c>
      <c r="BV67" s="2" t="n">
        <v>8223.840233333334</v>
      </c>
      <c r="BW67" s="2" t="n">
        <v>44672.16605</v>
      </c>
      <c r="BX67" s="2" t="n">
        <v>9541.93</v>
      </c>
      <c r="BY67" s="2" t="n">
        <v>827.97</v>
      </c>
      <c r="BZ67" s="2" t="n">
        <v>2953.32</v>
      </c>
      <c r="CA67" s="2" t="n">
        <v>10369.9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1242</v>
      </c>
      <c r="B68" t="inlineStr">
        <is>
          <t>Dworcowa 1, 62-800 Kalisz</t>
        </is>
      </c>
      <c r="C68" t="inlineStr">
        <is>
          <t>Kalisz</t>
        </is>
      </c>
      <c r="D68" t="inlineStr">
        <is>
          <t>ST|40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11113.8</v>
      </c>
      <c r="L68" s="2" t="n">
        <v>925.1209444444446</v>
      </c>
      <c r="M68" s="2" t="n">
        <v>10290.55555555556</v>
      </c>
      <c r="N68" s="2" t="n">
        <v>6311.67</v>
      </c>
      <c r="O68" s="2" t="n">
        <v>4533.43</v>
      </c>
      <c r="P68" s="2" t="n">
        <v>268.7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5175.389999999999</v>
      </c>
      <c r="AD68" s="2" t="n">
        <v>330.6499166666667</v>
      </c>
      <c r="AE68" s="2" t="n">
        <v>4792.027777777777</v>
      </c>
      <c r="AF68" s="2" t="n">
        <v>1687.16</v>
      </c>
      <c r="AG68" s="2" t="n">
        <v>3145.41</v>
      </c>
      <c r="AH68" s="2" t="n">
        <v>342.82</v>
      </c>
      <c r="AI68" s="2" t="n">
        <v>268.77</v>
      </c>
      <c r="AJ68" s="2" t="n">
        <v>18.66458333333333</v>
      </c>
      <c r="AK68" s="2" t="n">
        <v>248.8611111111111</v>
      </c>
      <c r="AL68" s="2" t="n">
        <v>40.5</v>
      </c>
      <c r="AM68" s="2" t="n">
        <v>228.27</v>
      </c>
      <c r="AN68" s="2" t="n">
        <v>0</v>
      </c>
      <c r="AO68" s="2" t="n">
        <v>6473.3</v>
      </c>
      <c r="AP68" s="2" t="n">
        <v>473.5099074074074</v>
      </c>
      <c r="AQ68" s="2" t="n">
        <v>5993.796296296296</v>
      </c>
      <c r="AR68" s="2" t="n">
        <v>2062.6</v>
      </c>
      <c r="AS68" s="2" t="n">
        <v>4202.5</v>
      </c>
      <c r="AT68" s="2" t="n">
        <v>208.2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23031.26</v>
      </c>
      <c r="BB68" s="2" t="n">
        <v>12929.33</v>
      </c>
      <c r="BC68" s="2">
        <f>F68+L68+R68+X68+AD68+AJ68+AP68+AV68+IF(BE68="",0,BE68)</f>
        <v/>
      </c>
      <c r="BD68" s="2" t="n">
        <v>199.111682</v>
      </c>
      <c r="BE68" s="2" t="n"/>
      <c r="BF68" s="2" t="n">
        <v>21325.24074074074</v>
      </c>
      <c r="BG68" s="2" t="n">
        <v>539.1099999999999</v>
      </c>
      <c r="BH68" s="2" t="n">
        <v>208</v>
      </c>
      <c r="BI68" s="2" t="n">
        <v>36187.5</v>
      </c>
      <c r="BJ68" s="2" t="n">
        <v>95.83216666666667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174.545955</v>
      </c>
      <c r="BQ68" s="2" t="n">
        <v>0</v>
      </c>
      <c r="BR68" s="2" t="n">
        <v>37229.98812166667</v>
      </c>
      <c r="BS68" s="2" t="n">
        <v>801.8115</v>
      </c>
      <c r="BT68" s="2" t="n">
        <v>0</v>
      </c>
      <c r="BU68" s="2" t="n">
        <v>7571.450733333335</v>
      </c>
      <c r="BV68" s="2" t="n">
        <v>8373.262233333335</v>
      </c>
      <c r="BW68" s="2" t="n">
        <v>45603.250355</v>
      </c>
      <c r="BX68" s="2" t="n">
        <v>12109.61</v>
      </c>
      <c r="BY68" s="2" t="n">
        <v>819.72</v>
      </c>
      <c r="BZ68" s="2" t="n">
        <v>10101.93</v>
      </c>
      <c r="CA68" s="2" t="n">
        <v>12929.33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1243</v>
      </c>
      <c r="B69" t="inlineStr">
        <is>
          <t>Garbary 89, 61-757 Poznań</t>
        </is>
      </c>
      <c r="C69" t="inlineStr">
        <is>
          <t>Poznań Garbary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232.97</v>
      </c>
      <c r="L69" s="2" t="n">
        <v>19.39259537037037</v>
      </c>
      <c r="M69" s="2" t="n">
        <v>215.712962962963</v>
      </c>
      <c r="N69" s="2" t="n">
        <v>121.42</v>
      </c>
      <c r="O69" s="2" t="n">
        <v>111.55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23573.53</v>
      </c>
      <c r="AD69" s="2" t="n">
        <v>1506.086638888889</v>
      </c>
      <c r="AE69" s="2" t="n">
        <v>21827.34259259259</v>
      </c>
      <c r="AF69" s="2" t="n">
        <v>3570.42</v>
      </c>
      <c r="AG69" s="2" t="n">
        <v>19165.86</v>
      </c>
      <c r="AH69" s="2" t="n">
        <v>837.25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3093.7</v>
      </c>
      <c r="AP69" s="2" t="n">
        <v>226.2984259259259</v>
      </c>
      <c r="AQ69" s="2" t="n">
        <v>2864.537037037037</v>
      </c>
      <c r="AR69" s="2" t="n">
        <v>541.1</v>
      </c>
      <c r="AS69" s="2" t="n">
        <v>2474.78</v>
      </c>
      <c r="AT69" s="2" t="n">
        <v>77.81999999999999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26900.2</v>
      </c>
      <c r="BB69" s="2" t="n">
        <v>22667.26</v>
      </c>
      <c r="BC69" s="2">
        <f>F69+L69+R69+X69+AD69+AJ69+AP69+AV69+IF(BE69="",0,BE69)</f>
        <v/>
      </c>
      <c r="BD69" s="2" t="n">
        <v>349.0758040000001</v>
      </c>
      <c r="BE69" s="2" t="n"/>
      <c r="BF69" s="2" t="n">
        <v>24907.59259259259</v>
      </c>
      <c r="BG69" s="2" t="n">
        <v>587.13</v>
      </c>
      <c r="BH69" s="2" t="n">
        <v>182</v>
      </c>
      <c r="BI69" s="2" t="n">
        <v>36187.5</v>
      </c>
      <c r="BJ69" s="2" t="n">
        <v>95.83216666666667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306.00801</v>
      </c>
      <c r="BQ69" s="2" t="n">
        <v>0</v>
      </c>
      <c r="BR69" s="2" t="n">
        <v>37383.47017666666</v>
      </c>
      <c r="BS69" s="2" t="n">
        <v>801.8115</v>
      </c>
      <c r="BT69" s="2" t="n">
        <v>0</v>
      </c>
      <c r="BU69" s="2" t="n">
        <v>7575.854733333334</v>
      </c>
      <c r="BV69" s="2" t="n">
        <v>8377.666233333333</v>
      </c>
      <c r="BW69" s="2" t="n">
        <v>45761.13640999999</v>
      </c>
      <c r="BX69" s="2" t="n">
        <v>21752.19</v>
      </c>
      <c r="BY69" s="2" t="n">
        <v>915.0699999999999</v>
      </c>
      <c r="BZ69" s="2" t="n">
        <v>4232.940000000001</v>
      </c>
      <c r="CA69" s="2" t="n">
        <v>22667.26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1244</v>
      </c>
      <c r="B70" t="inlineStr">
        <is>
          <t>Dworcowa 7, 62-200 Gniezno</t>
        </is>
      </c>
      <c r="C70" t="inlineStr">
        <is>
          <t>Gniezno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19258.13</v>
      </c>
      <c r="L70" s="2" t="n">
        <v>1603.061006481481</v>
      </c>
      <c r="M70" s="2" t="n">
        <v>17831.60185185185</v>
      </c>
      <c r="N70" s="2" t="n">
        <v>2450.35</v>
      </c>
      <c r="O70" s="2" t="n">
        <v>16075.79</v>
      </c>
      <c r="P70" s="2" t="n">
        <v>731.99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17164.04</v>
      </c>
      <c r="AD70" s="2" t="n">
        <v>1096.591444444444</v>
      </c>
      <c r="AE70" s="2" t="n">
        <v>15892.62962962963</v>
      </c>
      <c r="AF70" s="2" t="n">
        <v>3231.2</v>
      </c>
      <c r="AG70" s="2" t="n">
        <v>12967.47</v>
      </c>
      <c r="AH70" s="2" t="n">
        <v>965.37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5990.62</v>
      </c>
      <c r="AP70" s="2" t="n">
        <v>438.2027592592592</v>
      </c>
      <c r="AQ70" s="2" t="n">
        <v>5546.87037037037</v>
      </c>
      <c r="AR70" s="2" t="n">
        <v>1115.84</v>
      </c>
      <c r="AS70" s="2" t="n">
        <v>4662.94</v>
      </c>
      <c r="AT70" s="2" t="n">
        <v>211.84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42412.79</v>
      </c>
      <c r="BB70" s="2" t="n">
        <v>35615.4</v>
      </c>
      <c r="BC70" s="2">
        <f>F70+L70+R70+X70+AD70+AJ70+AP70+AV70+IF(BE70="",0,BE70)</f>
        <v/>
      </c>
      <c r="BD70" s="2" t="n">
        <v>548.47716</v>
      </c>
      <c r="BE70" s="2" t="n"/>
      <c r="BF70" s="2" t="n">
        <v>39271.10185185185</v>
      </c>
      <c r="BG70" s="2" t="n">
        <v>0</v>
      </c>
      <c r="BH70" s="2" t="n">
        <v>0</v>
      </c>
      <c r="BI70" s="2" t="n">
        <v>36187.5</v>
      </c>
      <c r="BJ70" s="2" t="n">
        <v>95.83216666666667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480.8079</v>
      </c>
      <c r="BQ70" s="2" t="n">
        <v>0</v>
      </c>
      <c r="BR70" s="2" t="n">
        <v>36789.14006666667</v>
      </c>
      <c r="BS70" s="2" t="n">
        <v>801.8115</v>
      </c>
      <c r="BT70" s="2" t="n">
        <v>0</v>
      </c>
      <c r="BU70" s="2" t="n">
        <v>7422.028733333334</v>
      </c>
      <c r="BV70" s="2" t="n">
        <v>8223.840233333334</v>
      </c>
      <c r="BW70" s="2" t="n">
        <v>45012.9803</v>
      </c>
      <c r="BX70" s="2" t="n">
        <v>33706.2</v>
      </c>
      <c r="BY70" s="2" t="n">
        <v>1909.2</v>
      </c>
      <c r="BZ70" s="2" t="n">
        <v>6797.389999999999</v>
      </c>
      <c r="CA70" s="2" t="n">
        <v>35615.4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1245</v>
      </c>
      <c r="B71" t="inlineStr">
        <is>
          <t>Plac Dworcowy 1, 80-321 Gdańsk</t>
        </is>
      </c>
      <c r="C71" t="inlineStr">
        <is>
          <t>Gdańsk Oliwa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5747.38</v>
      </c>
      <c r="L71" s="2" t="n">
        <v>478.4161685185185</v>
      </c>
      <c r="M71" s="2" t="n">
        <v>5321.648148148148</v>
      </c>
      <c r="N71" s="2" t="n">
        <v>1356.99</v>
      </c>
      <c r="O71" s="2" t="n">
        <v>4062.39</v>
      </c>
      <c r="P71" s="2" t="n">
        <v>328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6518.12</v>
      </c>
      <c r="AP71" s="2" t="n">
        <v>476.7884074074074</v>
      </c>
      <c r="AQ71" s="2" t="n">
        <v>6035.296296296296</v>
      </c>
      <c r="AR71" s="2" t="n">
        <v>1754.48</v>
      </c>
      <c r="AS71" s="2" t="n">
        <v>4361.18</v>
      </c>
      <c r="AT71" s="2" t="n">
        <v>402.46</v>
      </c>
      <c r="AU71" s="2" t="n">
        <v>2083.85</v>
      </c>
      <c r="AV71" s="2" t="n">
        <v>82.96810185185183</v>
      </c>
      <c r="AW71" s="2" t="n">
        <v>1929.49074074074</v>
      </c>
      <c r="AX71" s="2" t="n">
        <v>669</v>
      </c>
      <c r="AY71" s="2" t="n">
        <v>1414.85</v>
      </c>
      <c r="AZ71" s="2" t="n">
        <v>0</v>
      </c>
      <c r="BA71" s="2" t="n">
        <v>14349.35</v>
      </c>
      <c r="BB71" s="2" t="n">
        <v>10568.88</v>
      </c>
      <c r="BC71" s="2">
        <f>F71+L71+R71+X71+AD71+AJ71+AP71+AV71+IF(BE71="",0,BE71)</f>
        <v/>
      </c>
      <c r="BD71" s="2" t="n">
        <v>162.760752</v>
      </c>
      <c r="BE71" s="2" t="n"/>
      <c r="BF71" s="2" t="n">
        <v>13286.43518518518</v>
      </c>
      <c r="BG71" s="2" t="n">
        <v>0</v>
      </c>
      <c r="BH71" s="2" t="n">
        <v>0</v>
      </c>
      <c r="BI71" s="2" t="n">
        <v>36187.5</v>
      </c>
      <c r="BJ71" s="2" t="n">
        <v>95.83216666666667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142.67988</v>
      </c>
      <c r="BQ71" s="2" t="n">
        <v>0</v>
      </c>
      <c r="BR71" s="2" t="n">
        <v>36451.01204666667</v>
      </c>
      <c r="BS71" s="2" t="n">
        <v>801.8115</v>
      </c>
      <c r="BT71" s="2" t="n">
        <v>0</v>
      </c>
      <c r="BU71" s="2" t="n">
        <v>7422.028733333334</v>
      </c>
      <c r="BV71" s="2" t="n">
        <v>8223.840233333334</v>
      </c>
      <c r="BW71" s="2" t="n">
        <v>44674.85228000001</v>
      </c>
      <c r="BX71" s="2" t="n">
        <v>9838.42</v>
      </c>
      <c r="BY71" s="2" t="n">
        <v>730.46</v>
      </c>
      <c r="BZ71" s="2" t="n">
        <v>3780.47</v>
      </c>
      <c r="CA71" s="2" t="n">
        <v>10568.88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1246</v>
      </c>
      <c r="B72" t="inlineStr">
        <is>
          <t>Dworcowa 1, 63-400 Ostrów Wlkp.</t>
        </is>
      </c>
      <c r="C72" t="inlineStr">
        <is>
          <t>Ostrów Wielkopolski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5244.52</v>
      </c>
      <c r="L72" s="2" t="n">
        <v>436.5577296296296</v>
      </c>
      <c r="M72" s="2" t="n">
        <v>4856.037037037036</v>
      </c>
      <c r="N72" s="2" t="n">
        <v>2101.73</v>
      </c>
      <c r="O72" s="2" t="n">
        <v>2984.66</v>
      </c>
      <c r="P72" s="2" t="n">
        <v>158.13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8544.389999999999</v>
      </c>
      <c r="AD72" s="2" t="n">
        <v>545.8915833333333</v>
      </c>
      <c r="AE72" s="2" t="n">
        <v>7911.472222222221</v>
      </c>
      <c r="AF72" s="2" t="n">
        <v>2576.71</v>
      </c>
      <c r="AG72" s="2" t="n">
        <v>5822.95</v>
      </c>
      <c r="AH72" s="2" t="n">
        <v>144.73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10925.92</v>
      </c>
      <c r="AP72" s="2" t="n">
        <v>799.2108148148147</v>
      </c>
      <c r="AQ72" s="2" t="n">
        <v>10116.59259259259</v>
      </c>
      <c r="AR72" s="2" t="n">
        <v>2404.57</v>
      </c>
      <c r="AS72" s="2" t="n">
        <v>8084.3</v>
      </c>
      <c r="AT72" s="2" t="n">
        <v>437.05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24714.83</v>
      </c>
      <c r="BB72" s="2" t="n">
        <v>17631.82</v>
      </c>
      <c r="BC72" s="2">
        <f>F72+L72+R72+X72+AD72+AJ72+AP72+AV72+IF(BE72="",0,BE72)</f>
        <v/>
      </c>
      <c r="BD72" s="2" t="n">
        <v>271.530028</v>
      </c>
      <c r="BE72" s="2" t="n"/>
      <c r="BF72" s="2" t="n">
        <v>22884.10185185185</v>
      </c>
      <c r="BG72" s="2" t="n">
        <v>0</v>
      </c>
      <c r="BH72" s="2" t="n">
        <v>104.3</v>
      </c>
      <c r="BI72" s="2" t="n">
        <v>36187.5</v>
      </c>
      <c r="BJ72" s="2" t="n">
        <v>95.83216666666667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238.02957</v>
      </c>
      <c r="BQ72" s="2" t="n">
        <v>0</v>
      </c>
      <c r="BR72" s="2" t="n">
        <v>36650.66173666667</v>
      </c>
      <c r="BS72" s="2" t="n">
        <v>801.8115</v>
      </c>
      <c r="BT72" s="2" t="n">
        <v>0</v>
      </c>
      <c r="BU72" s="2" t="n">
        <v>7442.888733333335</v>
      </c>
      <c r="BV72" s="2" t="n">
        <v>8244.700233333335</v>
      </c>
      <c r="BW72" s="2" t="n">
        <v>44895.36197000001</v>
      </c>
      <c r="BX72" s="2" t="n">
        <v>16891.91</v>
      </c>
      <c r="BY72" s="2" t="n">
        <v>739.9100000000001</v>
      </c>
      <c r="BZ72" s="2" t="n">
        <v>7083.01</v>
      </c>
      <c r="CA72" s="2" t="n">
        <v>17631.82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1247</v>
      </c>
      <c r="B73" t="inlineStr">
        <is>
          <t>Kujawska 1, 87-100 Toruń</t>
        </is>
      </c>
      <c r="C73" t="inlineStr">
        <is>
          <t>Toruń</t>
        </is>
      </c>
      <c r="D73" t="inlineStr">
        <is>
          <t>FAA2000</t>
        </is>
      </c>
      <c r="E73" s="2" t="n">
        <v>1259.26</v>
      </c>
      <c r="F73" s="2" t="n">
        <v>1000</v>
      </c>
      <c r="G73" s="2" t="n">
        <v>1165.981481481481</v>
      </c>
      <c r="H73" s="2" t="n">
        <v>410.85</v>
      </c>
      <c r="I73" s="2" t="n">
        <v>848.41</v>
      </c>
      <c r="J73" s="2" t="n">
        <v>0</v>
      </c>
      <c r="K73" s="2" t="n">
        <v>7820.14</v>
      </c>
      <c r="L73" s="2" t="n">
        <v>650.9542462962963</v>
      </c>
      <c r="M73" s="2" t="n">
        <v>7240.87037037037</v>
      </c>
      <c r="N73" s="2" t="n">
        <v>2087.09</v>
      </c>
      <c r="O73" s="2" t="n">
        <v>5733.05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12419.71</v>
      </c>
      <c r="AP73" s="2" t="n">
        <v>908.4787870370369</v>
      </c>
      <c r="AQ73" s="2" t="n">
        <v>11499.73148148148</v>
      </c>
      <c r="AR73" s="2" t="n">
        <v>3728.3</v>
      </c>
      <c r="AS73" s="2" t="n">
        <v>8691.41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21499.11</v>
      </c>
      <c r="BB73" s="2" t="n">
        <v>15272.87</v>
      </c>
      <c r="BC73" s="2">
        <f>F73+L73+R73+X73+AD73+AJ73+AP73+AV73+IF(BE73="",0,BE73)</f>
        <v/>
      </c>
      <c r="BD73" s="2" t="n">
        <v>235.202198</v>
      </c>
      <c r="BE73" s="2" t="n"/>
      <c r="BF73" s="2" t="n">
        <v>19906.58333333333</v>
      </c>
      <c r="BG73" s="2" t="n">
        <v>534.6800000000001</v>
      </c>
      <c r="BH73" s="2" t="n">
        <v>139</v>
      </c>
      <c r="BI73" s="2" t="n">
        <v>36187.5</v>
      </c>
      <c r="BJ73" s="2" t="n">
        <v>95.83216666666667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206.183745</v>
      </c>
      <c r="BQ73" s="2" t="n">
        <v>0</v>
      </c>
      <c r="BR73" s="2" t="n">
        <v>37188.19591166667</v>
      </c>
      <c r="BS73" s="2" t="n">
        <v>801.8115</v>
      </c>
      <c r="BT73" s="2" t="n">
        <v>0</v>
      </c>
      <c r="BU73" s="2" t="n">
        <v>7556.764733333334</v>
      </c>
      <c r="BV73" s="2" t="n">
        <v>8358.576233333335</v>
      </c>
      <c r="BW73" s="2" t="n">
        <v>45546.772145</v>
      </c>
      <c r="BX73" s="2" t="n">
        <v>15272.87</v>
      </c>
      <c r="BY73" s="2" t="n">
        <v>0</v>
      </c>
      <c r="BZ73" s="2" t="n">
        <v>6226.24</v>
      </c>
      <c r="CA73" s="2" t="n">
        <v>15272.87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3075.64</v>
      </c>
      <c r="L74" s="2" t="n">
        <v>256.0185518518518</v>
      </c>
      <c r="M74" s="2" t="n">
        <v>2847.814814814814</v>
      </c>
      <c r="N74" s="2" t="n">
        <v>690.9</v>
      </c>
      <c r="O74" s="2" t="n">
        <v>2014.08</v>
      </c>
      <c r="P74" s="2" t="n">
        <v>370.66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6733.610000000001</v>
      </c>
      <c r="AP74" s="2" t="n">
        <v>492.5511018518519</v>
      </c>
      <c r="AQ74" s="2" t="n">
        <v>6234.824074074074</v>
      </c>
      <c r="AR74" s="2" t="n">
        <v>2359.8</v>
      </c>
      <c r="AS74" s="2" t="n">
        <v>3845.88</v>
      </c>
      <c r="AT74" s="2" t="n">
        <v>527.9299999999999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9809.25</v>
      </c>
      <c r="BB74" s="2" t="n">
        <v>6758.55</v>
      </c>
      <c r="BC74" s="2">
        <f>F74+L74+R74+X74+AD74+AJ74+AP74+AV74+IF(BE74="",0,BE74)</f>
        <v/>
      </c>
      <c r="BD74" s="2" t="n">
        <v>104.08167</v>
      </c>
      <c r="BE74" s="2" t="n"/>
      <c r="BF74" s="2" t="n">
        <v>9082.638888888889</v>
      </c>
      <c r="BG74" s="2" t="n">
        <v>694.6900000000001</v>
      </c>
      <c r="BH74" s="2" t="n">
        <v>167.5</v>
      </c>
      <c r="BI74" s="2" t="n">
        <v>36187.5</v>
      </c>
      <c r="BJ74" s="2" t="n">
        <v>95.83216666666667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91.240425</v>
      </c>
      <c r="BQ74" s="2" t="n">
        <v>0</v>
      </c>
      <c r="BR74" s="2" t="n">
        <v>37261.76259166667</v>
      </c>
      <c r="BS74" s="2" t="n">
        <v>801.8115</v>
      </c>
      <c r="BT74" s="2" t="n">
        <v>0</v>
      </c>
      <c r="BU74" s="2" t="n">
        <v>7594.466733333335</v>
      </c>
      <c r="BV74" s="2" t="n">
        <v>8396.278233333334</v>
      </c>
      <c r="BW74" s="2" t="n">
        <v>45658.040825</v>
      </c>
      <c r="BX74" s="2" t="n">
        <v>5859.96</v>
      </c>
      <c r="BY74" s="2" t="n">
        <v>898.5899999999999</v>
      </c>
      <c r="BZ74" s="2" t="n">
        <v>3050.7</v>
      </c>
      <c r="CA74" s="2" t="n">
        <v>6758.55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1251</v>
      </c>
      <c r="B75" t="inlineStr">
        <is>
          <t>Kielce</t>
        </is>
      </c>
      <c r="C75" t="inlineStr"/>
      <c r="D75" t="inlineStr"/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11113.87</v>
      </c>
      <c r="L75" s="2" t="n">
        <v>925.1267712962964</v>
      </c>
      <c r="M75" s="2" t="n">
        <v>10290.62037037037</v>
      </c>
      <c r="N75" s="2" t="n">
        <v>2338.08</v>
      </c>
      <c r="O75" s="2" t="n">
        <v>8365.34</v>
      </c>
      <c r="P75" s="2" t="n">
        <v>410.45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11588.85</v>
      </c>
      <c r="AP75" s="2" t="n">
        <v>847.7029166666666</v>
      </c>
      <c r="AQ75" s="2" t="n">
        <v>10730.41666666667</v>
      </c>
      <c r="AR75" s="2" t="n">
        <v>3557.38</v>
      </c>
      <c r="AS75" s="2" t="n">
        <v>7416.7</v>
      </c>
      <c r="AT75" s="2" t="n">
        <v>614.77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22702.72</v>
      </c>
      <c r="BB75" s="2" t="n">
        <v>16807.26</v>
      </c>
      <c r="BC75" s="2">
        <f>F75+L75+R75+X75+AD75+AJ75+AP75+AV75+IF(BE75="",0,BE75)</f>
        <v/>
      </c>
      <c r="BD75" s="2" t="n">
        <v>258.831804</v>
      </c>
      <c r="BE75" s="2" t="n"/>
      <c r="BF75" s="2" t="n">
        <v>21021.03703703704</v>
      </c>
      <c r="BG75" s="2" t="n">
        <v>518</v>
      </c>
      <c r="BH75" s="2" t="n">
        <v>238</v>
      </c>
      <c r="BI75" s="2" t="n">
        <v>36187.5</v>
      </c>
      <c r="BJ75" s="2" t="n">
        <v>95.83216666666667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226.89801</v>
      </c>
      <c r="BQ75" s="2" t="n">
        <v>0</v>
      </c>
      <c r="BR75" s="2" t="n">
        <v>37291.23017666666</v>
      </c>
      <c r="BS75" s="2" t="n">
        <v>801.8115</v>
      </c>
      <c r="BT75" s="2" t="n">
        <v>0</v>
      </c>
      <c r="BU75" s="2" t="n">
        <v>7573.228733333334</v>
      </c>
      <c r="BV75" s="2" t="n">
        <v>8375.040233333335</v>
      </c>
      <c r="BW75" s="2" t="n">
        <v>45666.27041</v>
      </c>
      <c r="BX75" s="2" t="n">
        <v>15782.04</v>
      </c>
      <c r="BY75" s="2" t="n">
        <v>1025.22</v>
      </c>
      <c r="BZ75" s="2" t="n">
        <v>5895.46</v>
      </c>
      <c r="CA75" s="2" t="n">
        <v>16807.26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1252</v>
      </c>
      <c r="B76" t="inlineStr">
        <is>
          <t>Krakowska 48, 46-020 Opole</t>
        </is>
      </c>
      <c r="C76" t="inlineStr">
        <is>
          <t>Opole Główne</t>
        </is>
      </c>
      <c r="D76" t="inlineStr">
        <is>
          <t>ST|40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8513.49</v>
      </c>
      <c r="L76" s="2" t="n">
        <v>708.6692138888889</v>
      </c>
      <c r="M76" s="2" t="n">
        <v>7882.86111111111</v>
      </c>
      <c r="N76" s="2" t="n">
        <v>1920.01</v>
      </c>
      <c r="O76" s="2" t="n">
        <v>6171.93</v>
      </c>
      <c r="P76" s="2" t="n">
        <v>421.55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10710.53</v>
      </c>
      <c r="AP76" s="2" t="n">
        <v>783.4554351851851</v>
      </c>
      <c r="AQ76" s="2" t="n">
        <v>9917.157407407407</v>
      </c>
      <c r="AR76" s="2" t="n">
        <v>2530.11</v>
      </c>
      <c r="AS76" s="2" t="n">
        <v>7540.18</v>
      </c>
      <c r="AT76" s="2" t="n">
        <v>640.24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19224.02</v>
      </c>
      <c r="BB76" s="2" t="n">
        <v>14773.9</v>
      </c>
      <c r="BC76" s="2">
        <f>F76+L76+R76+X76+AD76+AJ76+AP76+AV76+IF(BE76="",0,BE76)</f>
        <v/>
      </c>
      <c r="BD76" s="2" t="n">
        <v>227.51806</v>
      </c>
      <c r="BE76" s="2" t="n"/>
      <c r="BF76" s="2" t="n">
        <v>17800.01851851852</v>
      </c>
      <c r="BG76" s="2" t="n">
        <v>228</v>
      </c>
      <c r="BH76" s="2" t="n">
        <v>0</v>
      </c>
      <c r="BI76" s="2" t="n">
        <v>36187.5</v>
      </c>
      <c r="BJ76" s="2" t="n">
        <v>95.83216666666667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199.44765</v>
      </c>
      <c r="BQ76" s="2" t="n">
        <v>0</v>
      </c>
      <c r="BR76" s="2" t="n">
        <v>36735.77981666667</v>
      </c>
      <c r="BS76" s="2" t="n">
        <v>801.8115</v>
      </c>
      <c r="BT76" s="2" t="n">
        <v>0</v>
      </c>
      <c r="BU76" s="2" t="n">
        <v>7467.628733333335</v>
      </c>
      <c r="BV76" s="2" t="n">
        <v>8269.440233333335</v>
      </c>
      <c r="BW76" s="2" t="n">
        <v>45005.22005</v>
      </c>
      <c r="BX76" s="2" t="n">
        <v>13712.11</v>
      </c>
      <c r="BY76" s="2" t="n">
        <v>1061.79</v>
      </c>
      <c r="BZ76" s="2" t="n">
        <v>4450.12</v>
      </c>
      <c r="CA76" s="2" t="n">
        <v>14773.9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1253</v>
      </c>
      <c r="B77" t="inlineStr">
        <is>
          <t>Opole</t>
        </is>
      </c>
      <c r="C77" t="inlineStr"/>
      <c r="D77" t="inlineStr"/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6425.030000000001</v>
      </c>
      <c r="L77" s="2" t="n">
        <v>534.8242564814816</v>
      </c>
      <c r="M77" s="2" t="n">
        <v>5949.101851851852</v>
      </c>
      <c r="N77" s="2" t="n">
        <v>2155.89</v>
      </c>
      <c r="O77" s="2" t="n">
        <v>4170.14</v>
      </c>
      <c r="P77" s="2" t="n">
        <v>99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8954.990000000002</v>
      </c>
      <c r="AP77" s="2" t="n">
        <v>655.0409351851853</v>
      </c>
      <c r="AQ77" s="2" t="n">
        <v>8291.657407407409</v>
      </c>
      <c r="AR77" s="2" t="n">
        <v>2474.86</v>
      </c>
      <c r="AS77" s="2" t="n">
        <v>6225.76</v>
      </c>
      <c r="AT77" s="2" t="n">
        <v>254.37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15380.02</v>
      </c>
      <c r="BB77" s="2" t="n">
        <v>10749.27</v>
      </c>
      <c r="BC77" s="2">
        <f>F77+L77+R77+X77+AD77+AJ77+AP77+AV77+IF(BE77="",0,BE77)</f>
        <v/>
      </c>
      <c r="BD77" s="2" t="n">
        <v>165.538758</v>
      </c>
      <c r="BE77" s="2" t="n"/>
      <c r="BF77" s="2" t="n">
        <v>14240.75925925926</v>
      </c>
      <c r="BG77" s="2" t="n">
        <v>0</v>
      </c>
      <c r="BH77" s="2" t="n">
        <v>0</v>
      </c>
      <c r="BI77" s="2" t="n">
        <v>36187.5</v>
      </c>
      <c r="BJ77" s="2" t="n">
        <v>95.83216666666667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145.115145</v>
      </c>
      <c r="BQ77" s="2" t="n">
        <v>0</v>
      </c>
      <c r="BR77" s="2" t="n">
        <v>36453.44731166667</v>
      </c>
      <c r="BS77" s="2" t="n">
        <v>801.8115</v>
      </c>
      <c r="BT77" s="2" t="n">
        <v>0</v>
      </c>
      <c r="BU77" s="2" t="n">
        <v>7422.028733333334</v>
      </c>
      <c r="BV77" s="2" t="n">
        <v>8223.840233333334</v>
      </c>
      <c r="BW77" s="2" t="n">
        <v>44677.28754500001</v>
      </c>
      <c r="BX77" s="2" t="n">
        <v>10395.9</v>
      </c>
      <c r="BY77" s="2" t="n">
        <v>353.37</v>
      </c>
      <c r="BZ77" s="2" t="n">
        <v>4630.75</v>
      </c>
      <c r="CA77" s="2" t="n">
        <v>10749.27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1254</v>
      </c>
      <c r="B78" t="inlineStr">
        <is>
          <t>Stacyjna 5, 53-600 Wrocław</t>
        </is>
      </c>
      <c r="C78" t="inlineStr">
        <is>
          <t>Wrocław Mikołajów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4309.24</v>
      </c>
      <c r="L78" s="2" t="n">
        <v>358.7043296296296</v>
      </c>
      <c r="M78" s="2" t="n">
        <v>3990.037037037036</v>
      </c>
      <c r="N78" s="2" t="n">
        <v>1177.45</v>
      </c>
      <c r="O78" s="2" t="n">
        <v>3108.79</v>
      </c>
      <c r="P78" s="2" t="n">
        <v>23</v>
      </c>
      <c r="Q78" s="2" t="n">
        <v>11984.34</v>
      </c>
      <c r="R78" s="2" t="n">
        <v>1600</v>
      </c>
      <c r="S78" s="2" t="n">
        <v>11096.61111111111</v>
      </c>
      <c r="T78" s="2" t="n">
        <v>2774.65</v>
      </c>
      <c r="U78" s="2" t="n">
        <v>9022.5</v>
      </c>
      <c r="V78" s="2" t="n">
        <v>187.19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10583.36</v>
      </c>
      <c r="AP78" s="2" t="n">
        <v>774.1531851851852</v>
      </c>
      <c r="AQ78" s="2" t="n">
        <v>9799.407407407407</v>
      </c>
      <c r="AR78" s="2" t="n">
        <v>2245.98</v>
      </c>
      <c r="AS78" s="2" t="n">
        <v>7971.97</v>
      </c>
      <c r="AT78" s="2" t="n">
        <v>365.41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26876.94</v>
      </c>
      <c r="BB78" s="2" t="n">
        <v>20678.86</v>
      </c>
      <c r="BC78" s="2">
        <f>F78+L78+R78+X78+AD78+AJ78+AP78+AV78+IF(BE78="",0,BE78)</f>
        <v/>
      </c>
      <c r="BD78" s="2" t="n">
        <v>318.454444</v>
      </c>
      <c r="BE78" s="2" t="n"/>
      <c r="BF78" s="2" t="n">
        <v>24886.05555555555</v>
      </c>
      <c r="BG78" s="2" t="n">
        <v>0</v>
      </c>
      <c r="BH78" s="2" t="n">
        <v>350.37</v>
      </c>
      <c r="BI78" s="2" t="n">
        <v>36187.5</v>
      </c>
      <c r="BJ78" s="2" t="n">
        <v>95.83216666666667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279.16461</v>
      </c>
      <c r="BQ78" s="2" t="n">
        <v>0</v>
      </c>
      <c r="BR78" s="2" t="n">
        <v>36937.86677666667</v>
      </c>
      <c r="BS78" s="2" t="n">
        <v>801.8115</v>
      </c>
      <c r="BT78" s="2" t="n">
        <v>0</v>
      </c>
      <c r="BU78" s="2" t="n">
        <v>7492.102733333335</v>
      </c>
      <c r="BV78" s="2" t="n">
        <v>8293.914233333335</v>
      </c>
      <c r="BW78" s="2" t="n">
        <v>45231.78101000001</v>
      </c>
      <c r="BX78" s="2" t="n">
        <v>20103.26</v>
      </c>
      <c r="BY78" s="2" t="n">
        <v>575.6</v>
      </c>
      <c r="BZ78" s="2" t="n">
        <v>6198.08</v>
      </c>
      <c r="CA78" s="2" t="n">
        <v>20678.86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1255</v>
      </c>
      <c r="B79" t="inlineStr">
        <is>
          <t>Zabrze</t>
        </is>
      </c>
      <c r="C79" t="inlineStr"/>
      <c r="D79" t="inlineStr"/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6687.64</v>
      </c>
      <c r="L79" s="2" t="n">
        <v>556.6841074074074</v>
      </c>
      <c r="M79" s="2" t="n">
        <v>6192.259259259259</v>
      </c>
      <c r="N79" s="2" t="n">
        <v>1682.85</v>
      </c>
      <c r="O79" s="2" t="n">
        <v>4597.24</v>
      </c>
      <c r="P79" s="2" t="n">
        <v>407.55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6687.64</v>
      </c>
      <c r="BB79" s="2" t="n">
        <v>5004.79</v>
      </c>
      <c r="BC79" s="2">
        <f>F79+L79+R79+X79+AD79+AJ79+AP79+AV79+IF(BE79="",0,BE79)</f>
        <v/>
      </c>
      <c r="BD79" s="2" t="n">
        <v>77.07376600000001</v>
      </c>
      <c r="BE79" s="2" t="n"/>
      <c r="BF79" s="2" t="n">
        <v>6192.259259259259</v>
      </c>
      <c r="BG79" s="2" t="n">
        <v>141.2</v>
      </c>
      <c r="BH79" s="2" t="n">
        <v>292.11</v>
      </c>
      <c r="BI79" s="2" t="n">
        <v>36187.5</v>
      </c>
      <c r="BJ79" s="2" t="n">
        <v>95.83216666666667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67.56466500000001</v>
      </c>
      <c r="BQ79" s="2" t="n">
        <v>0</v>
      </c>
      <c r="BR79" s="2" t="n">
        <v>36809.20683166666</v>
      </c>
      <c r="BS79" s="2" t="n">
        <v>801.8115</v>
      </c>
      <c r="BT79" s="2" t="n">
        <v>0</v>
      </c>
      <c r="BU79" s="2" t="n">
        <v>7508.690733333334</v>
      </c>
      <c r="BV79" s="2" t="n">
        <v>8310.502233333335</v>
      </c>
      <c r="BW79" s="2" t="n">
        <v>45119.709065</v>
      </c>
      <c r="BX79" s="2" t="n">
        <v>4597.24</v>
      </c>
      <c r="BY79" s="2" t="n">
        <v>407.55</v>
      </c>
      <c r="BZ79" s="2" t="n">
        <v>1682.85</v>
      </c>
      <c r="CA79" s="2" t="n">
        <v>5004.79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1256</v>
      </c>
      <c r="B80" t="inlineStr">
        <is>
          <t>Dworcowa 2, 61-801 Poznań</t>
        </is>
      </c>
      <c r="C80" t="inlineStr">
        <is>
          <t>Poznań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1469.26</v>
      </c>
      <c r="L80" s="2" t="n">
        <v>122.3022907407408</v>
      </c>
      <c r="M80" s="2" t="n">
        <v>1360.425925925926</v>
      </c>
      <c r="N80" s="2" t="n">
        <v>280.6</v>
      </c>
      <c r="O80" s="2" t="n">
        <v>1188.66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2577.97</v>
      </c>
      <c r="AD80" s="2" t="n">
        <v>164.7036388888889</v>
      </c>
      <c r="AE80" s="2" t="n">
        <v>2387.009259259259</v>
      </c>
      <c r="AF80" s="2" t="n">
        <v>343.97</v>
      </c>
      <c r="AG80" s="2" t="n">
        <v>2234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472.02</v>
      </c>
      <c r="AP80" s="2" t="n">
        <v>34.52738888888889</v>
      </c>
      <c r="AQ80" s="2" t="n">
        <v>437.0555555555555</v>
      </c>
      <c r="AR80" s="2" t="n">
        <v>11.8</v>
      </c>
      <c r="AS80" s="2" t="n">
        <v>460.22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4519.250000000001</v>
      </c>
      <c r="BB80" s="2" t="n">
        <v>3882.88</v>
      </c>
      <c r="BC80" s="2">
        <f>F80+L80+R80+X80+AD80+AJ80+AP80+AV80+IF(BE80="",0,BE80)</f>
        <v/>
      </c>
      <c r="BD80" s="2" t="n">
        <v>59.79635200000001</v>
      </c>
      <c r="BE80" s="2" t="n"/>
      <c r="BF80" s="2" t="n">
        <v>4184.490740740741</v>
      </c>
      <c r="BG80" s="2" t="n">
        <v>458.58</v>
      </c>
      <c r="BH80" s="2" t="n">
        <v>0</v>
      </c>
      <c r="BI80" s="2" t="n">
        <v>36187.5</v>
      </c>
      <c r="BJ80" s="2" t="n">
        <v>95.83216666666667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52.41888</v>
      </c>
      <c r="BQ80" s="2" t="n">
        <v>0</v>
      </c>
      <c r="BR80" s="2" t="n">
        <v>36819.33104666667</v>
      </c>
      <c r="BS80" s="2" t="n">
        <v>801.8115</v>
      </c>
      <c r="BT80" s="2" t="n">
        <v>0</v>
      </c>
      <c r="BU80" s="2" t="n">
        <v>7513.744733333335</v>
      </c>
      <c r="BV80" s="2" t="n">
        <v>8315.556233333335</v>
      </c>
      <c r="BW80" s="2" t="n">
        <v>45134.88728</v>
      </c>
      <c r="BX80" s="2" t="n">
        <v>3882.88</v>
      </c>
      <c r="BY80" s="2" t="n">
        <v>0</v>
      </c>
      <c r="BZ80" s="2" t="n">
        <v>636.37</v>
      </c>
      <c r="CA80" s="2" t="n">
        <v>3882.88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1257</v>
      </c>
      <c r="B81" t="inlineStr">
        <is>
          <t>Dworcowa 2, 61-801 Poznań</t>
        </is>
      </c>
      <c r="C81" t="inlineStr">
        <is>
          <t>Poznań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3868.95</v>
      </c>
      <c r="L81" s="2" t="n">
        <v>322.054263888889</v>
      </c>
      <c r="M81" s="2" t="n">
        <v>3582.361111111111</v>
      </c>
      <c r="N81" s="2" t="n">
        <v>740.13</v>
      </c>
      <c r="O81" s="2" t="n">
        <v>3128.82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6254.94</v>
      </c>
      <c r="AD81" s="2" t="n">
        <v>399.6211666666666</v>
      </c>
      <c r="AE81" s="2" t="n">
        <v>5791.61111111111</v>
      </c>
      <c r="AF81" s="2" t="n">
        <v>1131.08</v>
      </c>
      <c r="AG81" s="2" t="n">
        <v>5123.86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1871.64</v>
      </c>
      <c r="AP81" s="2" t="n">
        <v>136.907</v>
      </c>
      <c r="AQ81" s="2" t="n">
        <v>1733</v>
      </c>
      <c r="AR81" s="2" t="n">
        <v>287.63</v>
      </c>
      <c r="AS81" s="2" t="n">
        <v>1584.01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11995.53</v>
      </c>
      <c r="BB81" s="2" t="n">
        <v>9836.690000000001</v>
      </c>
      <c r="BC81" s="2">
        <f>F81+L81+R81+X81+AD81+AJ81+AP81+AV81+IF(BE81="",0,BE81)</f>
        <v/>
      </c>
      <c r="BD81" s="2" t="n">
        <v>151.485026</v>
      </c>
      <c r="BE81" s="2" t="n"/>
      <c r="BF81" s="2" t="n">
        <v>11106.97222222222</v>
      </c>
      <c r="BG81" s="2" t="n">
        <v>458.58</v>
      </c>
      <c r="BH81" s="2" t="n">
        <v>0</v>
      </c>
      <c r="BI81" s="2" t="n">
        <v>29183.46774193548</v>
      </c>
      <c r="BJ81" s="2" t="n">
        <v>95.83216666666667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132.795315</v>
      </c>
      <c r="BQ81" s="2" t="n">
        <v>0</v>
      </c>
      <c r="BR81" s="2" t="n">
        <v>29895.67522360215</v>
      </c>
      <c r="BS81" s="2" t="n">
        <v>801.8115</v>
      </c>
      <c r="BT81" s="2" t="n">
        <v>0</v>
      </c>
      <c r="BU81" s="2" t="n">
        <v>6112.93828172043</v>
      </c>
      <c r="BV81" s="2" t="n">
        <v>6914.74978172043</v>
      </c>
      <c r="BW81" s="2" t="n">
        <v>36810.42500532258</v>
      </c>
      <c r="BX81" s="2" t="n">
        <v>9836.690000000001</v>
      </c>
      <c r="BY81" s="2" t="n">
        <v>0</v>
      </c>
      <c r="BZ81" s="2" t="n">
        <v>2158.84</v>
      </c>
      <c r="CA81" s="2" t="n">
        <v>9836.690000000001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1259</v>
      </c>
      <c r="B82" t="inlineStr">
        <is>
          <t>Kolejowa 4, 64-020 Czempin</t>
        </is>
      </c>
      <c r="C82" t="inlineStr">
        <is>
          <t>Czempiń</t>
        </is>
      </c>
      <c r="D82" t="inlineStr">
        <is>
          <t>ST|40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3335.92</v>
      </c>
      <c r="AD82" s="2" t="n">
        <v>213.1282222222222</v>
      </c>
      <c r="AE82" s="2" t="n">
        <v>3088.814814814815</v>
      </c>
      <c r="AF82" s="2" t="n">
        <v>1261.38</v>
      </c>
      <c r="AG82" s="2" t="n">
        <v>2074.54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3734.69</v>
      </c>
      <c r="AP82" s="2" t="n">
        <v>273.1856574074074</v>
      </c>
      <c r="AQ82" s="2" t="n">
        <v>3458.046296296296</v>
      </c>
      <c r="AR82" s="2" t="n">
        <v>628.04</v>
      </c>
      <c r="AS82" s="2" t="n">
        <v>3106.65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7070.610000000001</v>
      </c>
      <c r="BB82" s="2" t="n">
        <v>5181.190000000001</v>
      </c>
      <c r="BC82" s="2">
        <f>F82+L82+R82+X82+AD82+AJ82+AP82+AV82+IF(BE82="",0,BE82)</f>
        <v/>
      </c>
      <c r="BD82" s="2" t="n">
        <v>79.79032599999999</v>
      </c>
      <c r="BE82" s="2" t="n"/>
      <c r="BF82" s="2" t="n">
        <v>6546.861111111111</v>
      </c>
      <c r="BG82" s="2" t="n">
        <v>0</v>
      </c>
      <c r="BH82" s="2" t="n">
        <v>0</v>
      </c>
      <c r="BI82" s="2" t="n">
        <v>36187.5</v>
      </c>
      <c r="BJ82" s="2" t="n">
        <v>95.83216666666667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69.946065</v>
      </c>
      <c r="BQ82" s="2" t="n">
        <v>0</v>
      </c>
      <c r="BR82" s="2" t="n">
        <v>36378.27823166666</v>
      </c>
      <c r="BS82" s="2" t="n">
        <v>801.8115</v>
      </c>
      <c r="BT82" s="2" t="n">
        <v>0</v>
      </c>
      <c r="BU82" s="2" t="n">
        <v>7422.028733333334</v>
      </c>
      <c r="BV82" s="2" t="n">
        <v>8223.840233333334</v>
      </c>
      <c r="BW82" s="2" t="n">
        <v>44602.118465</v>
      </c>
      <c r="BX82" s="2" t="n">
        <v>5181.190000000001</v>
      </c>
      <c r="BY82" s="2" t="n">
        <v>0</v>
      </c>
      <c r="BZ82" s="2" t="n">
        <v>1889.42</v>
      </c>
      <c r="CA82" s="2" t="n">
        <v>5181.190000000001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1261</v>
      </c>
      <c r="B83" t="inlineStr">
        <is>
          <t>Pawia 5a, 31-154 Kraków</t>
        </is>
      </c>
      <c r="C83" t="inlineStr">
        <is>
          <t>Kraków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21120.46</v>
      </c>
      <c r="L83" s="2" t="n">
        <v>1758.082735185185</v>
      </c>
      <c r="M83" s="2" t="n">
        <v>19555.98148148148</v>
      </c>
      <c r="N83" s="2" t="n">
        <v>4642.26</v>
      </c>
      <c r="O83" s="2" t="n">
        <v>15808.47</v>
      </c>
      <c r="P83" s="2" t="n">
        <v>669.73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22246.24</v>
      </c>
      <c r="X83" s="2" t="n">
        <v>750</v>
      </c>
      <c r="Y83" s="2" t="n">
        <v>20598.37037037037</v>
      </c>
      <c r="Z83" s="2" t="n">
        <v>2968.74</v>
      </c>
      <c r="AA83" s="2" t="n">
        <v>18789.95</v>
      </c>
      <c r="AB83" s="2" t="n">
        <v>487.55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8890.24</v>
      </c>
      <c r="AP83" s="2" t="n">
        <v>650.3045925925925</v>
      </c>
      <c r="AQ83" s="2" t="n">
        <v>8231.703703703703</v>
      </c>
      <c r="AR83" s="2" t="n">
        <v>1504.59</v>
      </c>
      <c r="AS83" s="2" t="n">
        <v>6517.13</v>
      </c>
      <c r="AT83" s="2" t="n">
        <v>868.52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52256.94</v>
      </c>
      <c r="BB83" s="2" t="n">
        <v>43141.35</v>
      </c>
      <c r="BC83" s="2">
        <f>F83+L83+R83+X83+AD83+AJ83+AP83+AV83+IF(BE83="",0,BE83)</f>
        <v/>
      </c>
      <c r="BD83" s="2" t="n">
        <v>627.74954</v>
      </c>
      <c r="BE83" s="2" t="n"/>
      <c r="BF83" s="2" t="n">
        <v>48386.05555555555</v>
      </c>
      <c r="BG83" s="2" t="n">
        <v>1380</v>
      </c>
      <c r="BH83" s="2" t="n">
        <v>0</v>
      </c>
      <c r="BI83" s="2" t="n">
        <v>36187.5</v>
      </c>
      <c r="BJ83" s="2" t="n">
        <v>95.83216666666667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582.408225</v>
      </c>
      <c r="BQ83" s="2" t="n">
        <v>0</v>
      </c>
      <c r="BR83" s="2" t="n">
        <v>38270.74039166667</v>
      </c>
      <c r="BS83" s="2" t="n">
        <v>801.8115</v>
      </c>
      <c r="BT83" s="2" t="n">
        <v>0</v>
      </c>
      <c r="BU83" s="2" t="n">
        <v>7698.028733333334</v>
      </c>
      <c r="BV83" s="2" t="n">
        <v>8499.840233333334</v>
      </c>
      <c r="BW83" s="2" t="n">
        <v>46770.580625</v>
      </c>
      <c r="BX83" s="2" t="n">
        <v>41115.55</v>
      </c>
      <c r="BY83" s="2" t="n">
        <v>2025.8</v>
      </c>
      <c r="BZ83" s="2" t="n">
        <v>9115.59</v>
      </c>
      <c r="CA83" s="2" t="n">
        <v>43141.35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1262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15202.47</v>
      </c>
      <c r="L84" s="2" t="n">
        <v>1265.464863888889</v>
      </c>
      <c r="M84" s="2" t="n">
        <v>14076.36111111111</v>
      </c>
      <c r="N84" s="2" t="n">
        <v>1924.03</v>
      </c>
      <c r="O84" s="2" t="n">
        <v>12780.99</v>
      </c>
      <c r="P84" s="2" t="n">
        <v>497.45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15646.06</v>
      </c>
      <c r="X84" s="2" t="n">
        <v>750</v>
      </c>
      <c r="Y84" s="2" t="n">
        <v>14487.09259259259</v>
      </c>
      <c r="Z84" s="2" t="n">
        <v>2274.74</v>
      </c>
      <c r="AA84" s="2" t="n">
        <v>13245.52</v>
      </c>
      <c r="AB84" s="2" t="n">
        <v>125.8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7911.17</v>
      </c>
      <c r="AP84" s="2" t="n">
        <v>578.6874351851851</v>
      </c>
      <c r="AQ84" s="2" t="n">
        <v>7325.157407407407</v>
      </c>
      <c r="AR84" s="2" t="n">
        <v>1408.27</v>
      </c>
      <c r="AS84" s="2" t="n">
        <v>6293.08</v>
      </c>
      <c r="AT84" s="2" t="n">
        <v>209.82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38759.7</v>
      </c>
      <c r="BB84" s="2" t="n">
        <v>33152.66</v>
      </c>
      <c r="BC84" s="2">
        <f>F84+L84+R84+X84+AD84+AJ84+AP84+AV84+IF(BE84="",0,BE84)</f>
        <v/>
      </c>
      <c r="BD84" s="2" t="n">
        <v>485.145456</v>
      </c>
      <c r="BE84" s="2" t="n"/>
      <c r="BF84" s="2" t="n">
        <v>35888.61111111111</v>
      </c>
      <c r="BG84" s="2" t="n">
        <v>1380</v>
      </c>
      <c r="BH84" s="2" t="n">
        <v>0</v>
      </c>
      <c r="BI84" s="2" t="n">
        <v>36187.5</v>
      </c>
      <c r="BJ84" s="2" t="n">
        <v>95.83216666666667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447.56091</v>
      </c>
      <c r="BQ84" s="2" t="n">
        <v>0</v>
      </c>
      <c r="BR84" s="2" t="n">
        <v>38135.89307666667</v>
      </c>
      <c r="BS84" s="2" t="n">
        <v>801.8115</v>
      </c>
      <c r="BT84" s="2" t="n">
        <v>0</v>
      </c>
      <c r="BU84" s="2" t="n">
        <v>7698.028733333334</v>
      </c>
      <c r="BV84" s="2" t="n">
        <v>8499.840233333334</v>
      </c>
      <c r="BW84" s="2" t="n">
        <v>46635.73331</v>
      </c>
      <c r="BX84" s="2" t="n">
        <v>32319.59</v>
      </c>
      <c r="BY84" s="2" t="n">
        <v>833.0699999999999</v>
      </c>
      <c r="BZ84" s="2" t="n">
        <v>5607.039999999999</v>
      </c>
      <c r="CA84" s="2" t="n">
        <v>33152.66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1263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71478.11</v>
      </c>
      <c r="L85" s="2" t="n">
        <v>5949.890823148148</v>
      </c>
      <c r="M85" s="2" t="n">
        <v>66183.43518518518</v>
      </c>
      <c r="N85" s="2" t="n">
        <v>6691.49</v>
      </c>
      <c r="O85" s="2" t="n">
        <v>63393.92</v>
      </c>
      <c r="P85" s="2" t="n">
        <v>1392.7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87688</v>
      </c>
      <c r="X85" s="2" t="n">
        <v>750</v>
      </c>
      <c r="Y85" s="2" t="n">
        <v>81192.59259259258</v>
      </c>
      <c r="Z85" s="2" t="n">
        <v>7567.84</v>
      </c>
      <c r="AA85" s="2" t="n">
        <v>79180.72</v>
      </c>
      <c r="AB85" s="2" t="n">
        <v>939.4400000000001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25191.81</v>
      </c>
      <c r="AP85" s="2" t="n">
        <v>1842.73425</v>
      </c>
      <c r="AQ85" s="2" t="n">
        <v>23325.75</v>
      </c>
      <c r="AR85" s="2" t="n">
        <v>3128.11</v>
      </c>
      <c r="AS85" s="2" t="n">
        <v>21109.02</v>
      </c>
      <c r="AT85" s="2" t="n">
        <v>954.6799999999999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184357.92</v>
      </c>
      <c r="BB85" s="2" t="n">
        <v>166970.48</v>
      </c>
      <c r="BC85" s="2">
        <f>F85+L85+R85+X85+AD85+AJ85+AP85+AV85+IF(BE85="",0,BE85)</f>
        <v/>
      </c>
      <c r="BD85" s="2" t="n">
        <v>2419.117088</v>
      </c>
      <c r="BE85" s="2" t="n"/>
      <c r="BF85" s="2" t="n">
        <v>170701.7777777778</v>
      </c>
      <c r="BG85" s="2" t="n">
        <v>1380</v>
      </c>
      <c r="BH85" s="2" t="n">
        <v>0</v>
      </c>
      <c r="BI85" s="2" t="n">
        <v>36187.5</v>
      </c>
      <c r="BJ85" s="2" t="n">
        <v>95.83216666666667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2254.10148</v>
      </c>
      <c r="BQ85" s="2" t="n">
        <v>0</v>
      </c>
      <c r="BR85" s="2" t="n">
        <v>39942.43364666666</v>
      </c>
      <c r="BS85" s="2" t="n">
        <v>801.8115</v>
      </c>
      <c r="BT85" s="2" t="n">
        <v>0</v>
      </c>
      <c r="BU85" s="2" t="n">
        <v>7698.028733333334</v>
      </c>
      <c r="BV85" s="2" t="n">
        <v>8499.840233333334</v>
      </c>
      <c r="BW85" s="2" t="n">
        <v>48442.27388</v>
      </c>
      <c r="BX85" s="2" t="n">
        <v>163683.66</v>
      </c>
      <c r="BY85" s="2" t="n">
        <v>3286.82</v>
      </c>
      <c r="BZ85" s="2" t="n">
        <v>17387.44</v>
      </c>
      <c r="CA85" s="2" t="n">
        <v>166970.48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1264</v>
      </c>
      <c r="B86" t="inlineStr">
        <is>
          <t>Dworcowa 1, 66-400 Gorzów Wlkp</t>
        </is>
      </c>
      <c r="C86" t="inlineStr">
        <is>
          <t>Gorzów Wielkopolski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2866.37</v>
      </c>
      <c r="L86" s="2" t="n">
        <v>238.598762037037</v>
      </c>
      <c r="M86" s="2" t="n">
        <v>2654.046296296296</v>
      </c>
      <c r="N86" s="2" t="n">
        <v>779.28</v>
      </c>
      <c r="O86" s="2" t="n">
        <v>1733.09</v>
      </c>
      <c r="P86" s="2" t="n">
        <v>354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13979.56</v>
      </c>
      <c r="AP86" s="2" t="n">
        <v>1022.578925925926</v>
      </c>
      <c r="AQ86" s="2" t="n">
        <v>12944.03703703704</v>
      </c>
      <c r="AR86" s="2" t="n">
        <v>4495.78</v>
      </c>
      <c r="AS86" s="2" t="n">
        <v>8727.66</v>
      </c>
      <c r="AT86" s="2" t="n">
        <v>756.12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16845.93</v>
      </c>
      <c r="BB86" s="2" t="n">
        <v>11570.87</v>
      </c>
      <c r="BC86" s="2">
        <f>F86+L86+R86+X86+AD86+AJ86+AP86+AV86+IF(BE86="",0,BE86)</f>
        <v/>
      </c>
      <c r="BD86" s="2" t="n">
        <v>178.191398</v>
      </c>
      <c r="BE86" s="2" t="n"/>
      <c r="BF86" s="2" t="n">
        <v>15598.08333333333</v>
      </c>
      <c r="BG86" s="2" t="n">
        <v>366.96</v>
      </c>
      <c r="BH86" s="2" t="n">
        <v>255</v>
      </c>
      <c r="BI86" s="2" t="n">
        <v>36187.5</v>
      </c>
      <c r="BJ86" s="2" t="n">
        <v>95.83216666666667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156.206745</v>
      </c>
      <c r="BQ86" s="2" t="n">
        <v>0</v>
      </c>
      <c r="BR86" s="2" t="n">
        <v>37086.49891166667</v>
      </c>
      <c r="BS86" s="2" t="n">
        <v>801.8115</v>
      </c>
      <c r="BT86" s="2" t="n">
        <v>0</v>
      </c>
      <c r="BU86" s="2" t="n">
        <v>7546.420733333334</v>
      </c>
      <c r="BV86" s="2" t="n">
        <v>8348.232233333334</v>
      </c>
      <c r="BW86" s="2" t="n">
        <v>45434.73114500001</v>
      </c>
      <c r="BX86" s="2" t="n">
        <v>10460.75</v>
      </c>
      <c r="BY86" s="2" t="n">
        <v>1110.12</v>
      </c>
      <c r="BZ86" s="2" t="n">
        <v>5275.059999999999</v>
      </c>
      <c r="CA86" s="2" t="n">
        <v>11570.87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1265</v>
      </c>
      <c r="B87" t="inlineStr">
        <is>
          <t>pl. Kolejarza 1, 65-024 Zielona Góra</t>
        </is>
      </c>
      <c r="C87" t="inlineStr">
        <is>
          <t>Zielona Góra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4203.88</v>
      </c>
      <c r="L87" s="2" t="n">
        <v>349.9340851851852</v>
      </c>
      <c r="M87" s="2" t="n">
        <v>3892.481481481481</v>
      </c>
      <c r="N87" s="2" t="n">
        <v>2013.19</v>
      </c>
      <c r="O87" s="2" t="n">
        <v>1925.49</v>
      </c>
      <c r="P87" s="2" t="n">
        <v>265.2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9118.379999999999</v>
      </c>
      <c r="AP87" s="2" t="n">
        <v>666.992611111111</v>
      </c>
      <c r="AQ87" s="2" t="n">
        <v>8442.944444444443</v>
      </c>
      <c r="AR87" s="2" t="n">
        <v>4226.4</v>
      </c>
      <c r="AS87" s="2" t="n">
        <v>3622.21</v>
      </c>
      <c r="AT87" s="2" t="n">
        <v>1269.77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13322.26</v>
      </c>
      <c r="BB87" s="2" t="n">
        <v>7082.67</v>
      </c>
      <c r="BC87" s="2">
        <f>F87+L87+R87+X87+AD87+AJ87+AP87+AV87+IF(BE87="",0,BE87)</f>
        <v/>
      </c>
      <c r="BD87" s="2" t="n">
        <v>109.073118</v>
      </c>
      <c r="BE87" s="2" t="n"/>
      <c r="BF87" s="2" t="n">
        <v>12335.42592592593</v>
      </c>
      <c r="BG87" s="2" t="n">
        <v>366.96</v>
      </c>
      <c r="BH87" s="2" t="n">
        <v>155</v>
      </c>
      <c r="BI87" s="2" t="n">
        <v>36187.5</v>
      </c>
      <c r="BJ87" s="2" t="n">
        <v>95.83216666666667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95.61604499999999</v>
      </c>
      <c r="BQ87" s="2" t="n">
        <v>0</v>
      </c>
      <c r="BR87" s="2" t="n">
        <v>36925.90821166667</v>
      </c>
      <c r="BS87" s="2" t="n">
        <v>801.8115</v>
      </c>
      <c r="BT87" s="2" t="n">
        <v>0</v>
      </c>
      <c r="BU87" s="2" t="n">
        <v>7526.420733333334</v>
      </c>
      <c r="BV87" s="2" t="n">
        <v>8328.232233333334</v>
      </c>
      <c r="BW87" s="2" t="n">
        <v>45254.140445</v>
      </c>
      <c r="BX87" s="2" t="n">
        <v>5547.7</v>
      </c>
      <c r="BY87" s="2" t="n">
        <v>1534.97</v>
      </c>
      <c r="BZ87" s="2" t="n">
        <v>6239.59</v>
      </c>
      <c r="CA87" s="2" t="n">
        <v>7082.67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1266</v>
      </c>
      <c r="B88" t="inlineStr">
        <is>
          <t>Dworcowa 1, 64-100 Leszno</t>
        </is>
      </c>
      <c r="C88" t="inlineStr">
        <is>
          <t>Leszno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17140.07</v>
      </c>
      <c r="L88" s="2" t="n">
        <v>1426.752123148148</v>
      </c>
      <c r="M88" s="2" t="n">
        <v>15870.43518518518</v>
      </c>
      <c r="N88" s="2" t="n">
        <v>4613.73</v>
      </c>
      <c r="O88" s="2" t="n">
        <v>12526.34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11812.63</v>
      </c>
      <c r="AD88" s="2" t="n">
        <v>754.6958055555556</v>
      </c>
      <c r="AE88" s="2" t="n">
        <v>10937.62037037037</v>
      </c>
      <c r="AF88" s="2" t="n">
        <v>3734.96</v>
      </c>
      <c r="AG88" s="2" t="n">
        <v>8077.67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8767.130000000001</v>
      </c>
      <c r="AP88" s="2" t="n">
        <v>641.2993240740741</v>
      </c>
      <c r="AQ88" s="2" t="n">
        <v>8117.712962962964</v>
      </c>
      <c r="AR88" s="2" t="n">
        <v>2685.58</v>
      </c>
      <c r="AS88" s="2" t="n">
        <v>6081.55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37719.83</v>
      </c>
      <c r="BB88" s="2" t="n">
        <v>26685.56</v>
      </c>
      <c r="BC88" s="2">
        <f>F88+L88+R88+X88+AD88+AJ88+AP88+AV88+IF(BE88="",0,BE88)</f>
        <v/>
      </c>
      <c r="BD88" s="2" t="n">
        <v>410.957624</v>
      </c>
      <c r="BE88" s="2" t="n"/>
      <c r="BF88" s="2" t="n">
        <v>34925.76851851852</v>
      </c>
      <c r="BG88" s="2" t="n">
        <v>0</v>
      </c>
      <c r="BH88" s="2" t="n">
        <v>121.8</v>
      </c>
      <c r="BI88" s="2" t="n">
        <v>36187.5</v>
      </c>
      <c r="BJ88" s="2" t="n">
        <v>95.83216666666667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360.25506</v>
      </c>
      <c r="BQ88" s="2" t="n">
        <v>0</v>
      </c>
      <c r="BR88" s="2" t="n">
        <v>36790.38722666667</v>
      </c>
      <c r="BS88" s="2" t="n">
        <v>801.8115</v>
      </c>
      <c r="BT88" s="2" t="n">
        <v>0</v>
      </c>
      <c r="BU88" s="2" t="n">
        <v>7446.388733333335</v>
      </c>
      <c r="BV88" s="2" t="n">
        <v>8248.200233333335</v>
      </c>
      <c r="BW88" s="2" t="n">
        <v>45038.58746000001</v>
      </c>
      <c r="BX88" s="2" t="n">
        <v>26685.56</v>
      </c>
      <c r="BY88" s="2" t="n">
        <v>0</v>
      </c>
      <c r="BZ88" s="2" t="n">
        <v>11034.27</v>
      </c>
      <c r="CA88" s="2" t="n">
        <v>26685.56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1267</v>
      </c>
      <c r="B89" t="inlineStr">
        <is>
          <t>Pawia 5a, 31-154 Kraków</t>
        </is>
      </c>
      <c r="C89" t="inlineStr">
        <is>
          <t>Kraków Główny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17896.88</v>
      </c>
      <c r="L89" s="2" t="n">
        <v>1489.749548148148</v>
      </c>
      <c r="M89" s="2" t="n">
        <v>16571.18518518519</v>
      </c>
      <c r="N89" s="2" t="n">
        <v>2731.23</v>
      </c>
      <c r="O89" s="2" t="n">
        <v>14775.35</v>
      </c>
      <c r="P89" s="2" t="n">
        <v>390.3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32248.48</v>
      </c>
      <c r="X89" s="2" t="n">
        <v>750</v>
      </c>
      <c r="Y89" s="2" t="n">
        <v>29859.7037037037</v>
      </c>
      <c r="Z89" s="2" t="n">
        <v>3065.11</v>
      </c>
      <c r="AA89" s="2" t="n">
        <v>28427.05</v>
      </c>
      <c r="AB89" s="2" t="n">
        <v>756.3200000000001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6877.73</v>
      </c>
      <c r="AP89" s="2" t="n">
        <v>503.0932129629629</v>
      </c>
      <c r="AQ89" s="2" t="n">
        <v>6368.268518518518</v>
      </c>
      <c r="AR89" s="2" t="n">
        <v>1149.64</v>
      </c>
      <c r="AS89" s="2" t="n">
        <v>5487.89</v>
      </c>
      <c r="AT89" s="2" t="n">
        <v>240.2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57023.09</v>
      </c>
      <c r="BB89" s="2" t="n">
        <v>50077.11</v>
      </c>
      <c r="BC89" s="2">
        <f>F89+L89+R89+X89+AD89+AJ89+AP89+AV89+IF(BE89="",0,BE89)</f>
        <v/>
      </c>
      <c r="BD89" s="2" t="n">
        <v>715.7390909999999</v>
      </c>
      <c r="BE89" s="2" t="n"/>
      <c r="BF89" s="2" t="n">
        <v>52799.15740740741</v>
      </c>
      <c r="BG89" s="2" t="n">
        <v>1056.72</v>
      </c>
      <c r="BH89" s="2" t="n">
        <v>317</v>
      </c>
      <c r="BI89" s="2" t="n">
        <v>17510.08064516129</v>
      </c>
      <c r="BJ89" s="2" t="n">
        <v>95.83216666666667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676.040985</v>
      </c>
      <c r="BQ89" s="2" t="n">
        <v>0</v>
      </c>
      <c r="BR89" s="2" t="n">
        <v>19680.67379682796</v>
      </c>
      <c r="BS89" s="2" t="n">
        <v>801.8115</v>
      </c>
      <c r="BT89" s="2" t="n">
        <v>0</v>
      </c>
      <c r="BU89" s="2" t="n">
        <v>3961.288862365592</v>
      </c>
      <c r="BV89" s="2" t="n">
        <v>4763.100362365592</v>
      </c>
      <c r="BW89" s="2" t="n">
        <v>24443.77415919355</v>
      </c>
      <c r="BX89" s="2" t="n">
        <v>48690.29</v>
      </c>
      <c r="BY89" s="2" t="n">
        <v>1386.82</v>
      </c>
      <c r="BZ89" s="2" t="n">
        <v>6945.98</v>
      </c>
      <c r="CA89" s="2" t="n">
        <v>50077.11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1268</v>
      </c>
      <c r="B90" t="inlineStr">
        <is>
          <t>Kolejowa 5, 83-200 Starogard Gdański</t>
        </is>
      </c>
      <c r="C90" t="inlineStr">
        <is>
          <t>Starogard Gdański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24475.52</v>
      </c>
      <c r="AP90" s="2" t="n">
        <v>4177</v>
      </c>
      <c r="AQ90" s="2" t="n">
        <v>22662.51851851852</v>
      </c>
      <c r="AR90" s="2" t="n">
        <v>9748.110000000001</v>
      </c>
      <c r="AS90" s="2" t="n">
        <v>13842.85</v>
      </c>
      <c r="AT90" s="2" t="n">
        <v>884.5599999999999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24475.52</v>
      </c>
      <c r="BB90" s="2" t="n">
        <v>14727.41</v>
      </c>
      <c r="BC90" s="2">
        <f>F90+L90+R90+X90+AD90+AJ90+AP90+AV90+IF(BE90="",0,BE90)</f>
        <v/>
      </c>
      <c r="BD90" s="2" t="n">
        <v>226.802114</v>
      </c>
      <c r="BE90" s="2" t="n"/>
      <c r="BF90" s="2" t="n">
        <v>22662.51851851852</v>
      </c>
      <c r="BG90" s="2" t="n">
        <v>0</v>
      </c>
      <c r="BH90" s="2" t="n">
        <v>0</v>
      </c>
      <c r="BI90" s="2" t="n">
        <v>36187.5</v>
      </c>
      <c r="BJ90" s="2" t="n">
        <v>95.83216666666667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198.820035</v>
      </c>
      <c r="BQ90" s="2" t="n">
        <v>0</v>
      </c>
      <c r="BR90" s="2" t="n">
        <v>36507.15220166666</v>
      </c>
      <c r="BS90" s="2" t="n">
        <v>801.8115</v>
      </c>
      <c r="BT90" s="2" t="n">
        <v>0</v>
      </c>
      <c r="BU90" s="2" t="n">
        <v>7422.028733333334</v>
      </c>
      <c r="BV90" s="2" t="n">
        <v>8223.840233333334</v>
      </c>
      <c r="BW90" s="2" t="n">
        <v>44730.992435</v>
      </c>
      <c r="BX90" s="2" t="n">
        <v>13842.85</v>
      </c>
      <c r="BY90" s="2" t="n">
        <v>884.5599999999999</v>
      </c>
      <c r="BZ90" s="2" t="n">
        <v>9748.110000000001</v>
      </c>
      <c r="CA90" s="2" t="n">
        <v>14727.41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1269</v>
      </c>
      <c r="B91" t="inlineStr">
        <is>
          <t>Podwale Grodzkie 1, 80-895 Gdańsk</t>
        </is>
      </c>
      <c r="C91" t="inlineStr">
        <is>
          <t>Gdańsk Główny</t>
        </is>
      </c>
      <c r="D91" t="inlineStr">
        <is>
          <t>ST|40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15542.2</v>
      </c>
      <c r="L91" s="2" t="n">
        <v>1293.744240740741</v>
      </c>
      <c r="M91" s="2" t="n">
        <v>14390.92592592593</v>
      </c>
      <c r="N91" s="2" t="n">
        <v>4887.46</v>
      </c>
      <c r="O91" s="2" t="n">
        <v>9949.280000000001</v>
      </c>
      <c r="P91" s="2" t="n">
        <v>705.46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9738.32</v>
      </c>
      <c r="AP91" s="2" t="n">
        <v>712.340074074074</v>
      </c>
      <c r="AQ91" s="2" t="n">
        <v>9016.962962962962</v>
      </c>
      <c r="AR91" s="2" t="n">
        <v>2747.75</v>
      </c>
      <c r="AS91" s="2" t="n">
        <v>6828.57</v>
      </c>
      <c r="AT91" s="2" t="n">
        <v>162</v>
      </c>
      <c r="AU91" s="2" t="n">
        <v>4030.85</v>
      </c>
      <c r="AV91" s="2" t="n">
        <v>160.4875462962963</v>
      </c>
      <c r="AW91" s="2" t="n">
        <v>3732.268518518518</v>
      </c>
      <c r="AX91" s="2" t="n">
        <v>741.1</v>
      </c>
      <c r="AY91" s="2" t="n">
        <v>3175.5</v>
      </c>
      <c r="AZ91" s="2" t="n">
        <v>114.25</v>
      </c>
      <c r="BA91" s="2" t="n">
        <v>29311.37</v>
      </c>
      <c r="BB91" s="2" t="n">
        <v>20935.06</v>
      </c>
      <c r="BC91" s="2">
        <f>F91+L91+R91+X91+AD91+AJ91+AP91+AV91+IF(BE91="",0,BE91)</f>
        <v/>
      </c>
      <c r="BD91" s="2" t="n">
        <v>322.3999240000001</v>
      </c>
      <c r="BE91" s="2" t="n"/>
      <c r="BF91" s="2" t="n">
        <v>27140.15740740741</v>
      </c>
      <c r="BG91" s="2" t="n">
        <v>0</v>
      </c>
      <c r="BH91" s="2" t="n">
        <v>0</v>
      </c>
      <c r="BI91" s="2" t="n">
        <v>36187.5</v>
      </c>
      <c r="BJ91" s="2" t="n">
        <v>95.83216666666667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282.62331</v>
      </c>
      <c r="BQ91" s="2" t="n">
        <v>0</v>
      </c>
      <c r="BR91" s="2" t="n">
        <v>36590.95547666667</v>
      </c>
      <c r="BS91" s="2" t="n">
        <v>801.8115</v>
      </c>
      <c r="BT91" s="2" t="n">
        <v>0</v>
      </c>
      <c r="BU91" s="2" t="n">
        <v>7422.028733333334</v>
      </c>
      <c r="BV91" s="2" t="n">
        <v>8223.840233333334</v>
      </c>
      <c r="BW91" s="2" t="n">
        <v>44814.79571000001</v>
      </c>
      <c r="BX91" s="2" t="n">
        <v>19953.35</v>
      </c>
      <c r="BY91" s="2" t="n">
        <v>981.71</v>
      </c>
      <c r="BZ91" s="2" t="n">
        <v>8376.309999999999</v>
      </c>
      <c r="CA91" s="2" t="n">
        <v>20935.06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1270</v>
      </c>
      <c r="B92" t="inlineStr">
        <is>
          <t>Marii Konopnickiej 10, 10-168 Olsztyn</t>
        </is>
      </c>
      <c r="C92" t="inlineStr">
        <is>
          <t>Olsztyn Zachodni</t>
        </is>
      </c>
      <c r="D92" t="inlineStr">
        <is>
          <t>FAA2000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14333.81</v>
      </c>
      <c r="L92" s="2" t="n">
        <v>1193.156962037037</v>
      </c>
      <c r="M92" s="2" t="n">
        <v>13272.0462962963</v>
      </c>
      <c r="N92" s="2" t="n">
        <v>2461.31</v>
      </c>
      <c r="O92" s="2" t="n">
        <v>11470.38</v>
      </c>
      <c r="P92" s="2" t="n">
        <v>402.12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9162.690000000001</v>
      </c>
      <c r="AP92" s="2" t="n">
        <v>670.2338055555556</v>
      </c>
      <c r="AQ92" s="2" t="n">
        <v>8483.972222222223</v>
      </c>
      <c r="AR92" s="2" t="n">
        <v>2320.59</v>
      </c>
      <c r="AS92" s="2" t="n">
        <v>6654.4</v>
      </c>
      <c r="AT92" s="2" t="n">
        <v>187.7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23496.5</v>
      </c>
      <c r="BB92" s="2" t="n">
        <v>18714.6</v>
      </c>
      <c r="BC92" s="2">
        <f>F92+L92+R92+X92+AD92+AJ92+AP92+AV92+IF(BE92="",0,BE92)</f>
        <v/>
      </c>
      <c r="BD92" s="2" t="n">
        <v>288.20484</v>
      </c>
      <c r="BE92" s="2" t="n"/>
      <c r="BF92" s="2" t="n">
        <v>21756.01851851852</v>
      </c>
      <c r="BG92" s="2" t="n">
        <v>343</v>
      </c>
      <c r="BH92" s="2" t="n">
        <v>0</v>
      </c>
      <c r="BI92" s="2" t="n">
        <v>36187.5</v>
      </c>
      <c r="BJ92" s="2" t="n">
        <v>95.83216666666667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252.6471</v>
      </c>
      <c r="BQ92" s="2" t="n">
        <v>0</v>
      </c>
      <c r="BR92" s="2" t="n">
        <v>36903.97926666667</v>
      </c>
      <c r="BS92" s="2" t="n">
        <v>801.8115</v>
      </c>
      <c r="BT92" s="2" t="n">
        <v>0</v>
      </c>
      <c r="BU92" s="2" t="n">
        <v>7490.628733333335</v>
      </c>
      <c r="BV92" s="2" t="n">
        <v>8292.440233333335</v>
      </c>
      <c r="BW92" s="2" t="n">
        <v>45196.4195</v>
      </c>
      <c r="BX92" s="2" t="n">
        <v>18124.78</v>
      </c>
      <c r="BY92" s="2" t="n">
        <v>589.8199999999999</v>
      </c>
      <c r="BZ92" s="2" t="n">
        <v>4781.9</v>
      </c>
      <c r="CA92" s="2" t="n">
        <v>18714.6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1271</v>
      </c>
      <c r="B93" t="inlineStr">
        <is>
          <t>Zygmunta Augusta 7, 85-082 Bydgoszcz</t>
        </is>
      </c>
      <c r="C93" t="inlineStr">
        <is>
          <t>Bydgoszcz</t>
        </is>
      </c>
      <c r="D93" t="inlineStr">
        <is>
          <t>FAA2000</t>
        </is>
      </c>
      <c r="E93" s="2" t="n">
        <v>7976.91</v>
      </c>
      <c r="F93" s="2" t="n">
        <v>1000</v>
      </c>
      <c r="G93" s="2" t="n">
        <v>7386.027777777777</v>
      </c>
      <c r="H93" s="2" t="n">
        <v>1315.74</v>
      </c>
      <c r="I93" s="2" t="n">
        <v>6154.02</v>
      </c>
      <c r="J93" s="2" t="n">
        <v>507.15</v>
      </c>
      <c r="K93" s="2" t="n">
        <v>17563.97</v>
      </c>
      <c r="L93" s="2" t="n">
        <v>1462.037873148148</v>
      </c>
      <c r="M93" s="2" t="n">
        <v>16262.93518518518</v>
      </c>
      <c r="N93" s="2" t="n">
        <v>4134.94</v>
      </c>
      <c r="O93" s="2" t="n">
        <v>12296.7</v>
      </c>
      <c r="P93" s="2" t="n">
        <v>1132.33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18922.41</v>
      </c>
      <c r="AP93" s="2" t="n">
        <v>1384.13925</v>
      </c>
      <c r="AQ93" s="2" t="n">
        <v>17520.75</v>
      </c>
      <c r="AR93" s="2" t="n">
        <v>4294.77</v>
      </c>
      <c r="AS93" s="2" t="n">
        <v>13565.38</v>
      </c>
      <c r="AT93" s="2" t="n">
        <v>1062.26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44463.29</v>
      </c>
      <c r="BB93" s="2" t="n">
        <v>34717.84</v>
      </c>
      <c r="BC93" s="2">
        <f>F93+L93+R93+X93+AD93+AJ93+AP93+AV93+IF(BE93="",0,BE93)</f>
        <v/>
      </c>
      <c r="BD93" s="2" t="n">
        <v>534.6547360000001</v>
      </c>
      <c r="BE93" s="2" t="n"/>
      <c r="BF93" s="2" t="n">
        <v>41169.71296296296</v>
      </c>
      <c r="BG93" s="2" t="n">
        <v>381.38</v>
      </c>
      <c r="BH93" s="2" t="n">
        <v>148.23</v>
      </c>
      <c r="BI93" s="2" t="n">
        <v>36187.5</v>
      </c>
      <c r="BJ93" s="2" t="n">
        <v>95.83216666666667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468.69084</v>
      </c>
      <c r="BQ93" s="2" t="n">
        <v>0</v>
      </c>
      <c r="BR93" s="2" t="n">
        <v>37306.63300666667</v>
      </c>
      <c r="BS93" s="2" t="n">
        <v>801.8115</v>
      </c>
      <c r="BT93" s="2" t="n">
        <v>0</v>
      </c>
      <c r="BU93" s="2" t="n">
        <v>7527.950733333335</v>
      </c>
      <c r="BV93" s="2" t="n">
        <v>8329.762233333335</v>
      </c>
      <c r="BW93" s="2" t="n">
        <v>45636.39524000001</v>
      </c>
      <c r="BX93" s="2" t="n">
        <v>32016.1</v>
      </c>
      <c r="BY93" s="2" t="n">
        <v>2701.74</v>
      </c>
      <c r="BZ93" s="2" t="n">
        <v>9745.450000000001</v>
      </c>
      <c r="CA93" s="2" t="n">
        <v>34717.84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1272</v>
      </c>
      <c r="B94" t="inlineStr">
        <is>
          <t>Dworcowa 115, 88-110 Inowrocław</t>
        </is>
      </c>
      <c r="C94" t="inlineStr">
        <is>
          <t>Inowrocław</t>
        </is>
      </c>
      <c r="D94" t="inlineStr">
        <is>
          <t>FAA2000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10534</v>
      </c>
      <c r="L94" s="2" t="n">
        <v>876.8579629629629</v>
      </c>
      <c r="M94" s="2" t="n">
        <v>9753.703703703703</v>
      </c>
      <c r="N94" s="2" t="n">
        <v>3529.26</v>
      </c>
      <c r="O94" s="2" t="n">
        <v>6550.83</v>
      </c>
      <c r="P94" s="2" t="n">
        <v>453.91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9456.01</v>
      </c>
      <c r="AP94" s="2" t="n">
        <v>691.6896203703703</v>
      </c>
      <c r="AQ94" s="2" t="n">
        <v>8755.564814814814</v>
      </c>
      <c r="AR94" s="2" t="n">
        <v>3206.62</v>
      </c>
      <c r="AS94" s="2" t="n">
        <v>5831.74</v>
      </c>
      <c r="AT94" s="2" t="n">
        <v>417.65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19990.01</v>
      </c>
      <c r="BB94" s="2" t="n">
        <v>13254.13</v>
      </c>
      <c r="BC94" s="2">
        <f>F94+L94+R94+X94+AD94+AJ94+AP94+AV94+IF(BE94="",0,BE94)</f>
        <v/>
      </c>
      <c r="BD94" s="2" t="n">
        <v>204.113602</v>
      </c>
      <c r="BE94" s="2" t="n"/>
      <c r="BF94" s="2" t="n">
        <v>18509.26851851852</v>
      </c>
      <c r="BG94" s="2" t="n">
        <v>382</v>
      </c>
      <c r="BH94" s="2" t="n">
        <v>146.3</v>
      </c>
      <c r="BI94" s="2" t="n">
        <v>36187.5</v>
      </c>
      <c r="BJ94" s="2" t="n">
        <v>95.83216666666667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178.930755</v>
      </c>
      <c r="BQ94" s="2" t="n">
        <v>0</v>
      </c>
      <c r="BR94" s="2" t="n">
        <v>37015.56292166667</v>
      </c>
      <c r="BS94" s="2" t="n">
        <v>801.8115</v>
      </c>
      <c r="BT94" s="2" t="n">
        <v>0</v>
      </c>
      <c r="BU94" s="2" t="n">
        <v>7527.688733333335</v>
      </c>
      <c r="BV94" s="2" t="n">
        <v>8329.500233333336</v>
      </c>
      <c r="BW94" s="2" t="n">
        <v>45345.06315500001</v>
      </c>
      <c r="BX94" s="2" t="n">
        <v>12382.57</v>
      </c>
      <c r="BY94" s="2" t="n">
        <v>871.5599999999999</v>
      </c>
      <c r="BZ94" s="2" t="n">
        <v>6735.88</v>
      </c>
      <c r="CA94" s="2" t="n">
        <v>13254.13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1273</v>
      </c>
      <c r="B95" t="inlineStr">
        <is>
          <t>Towarowa 5, 84-120 Władysławowo</t>
        </is>
      </c>
      <c r="C95" t="inlineStr">
        <is>
          <t>Władysławowo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718.91</v>
      </c>
      <c r="L95" s="2" t="n">
        <v>59.84260092592593</v>
      </c>
      <c r="M95" s="2" t="n">
        <v>665.6574074074074</v>
      </c>
      <c r="N95" s="2" t="n">
        <v>0</v>
      </c>
      <c r="O95" s="2" t="n">
        <v>718.91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17541.99</v>
      </c>
      <c r="AP95" s="2" t="n">
        <v>5475</v>
      </c>
      <c r="AQ95" s="2" t="n">
        <v>16242.58333333333</v>
      </c>
      <c r="AR95" s="2" t="n">
        <v>0</v>
      </c>
      <c r="AS95" s="2" t="n">
        <v>15056.87</v>
      </c>
      <c r="AT95" s="2" t="n">
        <v>2485.12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18260.9</v>
      </c>
      <c r="BB95" s="2" t="n">
        <v>18260.9</v>
      </c>
      <c r="BC95" s="2">
        <f>F95+L95+R95+X95+AD95+AJ95+AP95+AV95+IF(BE95="",0,BE95)</f>
        <v/>
      </c>
      <c r="BD95" s="2" t="n">
        <v>281.21786</v>
      </c>
      <c r="BE95" s="2" t="n"/>
      <c r="BF95" s="2" t="n">
        <v>16908.24074074074</v>
      </c>
      <c r="BG95" s="2" t="n">
        <v>0</v>
      </c>
      <c r="BH95" s="2" t="n">
        <v>0</v>
      </c>
      <c r="BI95" s="2" t="n">
        <v>36187.5</v>
      </c>
      <c r="BJ95" s="2" t="n">
        <v>95.83216666666667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246.52215</v>
      </c>
      <c r="BQ95" s="2" t="n">
        <v>0</v>
      </c>
      <c r="BR95" s="2" t="n">
        <v>36554.85431666666</v>
      </c>
      <c r="BS95" s="2" t="n">
        <v>801.8115</v>
      </c>
      <c r="BT95" s="2" t="n">
        <v>0</v>
      </c>
      <c r="BU95" s="2" t="n">
        <v>7422.028733333334</v>
      </c>
      <c r="BV95" s="2" t="n">
        <v>8223.840233333334</v>
      </c>
      <c r="BW95" s="2" t="n">
        <v>44778.69455</v>
      </c>
      <c r="BX95" s="2" t="n">
        <v>15775.78</v>
      </c>
      <c r="BY95" s="2" t="n">
        <v>2485.12</v>
      </c>
      <c r="BZ95" s="2" t="n">
        <v>0</v>
      </c>
      <c r="CA95" s="2" t="n">
        <v>18260.9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1274</v>
      </c>
      <c r="B96" t="inlineStr">
        <is>
          <t>Czersk</t>
        </is>
      </c>
      <c r="C96" t="inlineStr">
        <is>
          <t>Czersk</t>
        </is>
      </c>
      <c r="D96" t="inlineStr">
        <is>
          <t>FAA2000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3131.29</v>
      </c>
      <c r="AP96" s="2" t="n">
        <v>3900</v>
      </c>
      <c r="AQ96" s="2" t="n">
        <v>2899.342592592592</v>
      </c>
      <c r="AR96" s="2" t="n">
        <v>0</v>
      </c>
      <c r="AS96" s="2" t="n">
        <v>2677.6</v>
      </c>
      <c r="AT96" s="2" t="n">
        <v>453.69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3131.29</v>
      </c>
      <c r="BB96" s="2" t="n">
        <v>3131.29</v>
      </c>
      <c r="BC96" s="2">
        <f>F96+L96+R96+X96+AD96+AJ96+AP96+AV96+IF(BE96="",0,BE96)</f>
        <v/>
      </c>
      <c r="BD96" s="2" t="n">
        <v>48.221866</v>
      </c>
      <c r="BE96" s="2" t="n"/>
      <c r="BF96" s="2" t="n">
        <v>2899.342592592592</v>
      </c>
      <c r="BG96" s="2" t="n">
        <v>0</v>
      </c>
      <c r="BH96" s="2" t="n">
        <v>0</v>
      </c>
      <c r="BI96" s="2" t="n">
        <v>24514.11290322581</v>
      </c>
      <c r="BJ96" s="2" t="n">
        <v>95.83216666666667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42.272415</v>
      </c>
      <c r="BQ96" s="2" t="n">
        <v>0</v>
      </c>
      <c r="BR96" s="2" t="n">
        <v>24677.21748489247</v>
      </c>
      <c r="BS96" s="2" t="n">
        <v>801.8115</v>
      </c>
      <c r="BT96" s="2" t="n">
        <v>0</v>
      </c>
      <c r="BU96" s="2" t="n">
        <v>5087.351313978495</v>
      </c>
      <c r="BV96" s="2" t="n">
        <v>5889.162813978495</v>
      </c>
      <c r="BW96" s="2" t="n">
        <v>30566.38029887097</v>
      </c>
      <c r="BX96" s="2" t="n">
        <v>2677.6</v>
      </c>
      <c r="BY96" s="2" t="n">
        <v>453.69</v>
      </c>
      <c r="BZ96" s="2" t="n">
        <v>0</v>
      </c>
      <c r="CA96" s="2" t="n">
        <v>3131.29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1275</v>
      </c>
      <c r="B97" t="inlineStr">
        <is>
          <t>Rzeszow Glowny</t>
        </is>
      </c>
      <c r="C97" t="inlineStr">
        <is>
          <t>Poznań Dębiec</t>
        </is>
      </c>
      <c r="D97" t="inlineStr">
        <is>
          <t>FAA2000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17106.08</v>
      </c>
      <c r="L97" s="2" t="n">
        <v>1423.92277037037</v>
      </c>
      <c r="M97" s="2" t="n">
        <v>15838.96296296296</v>
      </c>
      <c r="N97" s="2" t="n">
        <v>3845.67</v>
      </c>
      <c r="O97" s="2" t="n">
        <v>13031.48</v>
      </c>
      <c r="P97" s="2" t="n">
        <v>228.93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27124.78</v>
      </c>
      <c r="AP97" s="2" t="n">
        <v>1984.127425925926</v>
      </c>
      <c r="AQ97" s="2" t="n">
        <v>25115.53703703704</v>
      </c>
      <c r="AR97" s="2" t="n">
        <v>6088.73</v>
      </c>
      <c r="AS97" s="2" t="n">
        <v>20389.06</v>
      </c>
      <c r="AT97" s="2" t="n">
        <v>646.99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44230.86</v>
      </c>
      <c r="BB97" s="2" t="n">
        <v>34296.46000000001</v>
      </c>
      <c r="BC97" s="2">
        <f>F97+L97+R97+X97+AD97+AJ97+AP97+AV97+IF(BE97="",0,BE97)</f>
        <v/>
      </c>
      <c r="BD97" s="2" t="n">
        <v>528.1654840000001</v>
      </c>
      <c r="BE97" s="2" t="n"/>
      <c r="BF97" s="2" t="n">
        <v>40954.5</v>
      </c>
      <c r="BG97" s="2" t="n">
        <v>0</v>
      </c>
      <c r="BH97" s="2" t="n">
        <v>0</v>
      </c>
      <c r="BI97" s="2" t="n">
        <v>36187.5</v>
      </c>
      <c r="BJ97" s="2" t="n">
        <v>95.83216666666667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463.00221</v>
      </c>
      <c r="BQ97" s="2" t="n">
        <v>0</v>
      </c>
      <c r="BR97" s="2" t="n">
        <v>36771.33437666667</v>
      </c>
      <c r="BS97" s="2" t="n">
        <v>801.8115</v>
      </c>
      <c r="BT97" s="2" t="n">
        <v>0</v>
      </c>
      <c r="BU97" s="2" t="n">
        <v>7422.028733333334</v>
      </c>
      <c r="BV97" s="2" t="n">
        <v>8223.840233333334</v>
      </c>
      <c r="BW97" s="2" t="n">
        <v>44995.17461</v>
      </c>
      <c r="BX97" s="2" t="n">
        <v>33420.54</v>
      </c>
      <c r="BY97" s="2" t="n">
        <v>875.9200000000001</v>
      </c>
      <c r="BZ97" s="2" t="n">
        <v>9934.4</v>
      </c>
      <c r="CA97" s="2" t="n">
        <v>34296.46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1276</v>
      </c>
      <c r="B98" t="inlineStr">
        <is>
          <t>GDA-STR</t>
        </is>
      </c>
      <c r="C98" t="inlineStr">
        <is>
          <t>Gdańsk Strzyża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11200</v>
      </c>
      <c r="AP98" s="2" t="n">
        <v>0</v>
      </c>
      <c r="AQ98" s="2" t="n">
        <v>10370.37037037037</v>
      </c>
      <c r="AR98" s="2" t="n">
        <v>2104.27</v>
      </c>
      <c r="AS98" s="2" t="n">
        <v>8883.610000000001</v>
      </c>
      <c r="AT98" s="2" t="n">
        <v>212.12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11200</v>
      </c>
      <c r="BB98" s="2" t="n">
        <v>9095.730000000001</v>
      </c>
      <c r="BC98" s="2">
        <f>F98+L98+R98+X98+AD98+AJ98+AP98+AV98+IF(BE98="",0,BE98)</f>
        <v/>
      </c>
      <c r="BD98" s="2" t="n">
        <v>140.074242</v>
      </c>
      <c r="BE98" s="2" t="n"/>
      <c r="BF98" s="2" t="n">
        <v>10370.37037037037</v>
      </c>
      <c r="BG98" s="2" t="n">
        <v>0</v>
      </c>
      <c r="BH98" s="2" t="n">
        <v>0</v>
      </c>
      <c r="BI98" s="2" t="n">
        <v>36187.5</v>
      </c>
      <c r="BJ98" s="2" t="n">
        <v>95.83216666666667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122.792355</v>
      </c>
      <c r="BQ98" s="2" t="n">
        <v>0</v>
      </c>
      <c r="BR98" s="2" t="n">
        <v>36431.12452166666</v>
      </c>
      <c r="BS98" s="2" t="n">
        <v>801.8115</v>
      </c>
      <c r="BT98" s="2" t="n">
        <v>0</v>
      </c>
      <c r="BU98" s="2" t="n">
        <v>7422.028733333334</v>
      </c>
      <c r="BV98" s="2" t="n">
        <v>8223.840233333334</v>
      </c>
      <c r="BW98" s="2" t="n">
        <v>44654.964755</v>
      </c>
      <c r="BX98" s="2" t="n">
        <v>8883.610000000001</v>
      </c>
      <c r="BY98" s="2" t="n">
        <v>212.12</v>
      </c>
      <c r="BZ98" s="2" t="n">
        <v>2104.27</v>
      </c>
      <c r="CA98" s="2" t="n">
        <v>9095.730000000001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1277</v>
      </c>
      <c r="B99" t="inlineStr">
        <is>
          <t>Plac Konstytucji 1, 81-354 Gdynia</t>
        </is>
      </c>
      <c r="C99" t="inlineStr">
        <is>
          <t>Gdynia Główna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14111.41</v>
      </c>
      <c r="L99" s="2" t="n">
        <v>1174.644221296296</v>
      </c>
      <c r="M99" s="2" t="n">
        <v>13066.12037037037</v>
      </c>
      <c r="N99" s="2" t="n">
        <v>4524.33</v>
      </c>
      <c r="O99" s="2" t="n">
        <v>9163.08</v>
      </c>
      <c r="P99" s="2" t="n">
        <v>424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26532.44</v>
      </c>
      <c r="AP99" s="2" t="n">
        <v>1940.798851851852</v>
      </c>
      <c r="AQ99" s="2" t="n">
        <v>24567.07407407407</v>
      </c>
      <c r="AR99" s="2" t="n">
        <v>7179.37</v>
      </c>
      <c r="AS99" s="2" t="n">
        <v>17896.44</v>
      </c>
      <c r="AT99" s="2" t="n">
        <v>1456.63</v>
      </c>
      <c r="AU99" s="2" t="n">
        <v>26592.8</v>
      </c>
      <c r="AV99" s="2" t="n">
        <v>1058.787407407407</v>
      </c>
      <c r="AW99" s="2" t="n">
        <v>24622.96296296296</v>
      </c>
      <c r="AX99" s="2" t="n">
        <v>4977.15</v>
      </c>
      <c r="AY99" s="2" t="n">
        <v>19919.55</v>
      </c>
      <c r="AZ99" s="2" t="n">
        <v>1696.1</v>
      </c>
      <c r="BA99" s="2" t="n">
        <v>67236.64999999999</v>
      </c>
      <c r="BB99" s="2" t="n">
        <v>50555.8</v>
      </c>
      <c r="BC99" s="2">
        <f>F99+L99+R99+X99+AD99+AJ99+AP99+AV99+IF(BE99="",0,BE99)</f>
        <v/>
      </c>
      <c r="BD99" s="2" t="n">
        <v>778.5593200000001</v>
      </c>
      <c r="BE99" s="2" t="n"/>
      <c r="BF99" s="2" t="n">
        <v>62256.15740740739</v>
      </c>
      <c r="BG99" s="2" t="n">
        <v>971.34</v>
      </c>
      <c r="BH99" s="2" t="n">
        <v>93.59999999999999</v>
      </c>
      <c r="BI99" s="2" t="n">
        <v>36187.5</v>
      </c>
      <c r="BJ99" s="2" t="n">
        <v>95.83216666666667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682.5032999999999</v>
      </c>
      <c r="BQ99" s="2" t="n">
        <v>0</v>
      </c>
      <c r="BR99" s="2" t="n">
        <v>38055.77546666667</v>
      </c>
      <c r="BS99" s="2" t="n">
        <v>801.8115</v>
      </c>
      <c r="BT99" s="2" t="n">
        <v>0</v>
      </c>
      <c r="BU99" s="2" t="n">
        <v>7635.016733333335</v>
      </c>
      <c r="BV99" s="2" t="n">
        <v>8436.828233333335</v>
      </c>
      <c r="BW99" s="2" t="n">
        <v>46492.6037</v>
      </c>
      <c r="BX99" s="2" t="n">
        <v>46979.06999999999</v>
      </c>
      <c r="BY99" s="2" t="n">
        <v>3576.73</v>
      </c>
      <c r="BZ99" s="2" t="n">
        <v>16680.85</v>
      </c>
      <c r="CA99" s="2" t="n">
        <v>50555.8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1278</v>
      </c>
      <c r="B100" t="inlineStr">
        <is>
          <t>Plac Konstytucji 1, 81-354 Gdynia</t>
        </is>
      </c>
      <c r="C100" t="inlineStr">
        <is>
          <t>Gdynia Główna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6805.32</v>
      </c>
      <c r="L100" s="2" t="n">
        <v>566.4798777777778</v>
      </c>
      <c r="M100" s="2" t="n">
        <v>6301.222222222222</v>
      </c>
      <c r="N100" s="2" t="n">
        <v>1283.11</v>
      </c>
      <c r="O100" s="2" t="n">
        <v>5364.21</v>
      </c>
      <c r="P100" s="2" t="n">
        <v>158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16035.29</v>
      </c>
      <c r="AP100" s="2" t="n">
        <v>1172.951768518519</v>
      </c>
      <c r="AQ100" s="2" t="n">
        <v>14847.49074074074</v>
      </c>
      <c r="AR100" s="2" t="n">
        <v>4472.39</v>
      </c>
      <c r="AS100" s="2" t="n">
        <v>10611.67</v>
      </c>
      <c r="AT100" s="2" t="n">
        <v>951.23</v>
      </c>
      <c r="AU100" s="2" t="n">
        <v>16625.85</v>
      </c>
      <c r="AV100" s="2" t="n">
        <v>661.9551388888889</v>
      </c>
      <c r="AW100" s="2" t="n">
        <v>15394.30555555556</v>
      </c>
      <c r="AX100" s="2" t="n">
        <v>4525.95</v>
      </c>
      <c r="AY100" s="2" t="n">
        <v>10968.75</v>
      </c>
      <c r="AZ100" s="2" t="n">
        <v>1131.15</v>
      </c>
      <c r="BA100" s="2" t="n">
        <v>39466.46000000001</v>
      </c>
      <c r="BB100" s="2" t="n">
        <v>29185.01</v>
      </c>
      <c r="BC100" s="2">
        <f>F100+L100+R100+X100+AD100+AJ100+AP100+AV100+IF(BE100="",0,BE100)</f>
        <v/>
      </c>
      <c r="BD100" s="2" t="n">
        <v>449.449154</v>
      </c>
      <c r="BE100" s="2" t="n"/>
      <c r="BF100" s="2" t="n">
        <v>36543.01851851852</v>
      </c>
      <c r="BG100" s="2" t="n">
        <v>1216.91</v>
      </c>
      <c r="BH100" s="2" t="n">
        <v>117</v>
      </c>
      <c r="BI100" s="2" t="n">
        <v>36187.5</v>
      </c>
      <c r="BJ100" s="2" t="n">
        <v>95.83216666666667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393.9976349999999</v>
      </c>
      <c r="BQ100" s="2" t="n">
        <v>0</v>
      </c>
      <c r="BR100" s="2" t="n">
        <v>38036.23980166667</v>
      </c>
      <c r="BS100" s="2" t="n">
        <v>801.8115</v>
      </c>
      <c r="BT100" s="2" t="n">
        <v>0</v>
      </c>
      <c r="BU100" s="2" t="n">
        <v>7688.810733333334</v>
      </c>
      <c r="BV100" s="2" t="n">
        <v>8490.622233333333</v>
      </c>
      <c r="BW100" s="2" t="n">
        <v>46526.86203500001</v>
      </c>
      <c r="BX100" s="2" t="n">
        <v>26944.63</v>
      </c>
      <c r="BY100" s="2" t="n">
        <v>2240.38</v>
      </c>
      <c r="BZ100" s="2" t="n">
        <v>10281.45</v>
      </c>
      <c r="CA100" s="2" t="n">
        <v>29185.01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1279</v>
      </c>
      <c r="B101" t="inlineStr">
        <is>
          <t>GDA-GL</t>
        </is>
      </c>
      <c r="C101" t="inlineStr">
        <is>
          <t>Gdańsk Brętowo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4336.129999999999</v>
      </c>
      <c r="AP101" s="2" t="n">
        <v>0</v>
      </c>
      <c r="AQ101" s="2" t="n">
        <v>4014.935185185184</v>
      </c>
      <c r="AR101" s="2" t="n">
        <v>378.41</v>
      </c>
      <c r="AS101" s="2" t="n">
        <v>3794.49</v>
      </c>
      <c r="AT101" s="2" t="n">
        <v>163.23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4336.129999999999</v>
      </c>
      <c r="BB101" s="2" t="n">
        <v>3957.72</v>
      </c>
      <c r="BC101" s="2">
        <f>F101+L101+R101+X101+AD101+AJ101+AP101+AV101+IF(BE101="",0,BE101)</f>
        <v/>
      </c>
      <c r="BD101" s="2" t="n">
        <v>60.948888</v>
      </c>
      <c r="BE101" s="2" t="n"/>
      <c r="BF101" s="2" t="n">
        <v>4014.935185185184</v>
      </c>
      <c r="BG101" s="2" t="n">
        <v>0</v>
      </c>
      <c r="BH101" s="2" t="n">
        <v>0</v>
      </c>
      <c r="BI101" s="2" t="n">
        <v>36187.5</v>
      </c>
      <c r="BJ101" s="2" t="n">
        <v>95.83216666666667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53.42921999999999</v>
      </c>
      <c r="BQ101" s="2" t="n">
        <v>0</v>
      </c>
      <c r="BR101" s="2" t="n">
        <v>36361.76138666667</v>
      </c>
      <c r="BS101" s="2" t="n">
        <v>801.8115</v>
      </c>
      <c r="BT101" s="2" t="n">
        <v>0</v>
      </c>
      <c r="BU101" s="2" t="n">
        <v>7422.028733333334</v>
      </c>
      <c r="BV101" s="2" t="n">
        <v>8223.840233333334</v>
      </c>
      <c r="BW101" s="2" t="n">
        <v>44585.60162</v>
      </c>
      <c r="BX101" s="2" t="n">
        <v>3794.49</v>
      </c>
      <c r="BY101" s="2" t="n">
        <v>163.23</v>
      </c>
      <c r="BZ101" s="2" t="n">
        <v>378.41</v>
      </c>
      <c r="CA101" s="2" t="n">
        <v>3957.72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1280</v>
      </c>
      <c r="B102" t="inlineStr">
        <is>
          <t>GRODZW</t>
        </is>
      </c>
      <c r="C102" t="inlineStr">
        <is>
          <t>Gdańsk Jasień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9147.050000000001</v>
      </c>
      <c r="AP102" s="2" t="n">
        <v>0</v>
      </c>
      <c r="AQ102" s="2" t="n">
        <v>8469.490740740741</v>
      </c>
      <c r="AR102" s="2" t="n">
        <v>1432.23</v>
      </c>
      <c r="AS102" s="2" t="n">
        <v>7453.22</v>
      </c>
      <c r="AT102" s="2" t="n">
        <v>261.6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9147.050000000001</v>
      </c>
      <c r="BB102" s="2" t="n">
        <v>7714.820000000001</v>
      </c>
      <c r="BC102" s="2">
        <f>F102+L102+R102+X102+AD102+AJ102+AP102+AV102+IF(BE102="",0,BE102)</f>
        <v/>
      </c>
      <c r="BD102" s="2" t="n">
        <v>118.808228</v>
      </c>
      <c r="BE102" s="2" t="n"/>
      <c r="BF102" s="2" t="n">
        <v>8469.490740740741</v>
      </c>
      <c r="BG102" s="2" t="n">
        <v>0</v>
      </c>
      <c r="BH102" s="2" t="n">
        <v>0</v>
      </c>
      <c r="BI102" s="2" t="n">
        <v>36187.5</v>
      </c>
      <c r="BJ102" s="2" t="n">
        <v>95.83216666666667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104.15007</v>
      </c>
      <c r="BQ102" s="2" t="n">
        <v>0</v>
      </c>
      <c r="BR102" s="2" t="n">
        <v>36412.48223666667</v>
      </c>
      <c r="BS102" s="2" t="n">
        <v>801.8115</v>
      </c>
      <c r="BT102" s="2" t="n">
        <v>0</v>
      </c>
      <c r="BU102" s="2" t="n">
        <v>7422.028733333334</v>
      </c>
      <c r="BV102" s="2" t="n">
        <v>8223.840233333334</v>
      </c>
      <c r="BW102" s="2" t="n">
        <v>44636.32247000001</v>
      </c>
      <c r="BX102" s="2" t="n">
        <v>7453.22</v>
      </c>
      <c r="BY102" s="2" t="n">
        <v>261.6</v>
      </c>
      <c r="BZ102" s="2" t="n">
        <v>1432.23</v>
      </c>
      <c r="CA102" s="2" t="n">
        <v>7714.820000000001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1281</v>
      </c>
      <c r="B103" t="inlineStr">
        <is>
          <t>GRANOW</t>
        </is>
      </c>
      <c r="C103" t="inlineStr">
        <is>
          <t>Gdańsk Kiełpinek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11793.81</v>
      </c>
      <c r="AP103" s="2" t="n">
        <v>0</v>
      </c>
      <c r="AQ103" s="2" t="n">
        <v>10920.19444444444</v>
      </c>
      <c r="AR103" s="2" t="n">
        <v>1665.98</v>
      </c>
      <c r="AS103" s="2" t="n">
        <v>9747.120000000001</v>
      </c>
      <c r="AT103" s="2" t="n">
        <v>380.71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11793.81</v>
      </c>
      <c r="BB103" s="2" t="n">
        <v>10127.83</v>
      </c>
      <c r="BC103" s="2">
        <f>F103+L103+R103+X103+AD103+AJ103+AP103+AV103+IF(BE103="",0,BE103)</f>
        <v/>
      </c>
      <c r="BD103" s="2" t="n">
        <v>155.968582</v>
      </c>
      <c r="BE103" s="2" t="n"/>
      <c r="BF103" s="2" t="n">
        <v>10920.19444444444</v>
      </c>
      <c r="BG103" s="2" t="n">
        <v>0</v>
      </c>
      <c r="BH103" s="2" t="n">
        <v>0</v>
      </c>
      <c r="BI103" s="2" t="n">
        <v>36187.5</v>
      </c>
      <c r="BJ103" s="2" t="n">
        <v>95.83216666666667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136.725705</v>
      </c>
      <c r="BQ103" s="2" t="n">
        <v>0</v>
      </c>
      <c r="BR103" s="2" t="n">
        <v>36445.05787166666</v>
      </c>
      <c r="BS103" s="2" t="n">
        <v>801.8115</v>
      </c>
      <c r="BT103" s="2" t="n">
        <v>0</v>
      </c>
      <c r="BU103" s="2" t="n">
        <v>7422.028733333334</v>
      </c>
      <c r="BV103" s="2" t="n">
        <v>8223.840233333334</v>
      </c>
      <c r="BW103" s="2" t="n">
        <v>44668.898105</v>
      </c>
      <c r="BX103" s="2" t="n">
        <v>9747.120000000001</v>
      </c>
      <c r="BY103" s="2" t="n">
        <v>380.71</v>
      </c>
      <c r="BZ103" s="2" t="n">
        <v>1665.98</v>
      </c>
      <c r="CA103" s="2" t="n">
        <v>10127.83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1282</v>
      </c>
      <c r="B104" t="inlineStr">
        <is>
          <t>STESZEW</t>
        </is>
      </c>
      <c r="C104" t="inlineStr">
        <is>
          <t>Gdańsk Port Lotniczy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39926.23</v>
      </c>
      <c r="AP104" s="2" t="n">
        <v>0</v>
      </c>
      <c r="AQ104" s="2" t="n">
        <v>36968.73148148147</v>
      </c>
      <c r="AR104" s="2" t="n">
        <v>4628.49</v>
      </c>
      <c r="AS104" s="2" t="n">
        <v>34342.97</v>
      </c>
      <c r="AT104" s="2" t="n">
        <v>954.77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39926.23</v>
      </c>
      <c r="BB104" s="2" t="n">
        <v>35297.74</v>
      </c>
      <c r="BC104" s="2">
        <f>F104+L104+R104+X104+AD104+AJ104+AP104+AV104+IF(BE104="",0,BE104)</f>
        <v/>
      </c>
      <c r="BD104" s="2" t="n">
        <v>543.585196</v>
      </c>
      <c r="BE104" s="2" t="n"/>
      <c r="BF104" s="2" t="n">
        <v>36968.73148148147</v>
      </c>
      <c r="BG104" s="2" t="n">
        <v>0</v>
      </c>
      <c r="BH104" s="2" t="n">
        <v>0</v>
      </c>
      <c r="BI104" s="2" t="n">
        <v>36187.5</v>
      </c>
      <c r="BJ104" s="2" t="n">
        <v>95.83216666666667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476.51949</v>
      </c>
      <c r="BQ104" s="2" t="n">
        <v>0</v>
      </c>
      <c r="BR104" s="2" t="n">
        <v>36784.85165666667</v>
      </c>
      <c r="BS104" s="2" t="n">
        <v>801.8115</v>
      </c>
      <c r="BT104" s="2" t="n">
        <v>0</v>
      </c>
      <c r="BU104" s="2" t="n">
        <v>7422.028733333334</v>
      </c>
      <c r="BV104" s="2" t="n">
        <v>8223.840233333334</v>
      </c>
      <c r="BW104" s="2" t="n">
        <v>45008.69189</v>
      </c>
      <c r="BX104" s="2" t="n">
        <v>34342.97</v>
      </c>
      <c r="BY104" s="2" t="n">
        <v>954.77</v>
      </c>
      <c r="BZ104" s="2" t="n">
        <v>4628.49</v>
      </c>
      <c r="CA104" s="2" t="n">
        <v>35297.74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1283</v>
      </c>
      <c r="B105" t="inlineStr">
        <is>
          <t>CZERWO</t>
        </is>
      </c>
      <c r="C105" t="inlineStr">
        <is>
          <t>Gdańsk Port Lotniczy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26216.43</v>
      </c>
      <c r="AP105" s="2" t="n">
        <v>0</v>
      </c>
      <c r="AQ105" s="2" t="n">
        <v>24274.47222222222</v>
      </c>
      <c r="AR105" s="2" t="n">
        <v>4854.34</v>
      </c>
      <c r="AS105" s="2" t="n">
        <v>20707.22</v>
      </c>
      <c r="AT105" s="2" t="n">
        <v>654.87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26216.43</v>
      </c>
      <c r="BB105" s="2" t="n">
        <v>21362.09</v>
      </c>
      <c r="BC105" s="2">
        <f>F105+L105+R105+X105+AD105+AJ105+AP105+AV105+IF(BE105="",0,BE105)</f>
        <v/>
      </c>
      <c r="BD105" s="2" t="n">
        <v>328.976186</v>
      </c>
      <c r="BE105" s="2" t="n"/>
      <c r="BF105" s="2" t="n">
        <v>24274.47222222222</v>
      </c>
      <c r="BG105" s="2" t="n">
        <v>0</v>
      </c>
      <c r="BH105" s="2" t="n">
        <v>0</v>
      </c>
      <c r="BI105" s="2" t="n">
        <v>36187.5</v>
      </c>
      <c r="BJ105" s="2" t="n">
        <v>95.83216666666667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288.388215</v>
      </c>
      <c r="BQ105" s="2" t="n">
        <v>0</v>
      </c>
      <c r="BR105" s="2" t="n">
        <v>36596.72038166667</v>
      </c>
      <c r="BS105" s="2" t="n">
        <v>801.8115</v>
      </c>
      <c r="BT105" s="2" t="n">
        <v>0</v>
      </c>
      <c r="BU105" s="2" t="n">
        <v>7422.028733333334</v>
      </c>
      <c r="BV105" s="2" t="n">
        <v>8223.840233333334</v>
      </c>
      <c r="BW105" s="2" t="n">
        <v>44820.560615</v>
      </c>
      <c r="BX105" s="2" t="n">
        <v>20707.22</v>
      </c>
      <c r="BY105" s="2" t="n">
        <v>654.87</v>
      </c>
      <c r="BZ105" s="2" t="n">
        <v>4854.34</v>
      </c>
      <c r="CA105" s="2" t="n">
        <v>21362.09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1284</v>
      </c>
      <c r="B106" t="inlineStr">
        <is>
          <t>OWINSK</t>
        </is>
      </c>
      <c r="C106" t="inlineStr">
        <is>
          <t>Gdańsk Rębiechowo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5140.57</v>
      </c>
      <c r="AP106" s="2" t="n">
        <v>0</v>
      </c>
      <c r="AQ106" s="2" t="n">
        <v>4759.787037037036</v>
      </c>
      <c r="AR106" s="2" t="n">
        <v>618.51</v>
      </c>
      <c r="AS106" s="2" t="n">
        <v>4451.19</v>
      </c>
      <c r="AT106" s="2" t="n">
        <v>70.87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5140.57</v>
      </c>
      <c r="BB106" s="2" t="n">
        <v>4522.059999999999</v>
      </c>
      <c r="BC106" s="2">
        <f>F106+L106+R106+X106+AD106+AJ106+AP106+AV106+IF(BE106="",0,BE106)</f>
        <v/>
      </c>
      <c r="BD106" s="2" t="n">
        <v>69.639724</v>
      </c>
      <c r="BE106" s="2" t="n"/>
      <c r="BF106" s="2" t="n">
        <v>4759.787037037036</v>
      </c>
      <c r="BG106" s="2" t="n">
        <v>0</v>
      </c>
      <c r="BH106" s="2" t="n">
        <v>0</v>
      </c>
      <c r="BI106" s="2" t="n">
        <v>36187.5</v>
      </c>
      <c r="BJ106" s="2" t="n">
        <v>95.83216666666667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61.04780999999999</v>
      </c>
      <c r="BQ106" s="2" t="n">
        <v>0</v>
      </c>
      <c r="BR106" s="2" t="n">
        <v>36369.37997666666</v>
      </c>
      <c r="BS106" s="2" t="n">
        <v>801.8115</v>
      </c>
      <c r="BT106" s="2" t="n">
        <v>0</v>
      </c>
      <c r="BU106" s="2" t="n">
        <v>7422.028733333334</v>
      </c>
      <c r="BV106" s="2" t="n">
        <v>8223.840233333334</v>
      </c>
      <c r="BW106" s="2" t="n">
        <v>44593.22021</v>
      </c>
      <c r="BX106" s="2" t="n">
        <v>4451.19</v>
      </c>
      <c r="BY106" s="2" t="n">
        <v>70.87</v>
      </c>
      <c r="BZ106" s="2" t="n">
        <v>618.51</v>
      </c>
      <c r="CA106" s="2" t="n">
        <v>4522.059999999999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1285</v>
      </c>
      <c r="B107" t="inlineStr">
        <is>
          <t>ZIELWZG</t>
        </is>
      </c>
      <c r="C107" t="inlineStr">
        <is>
          <t>Gdańsk Osowa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7197.820000000001</v>
      </c>
      <c r="AP107" s="2" t="n">
        <v>0</v>
      </c>
      <c r="AQ107" s="2" t="n">
        <v>6664.648148148149</v>
      </c>
      <c r="AR107" s="2" t="n">
        <v>1900.93</v>
      </c>
      <c r="AS107" s="2" t="n">
        <v>5053.09</v>
      </c>
      <c r="AT107" s="2" t="n">
        <v>243.8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7197.820000000001</v>
      </c>
      <c r="BB107" s="2" t="n">
        <v>5296.89</v>
      </c>
      <c r="BC107" s="2">
        <f>F107+L107+R107+X107+AD107+AJ107+AP107+AV107+IF(BE107="",0,BE107)</f>
        <v/>
      </c>
      <c r="BD107" s="2" t="n">
        <v>81.57210600000001</v>
      </c>
      <c r="BE107" s="2" t="n"/>
      <c r="BF107" s="2" t="n">
        <v>6664.648148148149</v>
      </c>
      <c r="BG107" s="2" t="n">
        <v>0</v>
      </c>
      <c r="BH107" s="2" t="n">
        <v>0</v>
      </c>
      <c r="BI107" s="2" t="n">
        <v>36187.5</v>
      </c>
      <c r="BJ107" s="2" t="n">
        <v>95.83216666666667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71.508015</v>
      </c>
      <c r="BQ107" s="2" t="n">
        <v>0</v>
      </c>
      <c r="BR107" s="2" t="n">
        <v>36379.84018166667</v>
      </c>
      <c r="BS107" s="2" t="n">
        <v>801.8115</v>
      </c>
      <c r="BT107" s="2" t="n">
        <v>0</v>
      </c>
      <c r="BU107" s="2" t="n">
        <v>7422.028733333334</v>
      </c>
      <c r="BV107" s="2" t="n">
        <v>8223.840233333334</v>
      </c>
      <c r="BW107" s="2" t="n">
        <v>44603.680415</v>
      </c>
      <c r="BX107" s="2" t="n">
        <v>5053.09</v>
      </c>
      <c r="BY107" s="2" t="n">
        <v>243.8</v>
      </c>
      <c r="BZ107" s="2" t="n">
        <v>1900.93</v>
      </c>
      <c r="CA107" s="2" t="n">
        <v>5296.89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1286</v>
      </c>
      <c r="B108" t="inlineStr">
        <is>
          <t>Dworcowa 2, 61-801 Poznań</t>
        </is>
      </c>
      <c r="C108" t="inlineStr">
        <is>
          <t>Poznań Główny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10251.62</v>
      </c>
      <c r="L108" s="2" t="n">
        <v>853.3524425925926</v>
      </c>
      <c r="M108" s="2" t="n">
        <v>9492.240740740741</v>
      </c>
      <c r="N108" s="2" t="n">
        <v>687.9299999999999</v>
      </c>
      <c r="O108" s="2" t="n">
        <v>8504.870000000001</v>
      </c>
      <c r="P108" s="2" t="n">
        <v>1058.82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12781.21</v>
      </c>
      <c r="AD108" s="2" t="n">
        <v>816.5773055555555</v>
      </c>
      <c r="AE108" s="2" t="n">
        <v>11834.4537037037</v>
      </c>
      <c r="AF108" s="2" t="n">
        <v>956.5599999999999</v>
      </c>
      <c r="AG108" s="2" t="n">
        <v>10701.72</v>
      </c>
      <c r="AH108" s="2" t="n">
        <v>1122.93</v>
      </c>
      <c r="AI108" s="2" t="n">
        <v>58.7</v>
      </c>
      <c r="AJ108" s="2" t="n">
        <v>4.076388888888888</v>
      </c>
      <c r="AK108" s="2" t="n">
        <v>54.35185185185185</v>
      </c>
      <c r="AL108" s="2" t="n">
        <v>0</v>
      </c>
      <c r="AM108" s="2" t="n">
        <v>58.7</v>
      </c>
      <c r="AN108" s="2" t="n">
        <v>0</v>
      </c>
      <c r="AO108" s="2" t="n">
        <v>4521.009999999999</v>
      </c>
      <c r="AP108" s="2" t="n">
        <v>330.7035092592592</v>
      </c>
      <c r="AQ108" s="2" t="n">
        <v>4186.12037037037</v>
      </c>
      <c r="AR108" s="2" t="n">
        <v>192.71</v>
      </c>
      <c r="AS108" s="2" t="n">
        <v>4232.94</v>
      </c>
      <c r="AT108" s="2" t="n">
        <v>95.36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27612.54</v>
      </c>
      <c r="BB108" s="2" t="n">
        <v>25775.34</v>
      </c>
      <c r="BC108" s="2">
        <f>F108+L108+R108+X108+AD108+AJ108+AP108+AV108+IF(BE108="",0,BE108)</f>
        <v/>
      </c>
      <c r="BD108" s="2" t="n">
        <v>396.940236</v>
      </c>
      <c r="BE108" s="2" t="n"/>
      <c r="BF108" s="2" t="n">
        <v>25567.16666666666</v>
      </c>
      <c r="BG108" s="2" t="n">
        <v>458.58</v>
      </c>
      <c r="BH108" s="2" t="n">
        <v>0</v>
      </c>
      <c r="BI108" s="2" t="n">
        <v>29183.46774193548</v>
      </c>
      <c r="BJ108" s="2" t="n">
        <v>95.83216666666667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347.9670899999999</v>
      </c>
      <c r="BQ108" s="2" t="n">
        <v>0</v>
      </c>
      <c r="BR108" s="2" t="n">
        <v>30110.84699860215</v>
      </c>
      <c r="BS108" s="2" t="n">
        <v>801.8115</v>
      </c>
      <c r="BT108" s="2" t="n">
        <v>0</v>
      </c>
      <c r="BU108" s="2" t="n">
        <v>6112.93828172043</v>
      </c>
      <c r="BV108" s="2" t="n">
        <v>6914.74978172043</v>
      </c>
      <c r="BW108" s="2" t="n">
        <v>37025.59678032258</v>
      </c>
      <c r="BX108" s="2" t="n">
        <v>23498.23</v>
      </c>
      <c r="BY108" s="2" t="n">
        <v>2277.11</v>
      </c>
      <c r="BZ108" s="2" t="n">
        <v>1837.2</v>
      </c>
      <c r="CA108" s="2" t="n">
        <v>25775.34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1287</v>
      </c>
      <c r="B109" t="inlineStr">
        <is>
          <t>Kościuszki 54, 82-500 Kwidzyn</t>
        </is>
      </c>
      <c r="C109" t="inlineStr">
        <is>
          <t>Kwidzyn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4374.93</v>
      </c>
      <c r="AP109" s="2" t="n">
        <v>4060</v>
      </c>
      <c r="AQ109" s="2" t="n">
        <v>4050.861111111111</v>
      </c>
      <c r="AR109" s="2" t="n">
        <v>0</v>
      </c>
      <c r="AS109" s="2" t="n">
        <v>4186.43</v>
      </c>
      <c r="AT109" s="2" t="n">
        <v>188.5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4374.93</v>
      </c>
      <c r="BB109" s="2" t="n">
        <v>4374.93</v>
      </c>
      <c r="BC109" s="2">
        <f>F109+L109+R109+X109+AD109+AJ109+AP109+AV109+IF(BE109="",0,BE109)</f>
        <v/>
      </c>
      <c r="BD109" s="2" t="n">
        <v>67.37392200000001</v>
      </c>
      <c r="BE109" s="2" t="n"/>
      <c r="BF109" s="2" t="n">
        <v>4050.861111111111</v>
      </c>
      <c r="BG109" s="2" t="n">
        <v>0</v>
      </c>
      <c r="BH109" s="2" t="n">
        <v>0</v>
      </c>
      <c r="BI109" s="2" t="n">
        <v>36187.5</v>
      </c>
      <c r="BJ109" s="2" t="n">
        <v>95.83216666666667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59.06155500000001</v>
      </c>
      <c r="BQ109" s="2" t="n">
        <v>0</v>
      </c>
      <c r="BR109" s="2" t="n">
        <v>36367.39372166667</v>
      </c>
      <c r="BS109" s="2" t="n">
        <v>801.8115</v>
      </c>
      <c r="BT109" s="2" t="n">
        <v>0</v>
      </c>
      <c r="BU109" s="2" t="n">
        <v>7422.028733333334</v>
      </c>
      <c r="BV109" s="2" t="n">
        <v>8223.840233333334</v>
      </c>
      <c r="BW109" s="2" t="n">
        <v>44591.233955</v>
      </c>
      <c r="BX109" s="2" t="n">
        <v>4186.43</v>
      </c>
      <c r="BY109" s="2" t="n">
        <v>188.5</v>
      </c>
      <c r="BZ109" s="2" t="n">
        <v>0</v>
      </c>
      <c r="CA109" s="2" t="n">
        <v>4374.93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1288</v>
      </c>
      <c r="B110" t="inlineStr">
        <is>
          <t>Ks. Stefańskiego 6, 84-140 Jastarnia</t>
        </is>
      </c>
      <c r="C110" t="inlineStr">
        <is>
          <t>Jastania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27647.29</v>
      </c>
      <c r="AP110" s="2" t="n">
        <v>4494</v>
      </c>
      <c r="AQ110" s="2" t="n">
        <v>25599.34259259259</v>
      </c>
      <c r="AR110" s="2" t="n">
        <v>0</v>
      </c>
      <c r="AS110" s="2" t="n">
        <v>23848.19</v>
      </c>
      <c r="AT110" s="2" t="n">
        <v>3799.1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27647.29</v>
      </c>
      <c r="BB110" s="2" t="n">
        <v>27647.29</v>
      </c>
      <c r="BC110" s="2">
        <f>F110+L110+R110+X110+AD110+AJ110+AP110+AV110+IF(BE110="",0,BE110)</f>
        <v/>
      </c>
      <c r="BD110" s="2" t="n">
        <v>425.768266</v>
      </c>
      <c r="BE110" s="2" t="n"/>
      <c r="BF110" s="2" t="n">
        <v>25599.34259259259</v>
      </c>
      <c r="BG110" s="2" t="n">
        <v>0</v>
      </c>
      <c r="BH110" s="2" t="n">
        <v>0</v>
      </c>
      <c r="BI110" s="2" t="n">
        <v>36187.5</v>
      </c>
      <c r="BJ110" s="2" t="n">
        <v>95.83216666666667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373.238415</v>
      </c>
      <c r="BQ110" s="2" t="n">
        <v>0</v>
      </c>
      <c r="BR110" s="2" t="n">
        <v>36681.57058166667</v>
      </c>
      <c r="BS110" s="2" t="n">
        <v>801.8115</v>
      </c>
      <c r="BT110" s="2" t="n">
        <v>0</v>
      </c>
      <c r="BU110" s="2" t="n">
        <v>7422.028733333334</v>
      </c>
      <c r="BV110" s="2" t="n">
        <v>8223.840233333334</v>
      </c>
      <c r="BW110" s="2" t="n">
        <v>44905.410815</v>
      </c>
      <c r="BX110" s="2" t="n">
        <v>23848.19</v>
      </c>
      <c r="BY110" s="2" t="n">
        <v>3799.1</v>
      </c>
      <c r="BZ110" s="2" t="n">
        <v>0</v>
      </c>
      <c r="CA110" s="2" t="n">
        <v>27647.29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1289</v>
      </c>
      <c r="B111" t="inlineStr">
        <is>
          <t>Dworcowa 1, 84-150 Hel</t>
        </is>
      </c>
      <c r="C111" t="inlineStr">
        <is>
          <t>Hel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26775.82</v>
      </c>
      <c r="AP111" s="2" t="n">
        <v>4494</v>
      </c>
      <c r="AQ111" s="2" t="n">
        <v>24792.42592592592</v>
      </c>
      <c r="AR111" s="2" t="n">
        <v>0</v>
      </c>
      <c r="AS111" s="2" t="n">
        <v>22961.34</v>
      </c>
      <c r="AT111" s="2" t="n">
        <v>3814.48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26775.82</v>
      </c>
      <c r="BB111" s="2" t="n">
        <v>26775.82</v>
      </c>
      <c r="BC111" s="2">
        <f>F111+L111+R111+X111+AD111+AJ111+AP111+AV111+IF(BE111="",0,BE111)</f>
        <v/>
      </c>
      <c r="BD111" s="2" t="n">
        <v>412.347628</v>
      </c>
      <c r="BE111" s="2" t="n"/>
      <c r="BF111" s="2" t="n">
        <v>24792.42592592592</v>
      </c>
      <c r="BG111" s="2" t="n">
        <v>0</v>
      </c>
      <c r="BH111" s="2" t="n">
        <v>0</v>
      </c>
      <c r="BI111" s="2" t="n">
        <v>36187.5</v>
      </c>
      <c r="BJ111" s="2" t="n">
        <v>95.83216666666667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361.47357</v>
      </c>
      <c r="BQ111" s="2" t="n">
        <v>0</v>
      </c>
      <c r="BR111" s="2" t="n">
        <v>36669.80573666667</v>
      </c>
      <c r="BS111" s="2" t="n">
        <v>801.8115</v>
      </c>
      <c r="BT111" s="2" t="n">
        <v>0</v>
      </c>
      <c r="BU111" s="2" t="n">
        <v>7422.028733333334</v>
      </c>
      <c r="BV111" s="2" t="n">
        <v>8223.840233333334</v>
      </c>
      <c r="BW111" s="2" t="n">
        <v>44893.64597000001</v>
      </c>
      <c r="BX111" s="2" t="n">
        <v>22961.34</v>
      </c>
      <c r="BY111" s="2" t="n">
        <v>3814.48</v>
      </c>
      <c r="BZ111" s="2" t="n">
        <v>0</v>
      </c>
      <c r="CA111" s="2" t="n">
        <v>26775.82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1290</v>
      </c>
      <c r="B112" t="inlineStr">
        <is>
          <t>Kolumba 2, 70-035 Szczecin</t>
        </is>
      </c>
      <c r="C112" t="inlineStr">
        <is>
          <t>Szczecin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16791.69</v>
      </c>
      <c r="L112" s="2" t="n">
        <v>1397.752713888889</v>
      </c>
      <c r="M112" s="2" t="n">
        <v>15547.86111111111</v>
      </c>
      <c r="N112" s="2" t="n">
        <v>4681.22</v>
      </c>
      <c r="O112" s="2" t="n">
        <v>10735.47</v>
      </c>
      <c r="P112" s="2" t="n">
        <v>1375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36014.43</v>
      </c>
      <c r="AP112" s="2" t="n">
        <v>2634.388861111111</v>
      </c>
      <c r="AQ112" s="2" t="n">
        <v>33346.69444444445</v>
      </c>
      <c r="AR112" s="2" t="n">
        <v>9494.41</v>
      </c>
      <c r="AS112" s="2" t="n">
        <v>23618.24</v>
      </c>
      <c r="AT112" s="2" t="n">
        <v>2901.78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52806.12</v>
      </c>
      <c r="BB112" s="2" t="n">
        <v>38630.49</v>
      </c>
      <c r="BC112" s="2">
        <f>F112+L112+R112+X112+AD112+AJ112+AP112+AV112+IF(BE112="",0,BE112)</f>
        <v/>
      </c>
      <c r="BD112" s="2" t="n">
        <v>594.9095460000001</v>
      </c>
      <c r="BE112" s="2" t="n"/>
      <c r="BF112" s="2" t="n">
        <v>48894.55555555555</v>
      </c>
      <c r="BG112" s="2" t="n">
        <v>1387.63</v>
      </c>
      <c r="BH112" s="2" t="n">
        <v>177.6</v>
      </c>
      <c r="BI112" s="2" t="n">
        <v>36187.5</v>
      </c>
      <c r="BJ112" s="2" t="n">
        <v>95.83216666666667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521.511615</v>
      </c>
      <c r="BQ112" s="2" t="n">
        <v>0</v>
      </c>
      <c r="BR112" s="2" t="n">
        <v>38395.07378166667</v>
      </c>
      <c r="BS112" s="2" t="n">
        <v>801.8115</v>
      </c>
      <c r="BT112" s="2" t="n">
        <v>0</v>
      </c>
      <c r="BU112" s="2" t="n">
        <v>7735.074733333335</v>
      </c>
      <c r="BV112" s="2" t="n">
        <v>8536.886233333335</v>
      </c>
      <c r="BW112" s="2" t="n">
        <v>46931.960015</v>
      </c>
      <c r="BX112" s="2" t="n">
        <v>34353.71</v>
      </c>
      <c r="BY112" s="2" t="n">
        <v>4276.780000000001</v>
      </c>
      <c r="BZ112" s="2" t="n">
        <v>14175.63</v>
      </c>
      <c r="CA112" s="2" t="n">
        <v>38630.49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1291</v>
      </c>
      <c r="B113" t="inlineStr">
        <is>
          <t>pl. Dworcowy 1, 82-300 Elbląg</t>
        </is>
      </c>
      <c r="C113" t="inlineStr">
        <is>
          <t>Elbląg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9950.790000000001</v>
      </c>
      <c r="L113" s="2" t="n">
        <v>828.3111305555557</v>
      </c>
      <c r="M113" s="2" t="n">
        <v>9213.694444444445</v>
      </c>
      <c r="N113" s="2" t="n">
        <v>1622.62</v>
      </c>
      <c r="O113" s="2" t="n">
        <v>7966.06</v>
      </c>
      <c r="P113" s="2" t="n">
        <v>362.11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22462</v>
      </c>
      <c r="AP113" s="2" t="n">
        <v>1643.053703703704</v>
      </c>
      <c r="AQ113" s="2" t="n">
        <v>20798.14814814815</v>
      </c>
      <c r="AR113" s="2" t="n">
        <v>5668.83</v>
      </c>
      <c r="AS113" s="2" t="n">
        <v>15931.12</v>
      </c>
      <c r="AT113" s="2" t="n">
        <v>862.05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32412.79</v>
      </c>
      <c r="BB113" s="2" t="n">
        <v>25121.34</v>
      </c>
      <c r="BC113" s="2">
        <f>F113+L113+R113+X113+AD113+AJ113+AP113+AV113+IF(BE113="",0,BE113)</f>
        <v/>
      </c>
      <c r="BD113" s="2" t="n">
        <v>386.868636</v>
      </c>
      <c r="BE113" s="2" t="n"/>
      <c r="BF113" s="2" t="n">
        <v>30011.84259259259</v>
      </c>
      <c r="BG113" s="2" t="n">
        <v>372.81</v>
      </c>
      <c r="BH113" s="2" t="n">
        <v>372.81</v>
      </c>
      <c r="BI113" s="2" t="n">
        <v>36187.5</v>
      </c>
      <c r="BJ113" s="2" t="n">
        <v>95.83216666666667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339.13809</v>
      </c>
      <c r="BQ113" s="2" t="n">
        <v>0</v>
      </c>
      <c r="BR113" s="2" t="n">
        <v>37393.09025666667</v>
      </c>
      <c r="BS113" s="2" t="n">
        <v>801.8115</v>
      </c>
      <c r="BT113" s="2" t="n">
        <v>0</v>
      </c>
      <c r="BU113" s="2" t="n">
        <v>7571.152733333335</v>
      </c>
      <c r="BV113" s="2" t="n">
        <v>8372.964233333336</v>
      </c>
      <c r="BW113" s="2" t="n">
        <v>45766.05449000001</v>
      </c>
      <c r="BX113" s="2" t="n">
        <v>23897.18</v>
      </c>
      <c r="BY113" s="2" t="n">
        <v>1224.16</v>
      </c>
      <c r="BZ113" s="2" t="n">
        <v>7291.45</v>
      </c>
      <c r="CA113" s="2" t="n">
        <v>25121.34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1292</v>
      </c>
      <c r="B114" t="inlineStr">
        <is>
          <t>Dworcowa 8A, 84-310 Lębork</t>
        </is>
      </c>
      <c r="C114" t="inlineStr">
        <is>
          <t>Lębork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6444.309999999999</v>
      </c>
      <c r="L114" s="2" t="n">
        <v>536.429137962963</v>
      </c>
      <c r="M114" s="2" t="n">
        <v>5966.953703703703</v>
      </c>
      <c r="N114" s="2" t="n">
        <v>2277.21</v>
      </c>
      <c r="O114" s="2" t="n">
        <v>3466.35</v>
      </c>
      <c r="P114" s="2" t="n">
        <v>700.75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10716.72</v>
      </c>
      <c r="AP114" s="2" t="n">
        <v>4127</v>
      </c>
      <c r="AQ114" s="2" t="n">
        <v>9922.888888888889</v>
      </c>
      <c r="AR114" s="2" t="n">
        <v>4880.3</v>
      </c>
      <c r="AS114" s="2" t="n">
        <v>5247.14</v>
      </c>
      <c r="AT114" s="2" t="n">
        <v>589.28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17161.03</v>
      </c>
      <c r="BB114" s="2" t="n">
        <v>10003.52</v>
      </c>
      <c r="BC114" s="2">
        <f>F114+L114+R114+X114+AD114+AJ114+AP114+AV114+IF(BE114="",0,BE114)</f>
        <v/>
      </c>
      <c r="BD114" s="2" t="n">
        <v>154.054208</v>
      </c>
      <c r="BE114" s="2" t="n"/>
      <c r="BF114" s="2" t="n">
        <v>15889.84259259259</v>
      </c>
      <c r="BG114" s="2" t="n">
        <v>0</v>
      </c>
      <c r="BH114" s="2" t="n">
        <v>0</v>
      </c>
      <c r="BI114" s="2" t="n">
        <v>36187.5</v>
      </c>
      <c r="BJ114" s="2" t="n">
        <v>95.83216666666667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135.04752</v>
      </c>
      <c r="BQ114" s="2" t="n">
        <v>0</v>
      </c>
      <c r="BR114" s="2" t="n">
        <v>36443.37968666667</v>
      </c>
      <c r="BS114" s="2" t="n">
        <v>801.8115</v>
      </c>
      <c r="BT114" s="2" t="n">
        <v>0</v>
      </c>
      <c r="BU114" s="2" t="n">
        <v>7422.028733333334</v>
      </c>
      <c r="BV114" s="2" t="n">
        <v>8223.840233333334</v>
      </c>
      <c r="BW114" s="2" t="n">
        <v>44667.21992</v>
      </c>
      <c r="BX114" s="2" t="n">
        <v>8713.49</v>
      </c>
      <c r="BY114" s="2" t="n">
        <v>1290.03</v>
      </c>
      <c r="BZ114" s="2" t="n">
        <v>7157.51</v>
      </c>
      <c r="CA114" s="2" t="n">
        <v>10003.52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1293</v>
      </c>
      <c r="B115" t="inlineStr">
        <is>
          <t>Dworcowa 10, 84-100 Puck</t>
        </is>
      </c>
      <c r="C115" t="inlineStr">
        <is>
          <t>Puck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186.87</v>
      </c>
      <c r="L115" s="2" t="n">
        <v>15.55519722222222</v>
      </c>
      <c r="M115" s="2" t="n">
        <v>173.0277777777778</v>
      </c>
      <c r="N115" s="2" t="n">
        <v>90.87</v>
      </c>
      <c r="O115" s="2" t="n">
        <v>58</v>
      </c>
      <c r="P115" s="2" t="n">
        <v>38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9361.059999999999</v>
      </c>
      <c r="AP115" s="2" t="n">
        <v>4227</v>
      </c>
      <c r="AQ115" s="2" t="n">
        <v>8667.648148148148</v>
      </c>
      <c r="AR115" s="2" t="n">
        <v>2423.24</v>
      </c>
      <c r="AS115" s="2" t="n">
        <v>6376</v>
      </c>
      <c r="AT115" s="2" t="n">
        <v>561.8200000000001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9547.93</v>
      </c>
      <c r="BB115" s="2" t="n">
        <v>7033.82</v>
      </c>
      <c r="BC115" s="2">
        <f>F115+L115+R115+X115+AD115+AJ115+AP115+AV115+IF(BE115="",0,BE115)</f>
        <v/>
      </c>
      <c r="BD115" s="2" t="n">
        <v>108.320828</v>
      </c>
      <c r="BE115" s="2" t="n"/>
      <c r="BF115" s="2" t="n">
        <v>8840.675925925925</v>
      </c>
      <c r="BG115" s="2" t="n">
        <v>0</v>
      </c>
      <c r="BH115" s="2" t="n">
        <v>0</v>
      </c>
      <c r="BI115" s="2" t="n">
        <v>14008.06451612903</v>
      </c>
      <c r="BJ115" s="2" t="n">
        <v>95.83216666666667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94.95657</v>
      </c>
      <c r="BQ115" s="2" t="n">
        <v>0</v>
      </c>
      <c r="BR115" s="2" t="n">
        <v>14223.8532527957</v>
      </c>
      <c r="BS115" s="2" t="n">
        <v>801.8115</v>
      </c>
      <c r="BT115" s="2" t="n">
        <v>0</v>
      </c>
      <c r="BU115" s="2" t="n">
        <v>2986.14163655914</v>
      </c>
      <c r="BV115" s="2" t="n">
        <v>3787.95313655914</v>
      </c>
      <c r="BW115" s="2" t="n">
        <v>18011.80638935484</v>
      </c>
      <c r="BX115" s="2" t="n">
        <v>6434</v>
      </c>
      <c r="BY115" s="2" t="n">
        <v>599.8200000000001</v>
      </c>
      <c r="BZ115" s="2" t="n">
        <v>2514.11</v>
      </c>
      <c r="CA115" s="2" t="n">
        <v>7033.82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1294</v>
      </c>
      <c r="B116" t="inlineStr">
        <is>
          <t>Plac Dworcowy 3, 49-300 Brzeg</t>
        </is>
      </c>
      <c r="C116" t="inlineStr">
        <is>
          <t>Brzeg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14824.06</v>
      </c>
      <c r="L116" s="2" t="n">
        <v>1233.965735185185</v>
      </c>
      <c r="M116" s="2" t="n">
        <v>13725.98148148148</v>
      </c>
      <c r="N116" s="2" t="n">
        <v>2021.52</v>
      </c>
      <c r="O116" s="2" t="n">
        <v>11929.27</v>
      </c>
      <c r="P116" s="2" t="n">
        <v>873.27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21919.49</v>
      </c>
      <c r="AP116" s="2" t="n">
        <v>1603.370101851852</v>
      </c>
      <c r="AQ116" s="2" t="n">
        <v>20295.82407407407</v>
      </c>
      <c r="AR116" s="2" t="n">
        <v>3838.86</v>
      </c>
      <c r="AS116" s="2" t="n">
        <v>17420.15</v>
      </c>
      <c r="AT116" s="2" t="n">
        <v>660.48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36743.55</v>
      </c>
      <c r="BB116" s="2" t="n">
        <v>30883.17</v>
      </c>
      <c r="BC116" s="2">
        <f>F116+L116+R116+X116+AD116+AJ116+AP116+AV116+IF(BE116="",0,BE116)</f>
        <v/>
      </c>
      <c r="BD116" s="2" t="n">
        <v>475.600818</v>
      </c>
      <c r="BE116" s="2" t="n"/>
      <c r="BF116" s="2" t="n">
        <v>34021.80555555555</v>
      </c>
      <c r="BG116" s="2" t="n">
        <v>0</v>
      </c>
      <c r="BH116" s="2" t="n">
        <v>219.2</v>
      </c>
      <c r="BI116" s="2" t="n">
        <v>36187.5</v>
      </c>
      <c r="BJ116" s="2" t="n">
        <v>95.83216666666667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416.922795</v>
      </c>
      <c r="BQ116" s="2" t="n">
        <v>0</v>
      </c>
      <c r="BR116" s="2" t="n">
        <v>36944.45496166666</v>
      </c>
      <c r="BS116" s="2" t="n">
        <v>801.8115</v>
      </c>
      <c r="BT116" s="2" t="n">
        <v>0</v>
      </c>
      <c r="BU116" s="2" t="n">
        <v>7465.868733333334</v>
      </c>
      <c r="BV116" s="2" t="n">
        <v>8267.680233333334</v>
      </c>
      <c r="BW116" s="2" t="n">
        <v>45212.135195</v>
      </c>
      <c r="BX116" s="2" t="n">
        <v>29349.42</v>
      </c>
      <c r="BY116" s="2" t="n">
        <v>1533.75</v>
      </c>
      <c r="BZ116" s="2" t="n">
        <v>5860.38</v>
      </c>
      <c r="CA116" s="2" t="n">
        <v>30883.17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1295</v>
      </c>
      <c r="B117" t="inlineStr">
        <is>
          <t>Zygmunta Starego 1, 64-920 Piła</t>
        </is>
      </c>
      <c r="C117" t="inlineStr">
        <is>
          <t>Piła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7244.37</v>
      </c>
      <c r="L117" s="2" t="n">
        <v>603.0267249999999</v>
      </c>
      <c r="M117" s="2" t="n">
        <v>6707.749999999999</v>
      </c>
      <c r="N117" s="2" t="n">
        <v>1811.2</v>
      </c>
      <c r="O117" s="2" t="n">
        <v>4954.29</v>
      </c>
      <c r="P117" s="2" t="n">
        <v>478.88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5127.690000000001</v>
      </c>
      <c r="AD117" s="2" t="n">
        <v>327.6024166666667</v>
      </c>
      <c r="AE117" s="2" t="n">
        <v>4747.861111111111</v>
      </c>
      <c r="AF117" s="2" t="n">
        <v>1228.37</v>
      </c>
      <c r="AG117" s="2" t="n">
        <v>3357.63</v>
      </c>
      <c r="AH117" s="2" t="n">
        <v>541.6900000000001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15456.88</v>
      </c>
      <c r="AP117" s="2" t="n">
        <v>1130.642148148148</v>
      </c>
      <c r="AQ117" s="2" t="n">
        <v>14311.92592592593</v>
      </c>
      <c r="AR117" s="2" t="n">
        <v>3971.25</v>
      </c>
      <c r="AS117" s="2" t="n">
        <v>10771.86</v>
      </c>
      <c r="AT117" s="2" t="n">
        <v>713.77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27828.94</v>
      </c>
      <c r="BB117" s="2" t="n">
        <v>20818.12</v>
      </c>
      <c r="BC117" s="2">
        <f>F117+L117+R117+X117+AD117+AJ117+AP117+AV117+IF(BE117="",0,BE117)</f>
        <v/>
      </c>
      <c r="BD117" s="2" t="n">
        <v>320.599048</v>
      </c>
      <c r="BE117" s="2" t="n"/>
      <c r="BF117" s="2" t="n">
        <v>25767.53703703704</v>
      </c>
      <c r="BG117" s="2" t="n">
        <v>0</v>
      </c>
      <c r="BH117" s="2" t="n">
        <v>0</v>
      </c>
      <c r="BI117" s="2" t="n">
        <v>36187.5</v>
      </c>
      <c r="BJ117" s="2" t="n">
        <v>95.83216666666667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281.04462</v>
      </c>
      <c r="BQ117" s="2" t="n">
        <v>0</v>
      </c>
      <c r="BR117" s="2" t="n">
        <v>36589.37678666667</v>
      </c>
      <c r="BS117" s="2" t="n">
        <v>801.8115</v>
      </c>
      <c r="BT117" s="2" t="n">
        <v>0</v>
      </c>
      <c r="BU117" s="2" t="n">
        <v>7422.028733333334</v>
      </c>
      <c r="BV117" s="2" t="n">
        <v>8223.840233333334</v>
      </c>
      <c r="BW117" s="2" t="n">
        <v>44813.21702</v>
      </c>
      <c r="BX117" s="2" t="n">
        <v>19083.78</v>
      </c>
      <c r="BY117" s="2" t="n">
        <v>1734.34</v>
      </c>
      <c r="BZ117" s="2" t="n">
        <v>7010.82</v>
      </c>
      <c r="CA117" s="2" t="n">
        <v>20818.12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1296</v>
      </c>
      <c r="B118" t="inlineStr">
        <is>
          <t>Dworcowa 2, 61-801 Poznań</t>
        </is>
      </c>
      <c r="C118" t="inlineStr">
        <is>
          <t>Poznań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18844.74</v>
      </c>
      <c r="L118" s="2" t="n">
        <v>1568.650116666667</v>
      </c>
      <c r="M118" s="2" t="n">
        <v>17448.83333333333</v>
      </c>
      <c r="N118" s="2" t="n">
        <v>2736.53</v>
      </c>
      <c r="O118" s="2" t="n">
        <v>15481.06</v>
      </c>
      <c r="P118" s="2" t="n">
        <v>627.15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26068.81</v>
      </c>
      <c r="AD118" s="2" t="n">
        <v>1665.507305555555</v>
      </c>
      <c r="AE118" s="2" t="n">
        <v>24137.78703703703</v>
      </c>
      <c r="AF118" s="2" t="n">
        <v>4703.53</v>
      </c>
      <c r="AG118" s="2" t="n">
        <v>20066.75</v>
      </c>
      <c r="AH118" s="2" t="n">
        <v>1298.53</v>
      </c>
      <c r="AI118" s="2" t="n">
        <v>5.6</v>
      </c>
      <c r="AJ118" s="2" t="n">
        <v>0.3888888888888888</v>
      </c>
      <c r="AK118" s="2" t="n">
        <v>5.185185185185184</v>
      </c>
      <c r="AL118" s="2" t="n">
        <v>5.6</v>
      </c>
      <c r="AM118" s="2" t="n">
        <v>0</v>
      </c>
      <c r="AN118" s="2" t="n">
        <v>0</v>
      </c>
      <c r="AO118" s="2" t="n">
        <v>7687.99</v>
      </c>
      <c r="AP118" s="2" t="n">
        <v>562.3622314814814</v>
      </c>
      <c r="AQ118" s="2" t="n">
        <v>7118.509259259258</v>
      </c>
      <c r="AR118" s="2" t="n">
        <v>1450.85</v>
      </c>
      <c r="AS118" s="2" t="n">
        <v>5842.9</v>
      </c>
      <c r="AT118" s="2" t="n">
        <v>394.24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52607.14</v>
      </c>
      <c r="BB118" s="2" t="n">
        <v>43710.63</v>
      </c>
      <c r="BC118" s="2">
        <f>F118+L118+R118+X118+AD118+AJ118+AP118+AV118+IF(BE118="",0,BE118)</f>
        <v/>
      </c>
      <c r="BD118" s="2" t="n">
        <v>673.143702</v>
      </c>
      <c r="BE118" s="2" t="n"/>
      <c r="BF118" s="2" t="n">
        <v>48710.3148148148</v>
      </c>
      <c r="BG118" s="2" t="n">
        <v>458.58</v>
      </c>
      <c r="BH118" s="2" t="n">
        <v>0</v>
      </c>
      <c r="BI118" s="2" t="n">
        <v>32685.48387096774</v>
      </c>
      <c r="BJ118" s="2" t="n">
        <v>95.83216666666667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590.0935049999999</v>
      </c>
      <c r="BQ118" s="2" t="n">
        <v>0</v>
      </c>
      <c r="BR118" s="2" t="n">
        <v>33854.98954263441</v>
      </c>
      <c r="BS118" s="2" t="n">
        <v>801.8115</v>
      </c>
      <c r="BT118" s="2" t="n">
        <v>0</v>
      </c>
      <c r="BU118" s="2" t="n">
        <v>6813.341507526883</v>
      </c>
      <c r="BV118" s="2" t="n">
        <v>7615.153007526883</v>
      </c>
      <c r="BW118" s="2" t="n">
        <v>41470.14255016129</v>
      </c>
      <c r="BX118" s="2" t="n">
        <v>41390.71</v>
      </c>
      <c r="BY118" s="2" t="n">
        <v>2319.92</v>
      </c>
      <c r="BZ118" s="2" t="n">
        <v>8896.51</v>
      </c>
      <c r="CA118" s="2" t="n">
        <v>43710.63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1297</v>
      </c>
      <c r="B119" t="inlineStr">
        <is>
          <t>Dworcowa 2, 61-801 Poznań</t>
        </is>
      </c>
      <c r="C119" t="inlineStr">
        <is>
          <t>Poznań Główny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7570.54</v>
      </c>
      <c r="L119" s="2" t="n">
        <v>630.1773574074075</v>
      </c>
      <c r="M119" s="2" t="n">
        <v>7009.759259259259</v>
      </c>
      <c r="N119" s="2" t="n">
        <v>1963.05</v>
      </c>
      <c r="O119" s="2" t="n">
        <v>4353.86</v>
      </c>
      <c r="P119" s="2" t="n">
        <v>1253.63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7874.75</v>
      </c>
      <c r="AD119" s="2" t="n">
        <v>503.1090277777778</v>
      </c>
      <c r="AE119" s="2" t="n">
        <v>7291.435185185184</v>
      </c>
      <c r="AF119" s="2" t="n">
        <v>1859.42</v>
      </c>
      <c r="AG119" s="2" t="n">
        <v>4558.02</v>
      </c>
      <c r="AH119" s="2" t="n">
        <v>1457.31</v>
      </c>
      <c r="AI119" s="2" t="n">
        <v>26.3</v>
      </c>
      <c r="AJ119" s="2" t="n">
        <v>0</v>
      </c>
      <c r="AK119" s="2" t="n">
        <v>24.35185185185185</v>
      </c>
      <c r="AL119" s="2" t="n">
        <v>0</v>
      </c>
      <c r="AM119" s="2" t="n">
        <v>26.3</v>
      </c>
      <c r="AN119" s="2" t="n">
        <v>0</v>
      </c>
      <c r="AO119" s="2" t="n">
        <v>2773.84</v>
      </c>
      <c r="AP119" s="2" t="n">
        <v>202.9012592592593</v>
      </c>
      <c r="AQ119" s="2" t="n">
        <v>2568.37037037037</v>
      </c>
      <c r="AR119" s="2" t="n">
        <v>772.29</v>
      </c>
      <c r="AS119" s="2" t="n">
        <v>1554.18</v>
      </c>
      <c r="AT119" s="2" t="n">
        <v>447.37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18245.43</v>
      </c>
      <c r="BB119" s="2" t="n">
        <v>13650.67</v>
      </c>
      <c r="BC119" s="2">
        <f>F119+L119+R119+X119+AD119+AJ119+AP119+AV119+IF(BE119="",0,BE119)</f>
        <v/>
      </c>
      <c r="BD119" s="2" t="n">
        <v>210.220318</v>
      </c>
      <c r="BE119" s="2" t="n"/>
      <c r="BF119" s="2" t="n">
        <v>16893.91666666666</v>
      </c>
      <c r="BG119" s="2" t="n">
        <v>458.58</v>
      </c>
      <c r="BH119" s="2" t="n">
        <v>0</v>
      </c>
      <c r="BI119" s="2" t="n">
        <v>32685.48387096774</v>
      </c>
      <c r="BJ119" s="2" t="n">
        <v>95.83216666666667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184.284045</v>
      </c>
      <c r="BQ119" s="2" t="n">
        <v>0</v>
      </c>
      <c r="BR119" s="2" t="n">
        <v>33449.18008263441</v>
      </c>
      <c r="BS119" s="2" t="n">
        <v>801.8115</v>
      </c>
      <c r="BT119" s="2" t="n">
        <v>0</v>
      </c>
      <c r="BU119" s="2" t="n">
        <v>6813.341507526883</v>
      </c>
      <c r="BV119" s="2" t="n">
        <v>7615.153007526883</v>
      </c>
      <c r="BW119" s="2" t="n">
        <v>41064.33309016129</v>
      </c>
      <c r="BX119" s="2" t="n">
        <v>10492.36</v>
      </c>
      <c r="BY119" s="2" t="n">
        <v>3158.31</v>
      </c>
      <c r="BZ119" s="2" t="n">
        <v>4594.76</v>
      </c>
      <c r="CA119" s="2" t="n">
        <v>13650.67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1298</v>
      </c>
      <c r="B120" t="inlineStr">
        <is>
          <t>Kolumba 2, 70-035 Szczecin</t>
        </is>
      </c>
      <c r="C120" t="inlineStr">
        <is>
          <t>Szczecin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17241.72</v>
      </c>
      <c r="L120" s="2" t="n">
        <v>1435.213544444444</v>
      </c>
      <c r="M120" s="2" t="n">
        <v>15964.55555555555</v>
      </c>
      <c r="N120" s="2" t="n">
        <v>6176.53</v>
      </c>
      <c r="O120" s="2" t="n">
        <v>10058.64</v>
      </c>
      <c r="P120" s="2" t="n">
        <v>1006.55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34098.51</v>
      </c>
      <c r="AP120" s="2" t="n">
        <v>2494.242861111111</v>
      </c>
      <c r="AQ120" s="2" t="n">
        <v>31572.69444444445</v>
      </c>
      <c r="AR120" s="2" t="n">
        <v>12020.52</v>
      </c>
      <c r="AS120" s="2" t="n">
        <v>19997.42</v>
      </c>
      <c r="AT120" s="2" t="n">
        <v>2080.57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51340.23</v>
      </c>
      <c r="BB120" s="2" t="n">
        <v>33143.17999999999</v>
      </c>
      <c r="BC120" s="2">
        <f>F120+L120+R120+X120+AD120+AJ120+AP120+AV120+IF(BE120="",0,BE120)</f>
        <v/>
      </c>
      <c r="BD120" s="2" t="n">
        <v>510.4049719999999</v>
      </c>
      <c r="BE120" s="2" t="n"/>
      <c r="BF120" s="2" t="n">
        <v>47537.25</v>
      </c>
      <c r="BG120" s="2" t="n">
        <v>1387.63</v>
      </c>
      <c r="BH120" s="2" t="n">
        <v>177.6</v>
      </c>
      <c r="BI120" s="2" t="n">
        <v>36187.5</v>
      </c>
      <c r="BJ120" s="2" t="n">
        <v>95.83216666666667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447.4329299999999</v>
      </c>
      <c r="BQ120" s="2" t="n">
        <v>0</v>
      </c>
      <c r="BR120" s="2" t="n">
        <v>38320.99509666667</v>
      </c>
      <c r="BS120" s="2" t="n">
        <v>801.8115</v>
      </c>
      <c r="BT120" s="2" t="n">
        <v>0</v>
      </c>
      <c r="BU120" s="2" t="n">
        <v>7735.074733333335</v>
      </c>
      <c r="BV120" s="2" t="n">
        <v>8536.886233333335</v>
      </c>
      <c r="BW120" s="2" t="n">
        <v>46857.88133</v>
      </c>
      <c r="BX120" s="2" t="n">
        <v>30056.06</v>
      </c>
      <c r="BY120" s="2" t="n">
        <v>3087.12</v>
      </c>
      <c r="BZ120" s="2" t="n">
        <v>18197.05</v>
      </c>
      <c r="CA120" s="2" t="n">
        <v>33143.18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1299</v>
      </c>
      <c r="B121" t="inlineStr">
        <is>
          <t>Pawia 5a, 31-154 Kraków</t>
        </is>
      </c>
      <c r="C121" t="inlineStr">
        <is>
          <t>Kraków Główny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27954.76</v>
      </c>
      <c r="L121" s="2" t="n">
        <v>2326.97492962963</v>
      </c>
      <c r="M121" s="2" t="n">
        <v>25884.03703703703</v>
      </c>
      <c r="N121" s="2" t="n">
        <v>5467.28</v>
      </c>
      <c r="O121" s="2" t="n">
        <v>21911.57</v>
      </c>
      <c r="P121" s="2" t="n">
        <v>575.91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18997.47</v>
      </c>
      <c r="X121" s="2" t="n">
        <v>750</v>
      </c>
      <c r="Y121" s="2" t="n">
        <v>17590.25</v>
      </c>
      <c r="Z121" s="2" t="n">
        <v>2804.57</v>
      </c>
      <c r="AA121" s="2" t="n">
        <v>15742.93</v>
      </c>
      <c r="AB121" s="2" t="n">
        <v>449.97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10555.74</v>
      </c>
      <c r="AP121" s="2" t="n">
        <v>772.1328333333332</v>
      </c>
      <c r="AQ121" s="2" t="n">
        <v>9773.833333333332</v>
      </c>
      <c r="AR121" s="2" t="n">
        <v>1590.4</v>
      </c>
      <c r="AS121" s="2" t="n">
        <v>8750.719999999999</v>
      </c>
      <c r="AT121" s="2" t="n">
        <v>214.62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57507.96999999999</v>
      </c>
      <c r="BB121" s="2" t="n">
        <v>47645.72</v>
      </c>
      <c r="BC121" s="2">
        <f>F121+L121+R121+X121+AD121+AJ121+AP121+AV121+IF(BE121="",0,BE121)</f>
        <v/>
      </c>
      <c r="BD121" s="2" t="n">
        <v>702.977578</v>
      </c>
      <c r="BE121" s="2" t="n"/>
      <c r="BF121" s="2" t="n">
        <v>53248.12037037036</v>
      </c>
      <c r="BG121" s="2" t="n">
        <v>600</v>
      </c>
      <c r="BH121" s="2" t="n">
        <v>100</v>
      </c>
      <c r="BI121" s="2" t="n">
        <v>36187.5</v>
      </c>
      <c r="BJ121" s="2" t="n">
        <v>95.83216666666667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643.2172200000001</v>
      </c>
      <c r="BQ121" s="2" t="n">
        <v>0</v>
      </c>
      <c r="BR121" s="2" t="n">
        <v>37651.54938666667</v>
      </c>
      <c r="BS121" s="2" t="n">
        <v>801.8115</v>
      </c>
      <c r="BT121" s="2" t="n">
        <v>0</v>
      </c>
      <c r="BU121" s="2" t="n">
        <v>7562.028733333334</v>
      </c>
      <c r="BV121" s="2" t="n">
        <v>8363.840233333334</v>
      </c>
      <c r="BW121" s="2" t="n">
        <v>46015.38962</v>
      </c>
      <c r="BX121" s="2" t="n">
        <v>46405.22</v>
      </c>
      <c r="BY121" s="2" t="n">
        <v>1240.5</v>
      </c>
      <c r="BZ121" s="2" t="n">
        <v>9862.25</v>
      </c>
      <c r="CA121" s="2" t="n">
        <v>47645.72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s="3" t="inlineStr">
        <is>
          <t>PODSUMOWANIE</t>
        </is>
      </c>
      <c r="B122" s="3" t="n"/>
      <c r="C122" s="3" t="n"/>
      <c r="D122" s="3" t="n"/>
      <c r="E122" s="4">
        <f>SUM(E2:E121)</f>
        <v/>
      </c>
      <c r="F122" s="4">
        <f>SUM(F2:F121)</f>
        <v/>
      </c>
      <c r="G122" s="4">
        <f>SUM(G2:G121)</f>
        <v/>
      </c>
      <c r="H122" s="4">
        <f>SUM(H2:H121)</f>
        <v/>
      </c>
      <c r="I122" s="4">
        <f>SUM(I2:I121)</f>
        <v/>
      </c>
      <c r="J122" s="4">
        <f>SUM(J2:J121)</f>
        <v/>
      </c>
      <c r="K122" s="4">
        <f>SUM(K2:K121)</f>
        <v/>
      </c>
      <c r="L122" s="4">
        <f>SUM(L2:L121)</f>
        <v/>
      </c>
      <c r="M122" s="4">
        <f>SUM(M2:M121)</f>
        <v/>
      </c>
      <c r="N122" s="4">
        <f>SUM(N2:N121)</f>
        <v/>
      </c>
      <c r="O122" s="4">
        <f>SUM(O2:O121)</f>
        <v/>
      </c>
      <c r="P122" s="4">
        <f>SUM(P2:P121)</f>
        <v/>
      </c>
      <c r="Q122" s="4">
        <f>SUM(Q2:Q121)</f>
        <v/>
      </c>
      <c r="R122" s="4">
        <f>SUM(R2:R121)</f>
        <v/>
      </c>
      <c r="S122" s="4">
        <f>SUM(S2:S121)</f>
        <v/>
      </c>
      <c r="T122" s="4">
        <f>SUM(T2:T121)</f>
        <v/>
      </c>
      <c r="U122" s="4">
        <f>SUM(U2:U121)</f>
        <v/>
      </c>
      <c r="V122" s="4">
        <f>SUM(V2:V121)</f>
        <v/>
      </c>
      <c r="W122" s="4">
        <f>SUM(W2:W121)</f>
        <v/>
      </c>
      <c r="X122" s="4">
        <f>SUM(X2:X121)</f>
        <v/>
      </c>
      <c r="Y122" s="4">
        <f>SUM(Y2:Y121)</f>
        <v/>
      </c>
      <c r="Z122" s="4">
        <f>SUM(Z2:Z121)</f>
        <v/>
      </c>
      <c r="AA122" s="4">
        <f>SUM(AA2:AA121)</f>
        <v/>
      </c>
      <c r="AB122" s="4">
        <f>SUM(AB2:AB121)</f>
        <v/>
      </c>
      <c r="AC122" s="4">
        <f>SUM(AC2:AC121)</f>
        <v/>
      </c>
      <c r="AD122" s="4">
        <f>SUM(AD2:AD121)</f>
        <v/>
      </c>
      <c r="AE122" s="4">
        <f>SUM(AE2:AE121)</f>
        <v/>
      </c>
      <c r="AF122" s="4">
        <f>SUM(AF2:AF121)</f>
        <v/>
      </c>
      <c r="AG122" s="4">
        <f>SUM(AG2:AG121)</f>
        <v/>
      </c>
      <c r="AH122" s="4">
        <f>SUM(AH2:AH121)</f>
        <v/>
      </c>
      <c r="AI122" s="4">
        <f>SUM(AI2:AI121)</f>
        <v/>
      </c>
      <c r="AJ122" s="4">
        <f>SUM(AJ2:AJ121)</f>
        <v/>
      </c>
      <c r="AK122" s="4">
        <f>SUM(AK2:AK121)</f>
        <v/>
      </c>
      <c r="AL122" s="4">
        <f>SUM(AL2:AL121)</f>
        <v/>
      </c>
      <c r="AM122" s="4">
        <f>SUM(AM2:AM121)</f>
        <v/>
      </c>
      <c r="AN122" s="4">
        <f>SUM(AN2:AN121)</f>
        <v/>
      </c>
      <c r="AO122" s="4">
        <f>SUM(AO2:AO121)</f>
        <v/>
      </c>
      <c r="AP122" s="4">
        <f>SUM(AP2:AP121)</f>
        <v/>
      </c>
      <c r="AQ122" s="4">
        <f>SUM(AQ2:AQ121)</f>
        <v/>
      </c>
      <c r="AR122" s="4">
        <f>SUM(AR2:AR121)</f>
        <v/>
      </c>
      <c r="AS122" s="4">
        <f>SUM(AS2:AS121)</f>
        <v/>
      </c>
      <c r="AT122" s="4">
        <f>SUM(AT2:AT121)</f>
        <v/>
      </c>
      <c r="AU122" s="4">
        <f>SUM(AU2:AU121)</f>
        <v/>
      </c>
      <c r="AV122" s="4">
        <f>SUM(AV2:AV121)</f>
        <v/>
      </c>
      <c r="AW122" s="4">
        <f>SUM(AW2:AW121)</f>
        <v/>
      </c>
      <c r="AX122" s="4">
        <f>SUM(AX2:AX121)</f>
        <v/>
      </c>
      <c r="AY122" s="4">
        <f>SUM(AY2:AY121)</f>
        <v/>
      </c>
      <c r="AZ122" s="4">
        <f>SUM(AZ2:AZ121)</f>
        <v/>
      </c>
      <c r="BA122" s="4">
        <f>SUM(BA2:BA121)</f>
        <v/>
      </c>
      <c r="BB122" s="4">
        <f>SUM(BB2:BB121)</f>
        <v/>
      </c>
      <c r="BC122" s="4">
        <f>SUM(BC2:BC121)</f>
        <v/>
      </c>
      <c r="BD122" s="4">
        <f>SUM(BD2:BD121)</f>
        <v/>
      </c>
      <c r="BE122" s="4">
        <f>SUM(BE2:BE121)</f>
        <v/>
      </c>
      <c r="BF122" s="4">
        <f>SUM(BF2:BF121)</f>
        <v/>
      </c>
      <c r="BG122" s="4">
        <f>SUM(BG2:BG121)</f>
        <v/>
      </c>
      <c r="BH122" s="4">
        <f>SUM(BH2:BH121)</f>
        <v/>
      </c>
      <c r="BI122" s="4">
        <f>SUM(BI2:BI121)</f>
        <v/>
      </c>
      <c r="BJ122" s="4">
        <f>SUM(BJ2:BJ121)</f>
        <v/>
      </c>
      <c r="BK122" s="4">
        <f>SUM(BK2:BK121)</f>
        <v/>
      </c>
      <c r="BL122" s="4">
        <f>SUM(BL2:BL121)</f>
        <v/>
      </c>
      <c r="BM122" s="4">
        <f>SUM(BM2:BM121)</f>
        <v/>
      </c>
      <c r="BN122" s="4">
        <f>SUM(BN2:BN121)</f>
        <v/>
      </c>
      <c r="BO122" s="4">
        <f>SUM(BO2:BO121)</f>
        <v/>
      </c>
      <c r="BP122" s="4">
        <f>SUM(BP2:BP121)</f>
        <v/>
      </c>
      <c r="BQ122" s="4">
        <f>SUM(BQ2:BQ121)</f>
        <v/>
      </c>
      <c r="BR122" s="4">
        <f>SUM(BR2:BR121)</f>
        <v/>
      </c>
      <c r="BS122" s="4">
        <f>SUM(BS2:BS121)</f>
        <v/>
      </c>
      <c r="BT122" s="4">
        <f>SUM(BT2:BT121)</f>
        <v/>
      </c>
      <c r="BU122" s="4">
        <f>SUM(BU2:BU121)</f>
        <v/>
      </c>
      <c r="BV122" s="4">
        <f>SUM(BV2:BV121)</f>
        <v/>
      </c>
      <c r="BW122" s="4">
        <f>SUM(BW2:BW121)</f>
        <v/>
      </c>
      <c r="BX122" s="4">
        <f>SUM(BX2:BX121)</f>
        <v/>
      </c>
      <c r="BY122" s="4">
        <f>SUM(BY2:BY121)</f>
        <v/>
      </c>
      <c r="BZ122" s="4">
        <f>SUM(BZ2:BZ121)</f>
        <v/>
      </c>
      <c r="CA122" s="4">
        <f>SUM(CA2:CA121)</f>
        <v/>
      </c>
      <c r="CB122" s="4">
        <f>SUM(CB2:CB121)</f>
        <v/>
      </c>
      <c r="CC122" s="3" t="n"/>
    </row>
  </sheetData>
  <conditionalFormatting sqref="CB2:CB121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12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9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19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7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22979.79</v>
      </c>
      <c r="L2" s="2" t="n">
        <v>1912.854741666667</v>
      </c>
      <c r="M2" s="2" t="n">
        <v>21277.58333333333</v>
      </c>
      <c r="N2" s="2" t="n">
        <v>0</v>
      </c>
      <c r="O2" s="2" t="n">
        <v>22036.89</v>
      </c>
      <c r="P2" s="2" t="n">
        <v>942.9</v>
      </c>
      <c r="Q2" s="2" t="n">
        <v>14.7</v>
      </c>
      <c r="R2" s="2" t="n">
        <v>1.020833333333333</v>
      </c>
      <c r="S2" s="2" t="n">
        <v>13.61111111111111</v>
      </c>
      <c r="T2" s="2" t="n">
        <v>0</v>
      </c>
      <c r="U2" s="2" t="n">
        <v>14.7</v>
      </c>
      <c r="V2" s="2" t="n">
        <v>0</v>
      </c>
      <c r="W2" s="2" t="n">
        <v>29203.09</v>
      </c>
      <c r="X2" s="2" t="n">
        <v>750</v>
      </c>
      <c r="Y2" s="2" t="n">
        <v>27039.89814814815</v>
      </c>
      <c r="Z2" s="2" t="n">
        <v>0</v>
      </c>
      <c r="AA2" s="2" t="n">
        <v>28325.88</v>
      </c>
      <c r="AB2" s="2" t="n">
        <v>877.21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15103.93</v>
      </c>
      <c r="AP2" s="2" t="n">
        <v>699.2560185185185</v>
      </c>
      <c r="AQ2" s="2" t="n">
        <v>13985.12037037037</v>
      </c>
      <c r="AR2" s="2" t="n">
        <v>0</v>
      </c>
      <c r="AS2" s="2" t="n">
        <v>14047.9</v>
      </c>
      <c r="AT2" s="2" t="n">
        <v>1056.03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67301.51000000001</v>
      </c>
      <c r="BB2" s="2" t="n">
        <v>67301.51000000001</v>
      </c>
      <c r="BC2" s="2">
        <f>F2+L2+R2+X2+AD2+AJ2+AP2+AV2+IF(BE2="",0,BE2)</f>
        <v/>
      </c>
      <c r="BD2" s="2" t="n">
        <v>980.9573829999999</v>
      </c>
      <c r="BE2" s="2" t="n"/>
      <c r="BF2" s="2" t="n">
        <v>62316.21296296296</v>
      </c>
      <c r="BG2" s="2" t="n">
        <v>1175.06</v>
      </c>
      <c r="BH2" s="2" t="n">
        <v>264</v>
      </c>
      <c r="BI2" s="2" t="n">
        <v>39677.05</v>
      </c>
      <c r="BJ2" s="2" t="n">
        <v>90.55917355371901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908.570385</v>
      </c>
      <c r="BQ2" s="2" t="n">
        <v>0</v>
      </c>
      <c r="BR2" s="2" t="n">
        <v>42140.23955855372</v>
      </c>
      <c r="BS2" s="2" t="n">
        <v>855.6128099173553</v>
      </c>
      <c r="BT2" s="2" t="n">
        <v>396.6942148760331</v>
      </c>
      <c r="BU2" s="2" t="n">
        <v>8496.795239669422</v>
      </c>
      <c r="BV2" s="2" t="n">
        <v>9749.10226446281</v>
      </c>
      <c r="BW2" s="2" t="n">
        <v>51889.34182301653</v>
      </c>
      <c r="BX2" s="2" t="n">
        <v>64425.37</v>
      </c>
      <c r="BY2" s="2" t="n">
        <v>2876.14</v>
      </c>
      <c r="BZ2" s="2" t="n">
        <v>0</v>
      </c>
      <c r="CA2" s="2" t="n">
        <v>67301.51000000001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3445.61</v>
      </c>
      <c r="L3" s="2" t="n">
        <v>286.8151287037037</v>
      </c>
      <c r="M3" s="2" t="n">
        <v>3190.37962962963</v>
      </c>
      <c r="N3" s="2" t="n">
        <v>0</v>
      </c>
      <c r="O3" s="2" t="n">
        <v>3244.07</v>
      </c>
      <c r="P3" s="2" t="n">
        <v>201.54</v>
      </c>
      <c r="Q3" s="2" t="n">
        <v>3623.02</v>
      </c>
      <c r="R3" s="2" t="n">
        <v>251.5986111111111</v>
      </c>
      <c r="S3" s="2" t="n">
        <v>3354.648148148148</v>
      </c>
      <c r="T3" s="2" t="n">
        <v>0</v>
      </c>
      <c r="U3" s="2" t="n">
        <v>3553.34</v>
      </c>
      <c r="V3" s="2" t="n">
        <v>69.68000000000001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8545.52</v>
      </c>
      <c r="AP3" s="2" t="n">
        <v>395.6259259259259</v>
      </c>
      <c r="AQ3" s="2" t="n">
        <v>7912.518518518518</v>
      </c>
      <c r="AR3" s="2" t="n">
        <v>0</v>
      </c>
      <c r="AS3" s="2" t="n">
        <v>7915.82</v>
      </c>
      <c r="AT3" s="2" t="n">
        <v>629.7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15614.15</v>
      </c>
      <c r="BB3" s="2" t="n">
        <v>15614.15</v>
      </c>
      <c r="BC3" s="2">
        <f>F3+L3+R3+X3+AD3+AJ3+AP3+AV3+IF(BE3="",0,BE3)</f>
        <v/>
      </c>
      <c r="BD3" s="2" t="n">
        <v>240.45791</v>
      </c>
      <c r="BE3" s="2" t="n"/>
      <c r="BF3" s="2" t="n">
        <v>14457.5462962963</v>
      </c>
      <c r="BG3" s="2" t="n">
        <v>0</v>
      </c>
      <c r="BH3" s="2" t="n">
        <v>0</v>
      </c>
      <c r="BI3" s="2" t="n">
        <v>39677.05</v>
      </c>
      <c r="BJ3" s="2" t="n">
        <v>90.55917355371901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210.791025</v>
      </c>
      <c r="BQ3" s="2" t="n">
        <v>0</v>
      </c>
      <c r="BR3" s="2" t="n">
        <v>40003.40019855372</v>
      </c>
      <c r="BS3" s="2" t="n">
        <v>855.6128099173553</v>
      </c>
      <c r="BT3" s="2" t="n">
        <v>396.6942148760331</v>
      </c>
      <c r="BU3" s="2" t="n">
        <v>8208.983239669422</v>
      </c>
      <c r="BV3" s="2" t="n">
        <v>9461.29026446281</v>
      </c>
      <c r="BW3" s="2" t="n">
        <v>49464.69046301653</v>
      </c>
      <c r="BX3" s="2" t="n">
        <v>14713.23</v>
      </c>
      <c r="BY3" s="2" t="n">
        <v>900.9200000000001</v>
      </c>
      <c r="BZ3" s="2" t="n">
        <v>0</v>
      </c>
      <c r="CA3" s="2" t="n">
        <v>15614.15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6920.37</v>
      </c>
      <c r="L4" s="2" t="n">
        <v>576.0567249999999</v>
      </c>
      <c r="M4" s="2" t="n">
        <v>6407.749999999999</v>
      </c>
      <c r="N4" s="2" t="n">
        <v>0</v>
      </c>
      <c r="O4" s="2" t="n">
        <v>6309.75</v>
      </c>
      <c r="P4" s="2" t="n">
        <v>610.62</v>
      </c>
      <c r="Q4" s="2" t="n">
        <v>18775.32</v>
      </c>
      <c r="R4" s="2" t="n">
        <v>500</v>
      </c>
      <c r="S4" s="2" t="n">
        <v>17384.55555555555</v>
      </c>
      <c r="T4" s="2" t="n">
        <v>0</v>
      </c>
      <c r="U4" s="2" t="n">
        <v>17988.34</v>
      </c>
      <c r="V4" s="2" t="n">
        <v>786.98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6518.52</v>
      </c>
      <c r="AP4" s="2" t="n">
        <v>301.7833333333334</v>
      </c>
      <c r="AQ4" s="2" t="n">
        <v>6035.666666666667</v>
      </c>
      <c r="AR4" s="2" t="n">
        <v>0</v>
      </c>
      <c r="AS4" s="2" t="n">
        <v>6166.26</v>
      </c>
      <c r="AT4" s="2" t="n">
        <v>352.26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32214.21</v>
      </c>
      <c r="BB4" s="2" t="n">
        <v>32214.21</v>
      </c>
      <c r="BC4" s="2">
        <f>F4+L4+R4+X4+AD4+AJ4+AP4+AV4+IF(BE4="",0,BE4)</f>
        <v/>
      </c>
      <c r="BD4" s="2" t="n">
        <v>496.098834</v>
      </c>
      <c r="BE4" s="2" t="n"/>
      <c r="BF4" s="2" t="n">
        <v>29827.97222222222</v>
      </c>
      <c r="BG4" s="2" t="n">
        <v>0</v>
      </c>
      <c r="BH4" s="2" t="n">
        <v>0</v>
      </c>
      <c r="BI4" s="2" t="n">
        <v>39677.05</v>
      </c>
      <c r="BJ4" s="2" t="n">
        <v>90.55917355371901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434.891835</v>
      </c>
      <c r="BQ4" s="2" t="n">
        <v>0</v>
      </c>
      <c r="BR4" s="2" t="n">
        <v>40227.50100855372</v>
      </c>
      <c r="BS4" s="2" t="n">
        <v>855.6128099173553</v>
      </c>
      <c r="BT4" s="2" t="n">
        <v>396.6942148760331</v>
      </c>
      <c r="BU4" s="2" t="n">
        <v>8208.983239669422</v>
      </c>
      <c r="BV4" s="2" t="n">
        <v>9461.29026446281</v>
      </c>
      <c r="BW4" s="2" t="n">
        <v>49688.79127301653</v>
      </c>
      <c r="BX4" s="2" t="n">
        <v>30464.35</v>
      </c>
      <c r="BY4" s="2" t="n">
        <v>1749.86</v>
      </c>
      <c r="BZ4" s="2" t="n">
        <v>0</v>
      </c>
      <c r="CA4" s="2" t="n">
        <v>32214.21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12.3</v>
      </c>
      <c r="F5" s="2" t="n">
        <v>0.7972222222222223</v>
      </c>
      <c r="G5" s="2" t="n">
        <v>11.38888888888889</v>
      </c>
      <c r="H5" s="2" t="n">
        <v>0</v>
      </c>
      <c r="I5" s="2" t="n">
        <v>12.3</v>
      </c>
      <c r="J5" s="2" t="n">
        <v>0</v>
      </c>
      <c r="K5" s="2" t="n">
        <v>23421.2</v>
      </c>
      <c r="L5" s="2" t="n">
        <v>1949.598037037037</v>
      </c>
      <c r="M5" s="2" t="n">
        <v>21686.2962962963</v>
      </c>
      <c r="N5" s="2" t="n">
        <v>0</v>
      </c>
      <c r="O5" s="2" t="n">
        <v>22197.57</v>
      </c>
      <c r="P5" s="2" t="n">
        <v>1223.63</v>
      </c>
      <c r="Q5" s="2" t="n">
        <v>23</v>
      </c>
      <c r="R5" s="2" t="n">
        <v>1.597222222222222</v>
      </c>
      <c r="S5" s="2" t="n">
        <v>21.29629629629629</v>
      </c>
      <c r="T5" s="2" t="n">
        <v>0</v>
      </c>
      <c r="U5" s="2" t="n">
        <v>23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37538.39</v>
      </c>
      <c r="AD5" s="2" t="n">
        <v>2398.286027777778</v>
      </c>
      <c r="AE5" s="2" t="n">
        <v>34757.76851851852</v>
      </c>
      <c r="AF5" s="2" t="n">
        <v>0</v>
      </c>
      <c r="AG5" s="2" t="n">
        <v>34675.42</v>
      </c>
      <c r="AH5" s="2" t="n">
        <v>2862.97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14779.05</v>
      </c>
      <c r="AP5" s="2" t="n">
        <v>684.2152777777778</v>
      </c>
      <c r="AQ5" s="2" t="n">
        <v>13684.30555555555</v>
      </c>
      <c r="AR5" s="2" t="n">
        <v>0</v>
      </c>
      <c r="AS5" s="2" t="n">
        <v>13201.41</v>
      </c>
      <c r="AT5" s="2" t="n">
        <v>1577.64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75773.94</v>
      </c>
      <c r="BB5" s="2" t="n">
        <v>75773.94</v>
      </c>
      <c r="BC5" s="2">
        <f>F5+L5+R5+X5+AD5+AJ5+AP5+AV5+IF(BE5="",0,BE5)</f>
        <v/>
      </c>
      <c r="BD5" s="2" t="n">
        <v>1166.918676</v>
      </c>
      <c r="BE5" s="2" t="n"/>
      <c r="BF5" s="2" t="n">
        <v>70161.05555555556</v>
      </c>
      <c r="BG5" s="2" t="n">
        <v>0</v>
      </c>
      <c r="BH5" s="2" t="n">
        <v>0</v>
      </c>
      <c r="BI5" s="2" t="n">
        <v>39677.05</v>
      </c>
      <c r="BJ5" s="2" t="n">
        <v>90.55917355371901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1022.94819</v>
      </c>
      <c r="BQ5" s="2" t="n">
        <v>0</v>
      </c>
      <c r="BR5" s="2" t="n">
        <v>40815.55736355372</v>
      </c>
      <c r="BS5" s="2" t="n">
        <v>855.6128099173553</v>
      </c>
      <c r="BT5" s="2" t="n">
        <v>396.6942148760331</v>
      </c>
      <c r="BU5" s="2" t="n">
        <v>8208.983239669422</v>
      </c>
      <c r="BV5" s="2" t="n">
        <v>9461.29026446281</v>
      </c>
      <c r="BW5" s="2" t="n">
        <v>50276.84762801653</v>
      </c>
      <c r="BX5" s="2" t="n">
        <v>70109.7</v>
      </c>
      <c r="BY5" s="2" t="n">
        <v>5664.24</v>
      </c>
      <c r="BZ5" s="2" t="n">
        <v>0</v>
      </c>
      <c r="CA5" s="2" t="n">
        <v>75773.94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4207.559999999999</v>
      </c>
      <c r="L6" s="2" t="n">
        <v>350.2404111111111</v>
      </c>
      <c r="M6" s="2" t="n">
        <v>3895.888888888888</v>
      </c>
      <c r="N6" s="2" t="n">
        <v>0</v>
      </c>
      <c r="O6" s="2" t="n">
        <v>3611.2</v>
      </c>
      <c r="P6" s="2" t="n">
        <v>596.36</v>
      </c>
      <c r="Q6" s="2" t="n">
        <v>48.66</v>
      </c>
      <c r="R6" s="2" t="n">
        <v>3.379166666666666</v>
      </c>
      <c r="S6" s="2" t="n">
        <v>45.05555555555555</v>
      </c>
      <c r="T6" s="2" t="n">
        <v>0</v>
      </c>
      <c r="U6" s="2" t="n">
        <v>48.66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15739.43</v>
      </c>
      <c r="AP6" s="2" t="n">
        <v>728.6773148148148</v>
      </c>
      <c r="AQ6" s="2" t="n">
        <v>14573.5462962963</v>
      </c>
      <c r="AR6" s="2" t="n">
        <v>0</v>
      </c>
      <c r="AS6" s="2" t="n">
        <v>14841.84</v>
      </c>
      <c r="AT6" s="2" t="n">
        <v>897.59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19995.65</v>
      </c>
      <c r="BB6" s="2" t="n">
        <v>19995.65</v>
      </c>
      <c r="BC6" s="2">
        <f>F6+L6+R6+X6+AD6+AJ6+AP6+AV6+IF(BE6="",0,BE6)</f>
        <v/>
      </c>
      <c r="BD6" s="2" t="n">
        <v>307.93301</v>
      </c>
      <c r="BE6" s="2" t="n"/>
      <c r="BF6" s="2" t="n">
        <v>18514.49074074074</v>
      </c>
      <c r="BG6" s="2" t="n">
        <v>0</v>
      </c>
      <c r="BH6" s="2" t="n">
        <v>0</v>
      </c>
      <c r="BI6" s="2" t="n">
        <v>39677.05</v>
      </c>
      <c r="BJ6" s="2" t="n">
        <v>90.55917355371901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269.941275</v>
      </c>
      <c r="BQ6" s="2" t="n">
        <v>0</v>
      </c>
      <c r="BR6" s="2" t="n">
        <v>40062.55044855372</v>
      </c>
      <c r="BS6" s="2" t="n">
        <v>855.6128099173553</v>
      </c>
      <c r="BT6" s="2" t="n">
        <v>396.6942148760331</v>
      </c>
      <c r="BU6" s="2" t="n">
        <v>8208.983239669422</v>
      </c>
      <c r="BV6" s="2" t="n">
        <v>9461.29026446281</v>
      </c>
      <c r="BW6" s="2" t="n">
        <v>49523.84071301653</v>
      </c>
      <c r="BX6" s="2" t="n">
        <v>18501.7</v>
      </c>
      <c r="BY6" s="2" t="n">
        <v>1493.95</v>
      </c>
      <c r="BZ6" s="2" t="n">
        <v>0</v>
      </c>
      <c r="CA6" s="2" t="n">
        <v>19995.65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13996.84</v>
      </c>
      <c r="L7" s="2" t="n">
        <v>1165.10732962963</v>
      </c>
      <c r="M7" s="2" t="n">
        <v>12960.03703703704</v>
      </c>
      <c r="N7" s="2" t="n">
        <v>0</v>
      </c>
      <c r="O7" s="2" t="n">
        <v>12836.32</v>
      </c>
      <c r="P7" s="2" t="n">
        <v>1160.52</v>
      </c>
      <c r="Q7" s="2" t="n">
        <v>16.7</v>
      </c>
      <c r="R7" s="2" t="n">
        <v>1.159722222222222</v>
      </c>
      <c r="S7" s="2" t="n">
        <v>15.46296296296296</v>
      </c>
      <c r="T7" s="2" t="n">
        <v>0</v>
      </c>
      <c r="U7" s="2" t="n">
        <v>0</v>
      </c>
      <c r="V7" s="2" t="n">
        <v>16.7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33599.93</v>
      </c>
      <c r="AP7" s="2" t="n">
        <v>1555.552314814815</v>
      </c>
      <c r="AQ7" s="2" t="n">
        <v>31111.0462962963</v>
      </c>
      <c r="AR7" s="2" t="n">
        <v>0</v>
      </c>
      <c r="AS7" s="2" t="n">
        <v>30686.14</v>
      </c>
      <c r="AT7" s="2" t="n">
        <v>2913.79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47613.47</v>
      </c>
      <c r="BB7" s="2" t="n">
        <v>47613.47</v>
      </c>
      <c r="BC7" s="2">
        <f>F7+L7+R7+X7+AD7+AJ7+AP7+AV7+IF(BE7="",0,BE7)</f>
        <v/>
      </c>
      <c r="BD7" s="2" t="n">
        <v>733.2474380000001</v>
      </c>
      <c r="BE7" s="2" t="n"/>
      <c r="BF7" s="2" t="n">
        <v>44086.54629629629</v>
      </c>
      <c r="BG7" s="2" t="n">
        <v>0</v>
      </c>
      <c r="BH7" s="2" t="n">
        <v>0</v>
      </c>
      <c r="BI7" s="2" t="n">
        <v>39677.05</v>
      </c>
      <c r="BJ7" s="2" t="n">
        <v>90.55917355371901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642.781845</v>
      </c>
      <c r="BQ7" s="2" t="n">
        <v>0</v>
      </c>
      <c r="BR7" s="2" t="n">
        <v>40435.39101855372</v>
      </c>
      <c r="BS7" s="2" t="n">
        <v>855.6128099173553</v>
      </c>
      <c r="BT7" s="2" t="n">
        <v>396.6942148760331</v>
      </c>
      <c r="BU7" s="2" t="n">
        <v>8208.983239669422</v>
      </c>
      <c r="BV7" s="2" t="n">
        <v>9461.29026446281</v>
      </c>
      <c r="BW7" s="2" t="n">
        <v>49896.68128301653</v>
      </c>
      <c r="BX7" s="2" t="n">
        <v>43522.46</v>
      </c>
      <c r="BY7" s="2" t="n">
        <v>4091.01</v>
      </c>
      <c r="BZ7" s="2" t="n">
        <v>0</v>
      </c>
      <c r="CA7" s="2" t="n">
        <v>47613.47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12270.03</v>
      </c>
      <c r="L8" s="2" t="n">
        <v>1021.366386111111</v>
      </c>
      <c r="M8" s="2" t="n">
        <v>11361.13888888889</v>
      </c>
      <c r="N8" s="2" t="n">
        <v>0</v>
      </c>
      <c r="O8" s="2" t="n">
        <v>11590.66</v>
      </c>
      <c r="P8" s="2" t="n">
        <v>679.37</v>
      </c>
      <c r="Q8" s="2" t="n">
        <v>100.5</v>
      </c>
      <c r="R8" s="2" t="n">
        <v>6.979166666666665</v>
      </c>
      <c r="S8" s="2" t="n">
        <v>93.05555555555554</v>
      </c>
      <c r="T8" s="2" t="n">
        <v>0</v>
      </c>
      <c r="U8" s="2" t="n">
        <v>100.5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21571.52</v>
      </c>
      <c r="AP8" s="2" t="n">
        <v>998.6814814814815</v>
      </c>
      <c r="AQ8" s="2" t="n">
        <v>19973.62962962963</v>
      </c>
      <c r="AR8" s="2" t="n">
        <v>0</v>
      </c>
      <c r="AS8" s="2" t="n">
        <v>20332.5</v>
      </c>
      <c r="AT8" s="2" t="n">
        <v>1239.02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33942.05</v>
      </c>
      <c r="BB8" s="2" t="n">
        <v>33942.05</v>
      </c>
      <c r="BC8" s="2">
        <f>F8+L8+R8+X8+AD8+AJ8+AP8+AV8+IF(BE8="",0,BE8)</f>
        <v/>
      </c>
      <c r="BD8" s="2" t="n">
        <v>522.70757</v>
      </c>
      <c r="BE8" s="2" t="n"/>
      <c r="BF8" s="2" t="n">
        <v>31427.82407407407</v>
      </c>
      <c r="BG8" s="2" t="n">
        <v>0</v>
      </c>
      <c r="BH8" s="2" t="n">
        <v>0</v>
      </c>
      <c r="BI8" s="2" t="n">
        <v>39677.05</v>
      </c>
      <c r="BJ8" s="2" t="n">
        <v>90.55917355371901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458.217675</v>
      </c>
      <c r="BQ8" s="2" t="n">
        <v>0</v>
      </c>
      <c r="BR8" s="2" t="n">
        <v>40250.82684855372</v>
      </c>
      <c r="BS8" s="2" t="n">
        <v>855.6128099173553</v>
      </c>
      <c r="BT8" s="2" t="n">
        <v>396.6942148760331</v>
      </c>
      <c r="BU8" s="2" t="n">
        <v>8208.983239669422</v>
      </c>
      <c r="BV8" s="2" t="n">
        <v>9461.29026446281</v>
      </c>
      <c r="BW8" s="2" t="n">
        <v>49712.11711301653</v>
      </c>
      <c r="BX8" s="2" t="n">
        <v>32023.66</v>
      </c>
      <c r="BY8" s="2" t="n">
        <v>1918.39</v>
      </c>
      <c r="BZ8" s="2" t="n">
        <v>0</v>
      </c>
      <c r="CA8" s="2" t="n">
        <v>33942.05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15.4</v>
      </c>
      <c r="F9" s="2" t="n">
        <v>0.9981481481481482</v>
      </c>
      <c r="G9" s="2" t="n">
        <v>14.25925925925926</v>
      </c>
      <c r="H9" s="2" t="n">
        <v>0</v>
      </c>
      <c r="I9" s="2" t="n">
        <v>15.4</v>
      </c>
      <c r="J9" s="2" t="n">
        <v>0</v>
      </c>
      <c r="K9" s="2" t="n">
        <v>7882.05</v>
      </c>
      <c r="L9" s="2" t="n">
        <v>656.1076805555556</v>
      </c>
      <c r="M9" s="2" t="n">
        <v>7298.194444444444</v>
      </c>
      <c r="N9" s="2" t="n">
        <v>0</v>
      </c>
      <c r="O9" s="2" t="n">
        <v>7590.7</v>
      </c>
      <c r="P9" s="2" t="n">
        <v>291.35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21298.88</v>
      </c>
      <c r="AP9" s="2" t="n">
        <v>986.0592592592593</v>
      </c>
      <c r="AQ9" s="2" t="n">
        <v>19721.18518518519</v>
      </c>
      <c r="AR9" s="2" t="n">
        <v>0</v>
      </c>
      <c r="AS9" s="2" t="n">
        <v>19839.77</v>
      </c>
      <c r="AT9" s="2" t="n">
        <v>1459.11</v>
      </c>
      <c r="AU9" s="2" t="n">
        <v>247.45</v>
      </c>
      <c r="AV9" s="2" t="n">
        <v>9.852175925925925</v>
      </c>
      <c r="AW9" s="2" t="n">
        <v>229.1203703703704</v>
      </c>
      <c r="AX9" s="2" t="n">
        <v>0</v>
      </c>
      <c r="AY9" s="2" t="n">
        <v>232.45</v>
      </c>
      <c r="AZ9" s="2" t="n">
        <v>15</v>
      </c>
      <c r="BA9" s="2" t="n">
        <v>29443.78</v>
      </c>
      <c r="BB9" s="2" t="n">
        <v>29443.78</v>
      </c>
      <c r="BC9" s="2">
        <f>F9+L9+R9+X9+AD9+AJ9+AP9+AV9+IF(BE9="",0,BE9)</f>
        <v/>
      </c>
      <c r="BD9" s="2" t="n">
        <v>453.4342120000001</v>
      </c>
      <c r="BE9" s="2" t="n"/>
      <c r="BF9" s="2" t="n">
        <v>27262.75925925926</v>
      </c>
      <c r="BG9" s="2" t="n">
        <v>0</v>
      </c>
      <c r="BH9" s="2" t="n">
        <v>0</v>
      </c>
      <c r="BI9" s="2" t="n">
        <v>39677.05</v>
      </c>
      <c r="BJ9" s="2" t="n">
        <v>90.55917355371901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397.49103</v>
      </c>
      <c r="BQ9" s="2" t="n">
        <v>0</v>
      </c>
      <c r="BR9" s="2" t="n">
        <v>40190.10020355372</v>
      </c>
      <c r="BS9" s="2" t="n">
        <v>855.6128099173553</v>
      </c>
      <c r="BT9" s="2" t="n">
        <v>396.6942148760331</v>
      </c>
      <c r="BU9" s="2" t="n">
        <v>8208.983239669422</v>
      </c>
      <c r="BV9" s="2" t="n">
        <v>9461.29026446281</v>
      </c>
      <c r="BW9" s="2" t="n">
        <v>49651.39046801653</v>
      </c>
      <c r="BX9" s="2" t="n">
        <v>27678.32</v>
      </c>
      <c r="BY9" s="2" t="n">
        <v>1765.46</v>
      </c>
      <c r="BZ9" s="2" t="n">
        <v>0</v>
      </c>
      <c r="CA9" s="2" t="n">
        <v>29443.78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3717.77</v>
      </c>
      <c r="L10" s="2" t="n">
        <v>309.4699287037037</v>
      </c>
      <c r="M10" s="2" t="n">
        <v>3442.37962962963</v>
      </c>
      <c r="N10" s="2" t="n">
        <v>0</v>
      </c>
      <c r="O10" s="2" t="n">
        <v>3443.85</v>
      </c>
      <c r="P10" s="2" t="n">
        <v>273.92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11.8</v>
      </c>
      <c r="AD10" s="2" t="n">
        <v>0.7538888888888889</v>
      </c>
      <c r="AE10" s="2" t="n">
        <v>10.92592592592593</v>
      </c>
      <c r="AF10" s="2" t="n">
        <v>0</v>
      </c>
      <c r="AG10" s="2" t="n">
        <v>11.8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4990.320000000001</v>
      </c>
      <c r="AP10" s="2" t="n">
        <v>231.0333333333334</v>
      </c>
      <c r="AQ10" s="2" t="n">
        <v>4620.666666666667</v>
      </c>
      <c r="AR10" s="2" t="n">
        <v>0</v>
      </c>
      <c r="AS10" s="2" t="n">
        <v>4843.85</v>
      </c>
      <c r="AT10" s="2" t="n">
        <v>146.47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8719.890000000001</v>
      </c>
      <c r="BB10" s="2" t="n">
        <v>8719.890000000001</v>
      </c>
      <c r="BC10" s="2">
        <f>F10+L10+R10+X10+AD10+AJ10+AP10+AV10+IF(BE10="",0,BE10)</f>
        <v/>
      </c>
      <c r="BD10" s="2" t="n">
        <v>134.286306</v>
      </c>
      <c r="BE10" s="2" t="n"/>
      <c r="BF10" s="2" t="n">
        <v>8073.972222222223</v>
      </c>
      <c r="BG10" s="2" t="n">
        <v>0</v>
      </c>
      <c r="BH10" s="2" t="n">
        <v>0</v>
      </c>
      <c r="BI10" s="2" t="n">
        <v>39677.05</v>
      </c>
      <c r="BJ10" s="2" t="n">
        <v>90.55917355371901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117.718515</v>
      </c>
      <c r="BQ10" s="2" t="n">
        <v>0</v>
      </c>
      <c r="BR10" s="2" t="n">
        <v>39910.32768855372</v>
      </c>
      <c r="BS10" s="2" t="n">
        <v>855.6128099173553</v>
      </c>
      <c r="BT10" s="2" t="n">
        <v>396.6942148760331</v>
      </c>
      <c r="BU10" s="2" t="n">
        <v>8208.983239669422</v>
      </c>
      <c r="BV10" s="2" t="n">
        <v>9461.29026446281</v>
      </c>
      <c r="BW10" s="2" t="n">
        <v>49371.61795301653</v>
      </c>
      <c r="BX10" s="2" t="n">
        <v>8299.5</v>
      </c>
      <c r="BY10" s="2" t="n">
        <v>420.39</v>
      </c>
      <c r="BZ10" s="2" t="n">
        <v>0</v>
      </c>
      <c r="CA10" s="2" t="n">
        <v>8719.889999999999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28.5</v>
      </c>
      <c r="F11" s="2" t="n">
        <v>1.847222222222222</v>
      </c>
      <c r="G11" s="2" t="n">
        <v>26.38888888888889</v>
      </c>
      <c r="H11" s="2" t="n">
        <v>0</v>
      </c>
      <c r="I11" s="2" t="n">
        <v>28.5</v>
      </c>
      <c r="J11" s="2" t="n">
        <v>0</v>
      </c>
      <c r="K11" s="2" t="n">
        <v>5064.07</v>
      </c>
      <c r="L11" s="2" t="n">
        <v>421.536937962963</v>
      </c>
      <c r="M11" s="2" t="n">
        <v>4688.953703703703</v>
      </c>
      <c r="N11" s="2" t="n">
        <v>0</v>
      </c>
      <c r="O11" s="2" t="n">
        <v>4197.01</v>
      </c>
      <c r="P11" s="2" t="n">
        <v>867.0599999999999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6246.35</v>
      </c>
      <c r="AP11" s="2" t="n">
        <v>289.1828703703704</v>
      </c>
      <c r="AQ11" s="2" t="n">
        <v>5783.657407407407</v>
      </c>
      <c r="AR11" s="2" t="n">
        <v>0</v>
      </c>
      <c r="AS11" s="2" t="n">
        <v>5100.85</v>
      </c>
      <c r="AT11" s="2" t="n">
        <v>1145.5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11338.92</v>
      </c>
      <c r="BB11" s="2" t="n">
        <v>11338.92</v>
      </c>
      <c r="BC11" s="2">
        <f>F11+L11+R11+X11+AD11+AJ11+AP11+AV11+IF(BE11="",0,BE11)</f>
        <v/>
      </c>
      <c r="BD11" s="2" t="n">
        <v>174.619368</v>
      </c>
      <c r="BE11" s="2" t="n"/>
      <c r="BF11" s="2" t="n">
        <v>10499</v>
      </c>
      <c r="BG11" s="2" t="n">
        <v>0</v>
      </c>
      <c r="BH11" s="2" t="n">
        <v>0</v>
      </c>
      <c r="BI11" s="2" t="n">
        <v>39677.05</v>
      </c>
      <c r="BJ11" s="2" t="n">
        <v>90.55917355371901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153.07542</v>
      </c>
      <c r="BQ11" s="2" t="n">
        <v>0</v>
      </c>
      <c r="BR11" s="2" t="n">
        <v>39945.68459355372</v>
      </c>
      <c r="BS11" s="2" t="n">
        <v>855.6128099173553</v>
      </c>
      <c r="BT11" s="2" t="n">
        <v>396.6942148760331</v>
      </c>
      <c r="BU11" s="2" t="n">
        <v>8208.983239669422</v>
      </c>
      <c r="BV11" s="2" t="n">
        <v>9461.29026446281</v>
      </c>
      <c r="BW11" s="2" t="n">
        <v>49406.97485801653</v>
      </c>
      <c r="BX11" s="2" t="n">
        <v>9326.360000000001</v>
      </c>
      <c r="BY11" s="2" t="n">
        <v>2012.56</v>
      </c>
      <c r="BZ11" s="2" t="n">
        <v>0</v>
      </c>
      <c r="CA11" s="2" t="n">
        <v>11338.92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377.8</v>
      </c>
      <c r="L12" s="2" t="n">
        <v>31.44835185185185</v>
      </c>
      <c r="M12" s="2" t="n">
        <v>349.8148148148148</v>
      </c>
      <c r="N12" s="2" t="n">
        <v>0</v>
      </c>
      <c r="O12" s="2" t="n">
        <v>377.8</v>
      </c>
      <c r="P12" s="2" t="n">
        <v>0</v>
      </c>
      <c r="Q12" s="2" t="n">
        <v>57.4</v>
      </c>
      <c r="R12" s="2" t="n">
        <v>3.986111111111111</v>
      </c>
      <c r="S12" s="2" t="n">
        <v>53.14814814814815</v>
      </c>
      <c r="T12" s="2" t="n">
        <v>0</v>
      </c>
      <c r="U12" s="2" t="n">
        <v>57.4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4914.2</v>
      </c>
      <c r="AP12" s="2" t="n">
        <v>3500</v>
      </c>
      <c r="AQ12" s="2" t="n">
        <v>4550.185185185184</v>
      </c>
      <c r="AR12" s="2" t="n">
        <v>0</v>
      </c>
      <c r="AS12" s="2" t="n">
        <v>4627.19</v>
      </c>
      <c r="AT12" s="2" t="n">
        <v>287.01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5349.4</v>
      </c>
      <c r="BB12" s="2" t="n">
        <v>5349.4</v>
      </c>
      <c r="BC12" s="2">
        <f>F12+L12+R12+X12+AD12+AJ12+AP12+AV12+IF(BE12="",0,BE12)</f>
        <v/>
      </c>
      <c r="BD12" s="2" t="n">
        <v>82.38076</v>
      </c>
      <c r="BE12" s="2" t="n"/>
      <c r="BF12" s="2" t="n">
        <v>4953.148148148147</v>
      </c>
      <c r="BG12" s="2" t="n">
        <v>0</v>
      </c>
      <c r="BH12" s="2" t="n">
        <v>0</v>
      </c>
      <c r="BI12" s="2" t="n">
        <v>39677.05</v>
      </c>
      <c r="BJ12" s="2" t="n">
        <v>90.55917355371901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72.21690000000001</v>
      </c>
      <c r="BQ12" s="2" t="n">
        <v>0</v>
      </c>
      <c r="BR12" s="2" t="n">
        <v>39864.82607355372</v>
      </c>
      <c r="BS12" s="2" t="n">
        <v>855.6128099173553</v>
      </c>
      <c r="BT12" s="2" t="n">
        <v>396.6942148760331</v>
      </c>
      <c r="BU12" s="2" t="n">
        <v>8208.983239669422</v>
      </c>
      <c r="BV12" s="2" t="n">
        <v>9461.29026446281</v>
      </c>
      <c r="BW12" s="2" t="n">
        <v>49326.11633801653</v>
      </c>
      <c r="BX12" s="2" t="n">
        <v>5062.389999999999</v>
      </c>
      <c r="BY12" s="2" t="n">
        <v>287.01</v>
      </c>
      <c r="BZ12" s="2" t="n">
        <v>0</v>
      </c>
      <c r="CA12" s="2" t="n">
        <v>5349.4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2552.77</v>
      </c>
      <c r="F13" s="2" t="n">
        <v>165.4573148148148</v>
      </c>
      <c r="G13" s="2" t="n">
        <v>2363.675925925926</v>
      </c>
      <c r="H13" s="2" t="n">
        <v>0</v>
      </c>
      <c r="I13" s="2" t="n">
        <v>2405.86</v>
      </c>
      <c r="J13" s="2" t="n">
        <v>146.91</v>
      </c>
      <c r="K13" s="2" t="n">
        <v>1782.54</v>
      </c>
      <c r="L13" s="2" t="n">
        <v>148.37995</v>
      </c>
      <c r="M13" s="2" t="n">
        <v>1650.5</v>
      </c>
      <c r="N13" s="2" t="n">
        <v>0</v>
      </c>
      <c r="O13" s="2" t="n">
        <v>1384.54</v>
      </c>
      <c r="P13" s="2" t="n">
        <v>398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9124.440000000001</v>
      </c>
      <c r="AP13" s="2" t="n">
        <v>3740</v>
      </c>
      <c r="AQ13" s="2" t="n">
        <v>8448.555555555555</v>
      </c>
      <c r="AR13" s="2" t="n">
        <v>0</v>
      </c>
      <c r="AS13" s="2" t="n">
        <v>8561.07</v>
      </c>
      <c r="AT13" s="2" t="n">
        <v>563.37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13459.75</v>
      </c>
      <c r="BB13" s="2" t="n">
        <v>13459.75</v>
      </c>
      <c r="BC13" s="2">
        <f>F13+L13+R13+X13+AD13+AJ13+AP13+AV13+IF(BE13="",0,BE13)</f>
        <v/>
      </c>
      <c r="BD13" s="2" t="n">
        <v>207.28015</v>
      </c>
      <c r="BE13" s="2" t="n"/>
      <c r="BF13" s="2" t="n">
        <v>12462.73148148148</v>
      </c>
      <c r="BG13" s="2" t="n">
        <v>0</v>
      </c>
      <c r="BH13" s="2" t="n">
        <v>0</v>
      </c>
      <c r="BI13" s="2" t="n">
        <v>39677.05</v>
      </c>
      <c r="BJ13" s="2" t="n">
        <v>90.55917355371901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181.706625</v>
      </c>
      <c r="BQ13" s="2" t="n">
        <v>0</v>
      </c>
      <c r="BR13" s="2" t="n">
        <v>39974.31579855372</v>
      </c>
      <c r="BS13" s="2" t="n">
        <v>855.6128099173553</v>
      </c>
      <c r="BT13" s="2" t="n">
        <v>396.6942148760331</v>
      </c>
      <c r="BU13" s="2" t="n">
        <v>8208.983239669422</v>
      </c>
      <c r="BV13" s="2" t="n">
        <v>9461.29026446281</v>
      </c>
      <c r="BW13" s="2" t="n">
        <v>49435.60606301653</v>
      </c>
      <c r="BX13" s="2" t="n">
        <v>12351.47</v>
      </c>
      <c r="BY13" s="2" t="n">
        <v>1108.28</v>
      </c>
      <c r="BZ13" s="2" t="n">
        <v>0</v>
      </c>
      <c r="CA13" s="2" t="n">
        <v>13459.75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13816.46</v>
      </c>
      <c r="L14" s="2" t="n">
        <v>1150.092364814815</v>
      </c>
      <c r="M14" s="2" t="n">
        <v>12793.01851851852</v>
      </c>
      <c r="N14" s="2" t="n">
        <v>0</v>
      </c>
      <c r="O14" s="2" t="n">
        <v>13095.05</v>
      </c>
      <c r="P14" s="2" t="n">
        <v>721.41</v>
      </c>
      <c r="Q14" s="2" t="n">
        <v>175.71</v>
      </c>
      <c r="R14" s="2" t="n">
        <v>12.20208333333333</v>
      </c>
      <c r="S14" s="2" t="n">
        <v>162.6944444444444</v>
      </c>
      <c r="T14" s="2" t="n">
        <v>0</v>
      </c>
      <c r="U14" s="2" t="n">
        <v>175.71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14.7</v>
      </c>
      <c r="AD14" s="2" t="n">
        <v>0.9391666666666666</v>
      </c>
      <c r="AE14" s="2" t="n">
        <v>13.61111111111111</v>
      </c>
      <c r="AF14" s="2" t="n">
        <v>0</v>
      </c>
      <c r="AG14" s="2" t="n">
        <v>14.7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19006.06</v>
      </c>
      <c r="AP14" s="2" t="n">
        <v>4100</v>
      </c>
      <c r="AQ14" s="2" t="n">
        <v>17598.2037037037</v>
      </c>
      <c r="AR14" s="2" t="n">
        <v>0</v>
      </c>
      <c r="AS14" s="2" t="n">
        <v>17765.18</v>
      </c>
      <c r="AT14" s="2" t="n">
        <v>1240.88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33012.93</v>
      </c>
      <c r="BB14" s="2" t="n">
        <v>33012.93</v>
      </c>
      <c r="BC14" s="2">
        <f>F14+L14+R14+X14+AD14+AJ14+AP14+AV14+IF(BE14="",0,BE14)</f>
        <v/>
      </c>
      <c r="BD14" s="2" t="n">
        <v>508.399122</v>
      </c>
      <c r="BE14" s="2" t="n"/>
      <c r="BF14" s="2" t="n">
        <v>30567.52777777778</v>
      </c>
      <c r="BG14" s="2" t="n">
        <v>0</v>
      </c>
      <c r="BH14" s="2" t="n">
        <v>0</v>
      </c>
      <c r="BI14" s="2" t="n">
        <v>39677.05</v>
      </c>
      <c r="BJ14" s="2" t="n">
        <v>90.55917355371901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445.674555</v>
      </c>
      <c r="BQ14" s="2" t="n">
        <v>0</v>
      </c>
      <c r="BR14" s="2" t="n">
        <v>40238.28372855372</v>
      </c>
      <c r="BS14" s="2" t="n">
        <v>855.6128099173553</v>
      </c>
      <c r="BT14" s="2" t="n">
        <v>396.6942148760331</v>
      </c>
      <c r="BU14" s="2" t="n">
        <v>8208.983239669422</v>
      </c>
      <c r="BV14" s="2" t="n">
        <v>9461.29026446281</v>
      </c>
      <c r="BW14" s="2" t="n">
        <v>49699.57399301653</v>
      </c>
      <c r="BX14" s="2" t="n">
        <v>31050.64</v>
      </c>
      <c r="BY14" s="2" t="n">
        <v>1962.29</v>
      </c>
      <c r="BZ14" s="2" t="n">
        <v>0</v>
      </c>
      <c r="CA14" s="2" t="n">
        <v>33012.93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49.2</v>
      </c>
      <c r="F15" s="2" t="n">
        <v>3.188888888888889</v>
      </c>
      <c r="G15" s="2" t="n">
        <v>45.55555555555556</v>
      </c>
      <c r="H15" s="2" t="n">
        <v>0</v>
      </c>
      <c r="I15" s="2" t="n">
        <v>24.6</v>
      </c>
      <c r="J15" s="2" t="n">
        <v>24.6</v>
      </c>
      <c r="K15" s="2" t="n">
        <v>95</v>
      </c>
      <c r="L15" s="2" t="n">
        <v>7.907870370370371</v>
      </c>
      <c r="M15" s="2" t="n">
        <v>87.96296296296296</v>
      </c>
      <c r="N15" s="2" t="n">
        <v>0</v>
      </c>
      <c r="O15" s="2" t="n">
        <v>71</v>
      </c>
      <c r="P15" s="2" t="n">
        <v>24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2704.24</v>
      </c>
      <c r="AP15" s="2" t="n">
        <v>3500</v>
      </c>
      <c r="AQ15" s="2" t="n">
        <v>2503.925925925926</v>
      </c>
      <c r="AR15" s="2" t="n">
        <v>0</v>
      </c>
      <c r="AS15" s="2" t="n">
        <v>2310.79</v>
      </c>
      <c r="AT15" s="2" t="n">
        <v>393.45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2848.44</v>
      </c>
      <c r="BB15" s="2" t="n">
        <v>2848.44</v>
      </c>
      <c r="BC15" s="2">
        <f>F15+L15+R15+X15+AD15+AJ15+AP15+AV15+IF(BE15="",0,BE15)</f>
        <v/>
      </c>
      <c r="BD15" s="2" t="n">
        <v>43.865976</v>
      </c>
      <c r="BE15" s="2" t="n"/>
      <c r="BF15" s="2" t="n">
        <v>2637.444444444444</v>
      </c>
      <c r="BG15" s="2" t="n">
        <v>0</v>
      </c>
      <c r="BH15" s="2" t="n">
        <v>0</v>
      </c>
      <c r="BI15" s="2" t="n">
        <v>39677.05</v>
      </c>
      <c r="BJ15" s="2" t="n">
        <v>90.55917355371901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38.45394</v>
      </c>
      <c r="BQ15" s="2" t="n">
        <v>0</v>
      </c>
      <c r="BR15" s="2" t="n">
        <v>39831.06311355372</v>
      </c>
      <c r="BS15" s="2" t="n">
        <v>855.6128099173553</v>
      </c>
      <c r="BT15" s="2" t="n">
        <v>396.6942148760331</v>
      </c>
      <c r="BU15" s="2" t="n">
        <v>8208.983239669422</v>
      </c>
      <c r="BV15" s="2" t="n">
        <v>9461.29026446281</v>
      </c>
      <c r="BW15" s="2" t="n">
        <v>49292.35337801653</v>
      </c>
      <c r="BX15" s="2" t="n">
        <v>2406.39</v>
      </c>
      <c r="BY15" s="2" t="n">
        <v>442.05</v>
      </c>
      <c r="BZ15" s="2" t="n">
        <v>0</v>
      </c>
      <c r="CA15" s="2" t="n">
        <v>2848.44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16736.97</v>
      </c>
      <c r="L16" s="2" t="n">
        <v>1393.197780555556</v>
      </c>
      <c r="M16" s="2" t="n">
        <v>15497.19444444445</v>
      </c>
      <c r="N16" s="2" t="n">
        <v>0</v>
      </c>
      <c r="O16" s="2" t="n">
        <v>15845.19</v>
      </c>
      <c r="P16" s="2" t="n">
        <v>891.78</v>
      </c>
      <c r="Q16" s="2" t="n">
        <v>29.7</v>
      </c>
      <c r="R16" s="2" t="n">
        <v>2.0625</v>
      </c>
      <c r="S16" s="2" t="n">
        <v>27.5</v>
      </c>
      <c r="T16" s="2" t="n">
        <v>0</v>
      </c>
      <c r="U16" s="2" t="n">
        <v>29.7</v>
      </c>
      <c r="V16" s="2" t="n">
        <v>0</v>
      </c>
      <c r="W16" s="2" t="n">
        <v>46137.97</v>
      </c>
      <c r="X16" s="2" t="n">
        <v>750</v>
      </c>
      <c r="Y16" s="2" t="n">
        <v>42720.34259259259</v>
      </c>
      <c r="Z16" s="2" t="n">
        <v>0</v>
      </c>
      <c r="AA16" s="2" t="n">
        <v>45157.39</v>
      </c>
      <c r="AB16" s="2" t="n">
        <v>980.58</v>
      </c>
      <c r="AC16" s="2" t="n">
        <v>6.1</v>
      </c>
      <c r="AD16" s="2" t="n">
        <v>0.3897222222222222</v>
      </c>
      <c r="AE16" s="2" t="n">
        <v>5.648148148148147</v>
      </c>
      <c r="AF16" s="2" t="n">
        <v>0</v>
      </c>
      <c r="AG16" s="2" t="n">
        <v>6.1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8475.1</v>
      </c>
      <c r="AP16" s="2" t="n">
        <v>4150</v>
      </c>
      <c r="AQ16" s="2" t="n">
        <v>7847.314814814815</v>
      </c>
      <c r="AR16" s="2" t="n">
        <v>0</v>
      </c>
      <c r="AS16" s="2" t="n">
        <v>8076.61</v>
      </c>
      <c r="AT16" s="2" t="n">
        <v>398.49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71385.84</v>
      </c>
      <c r="BB16" s="2" t="n">
        <v>71385.84</v>
      </c>
      <c r="BC16" s="2">
        <f>F16+L16+R16+X16+AD16+AJ16+AP16+AV16+IF(BE16="",0,BE16)</f>
        <v/>
      </c>
      <c r="BD16" s="2" t="n">
        <v>1011.679793</v>
      </c>
      <c r="BE16" s="2" t="n"/>
      <c r="BF16" s="2" t="n">
        <v>66098</v>
      </c>
      <c r="BG16" s="2" t="n">
        <v>1056.72</v>
      </c>
      <c r="BH16" s="2" t="n">
        <v>317.4</v>
      </c>
      <c r="BI16" s="2" t="n">
        <v>39677.05</v>
      </c>
      <c r="BJ16" s="2" t="n">
        <v>90.55917355371901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963.7088400000001</v>
      </c>
      <c r="BQ16" s="2" t="n">
        <v>0</v>
      </c>
      <c r="BR16" s="2" t="n">
        <v>42130.43801355372</v>
      </c>
      <c r="BS16" s="2" t="n">
        <v>855.6128099173553</v>
      </c>
      <c r="BT16" s="2" t="n">
        <v>396.6942148760331</v>
      </c>
      <c r="BU16" s="2" t="n">
        <v>8483.807239669422</v>
      </c>
      <c r="BV16" s="2" t="n">
        <v>9736.114264462811</v>
      </c>
      <c r="BW16" s="2" t="n">
        <v>51866.55227801653</v>
      </c>
      <c r="BX16" s="2" t="n">
        <v>69114.98999999999</v>
      </c>
      <c r="BY16" s="2" t="n">
        <v>2270.85</v>
      </c>
      <c r="BZ16" s="2" t="n">
        <v>0</v>
      </c>
      <c r="CA16" s="2" t="n">
        <v>71385.84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955.35</v>
      </c>
      <c r="AP17" s="2" t="n">
        <v>3500</v>
      </c>
      <c r="AQ17" s="2" t="n">
        <v>884.5833333333333</v>
      </c>
      <c r="AR17" s="2" t="n">
        <v>0</v>
      </c>
      <c r="AS17" s="2" t="n">
        <v>883.09</v>
      </c>
      <c r="AT17" s="2" t="n">
        <v>72.26000000000001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955.35</v>
      </c>
      <c r="BB17" s="2" t="n">
        <v>955.35</v>
      </c>
      <c r="BC17" s="2">
        <f>F17+L17+R17+X17+AD17+AJ17+AP17+AV17+IF(BE17="",0,BE17)</f>
        <v/>
      </c>
      <c r="BD17" s="2" t="n">
        <v>14.71239</v>
      </c>
      <c r="BE17" s="2" t="n"/>
      <c r="BF17" s="2" t="n">
        <v>884.5833333333333</v>
      </c>
      <c r="BG17" s="2" t="n">
        <v>0</v>
      </c>
      <c r="BH17" s="2" t="n">
        <v>0</v>
      </c>
      <c r="BI17" s="2" t="n">
        <v>39677.05</v>
      </c>
      <c r="BJ17" s="2" t="n">
        <v>90.55917355371901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12.897225</v>
      </c>
      <c r="BQ17" s="2" t="n">
        <v>0</v>
      </c>
      <c r="BR17" s="2" t="n">
        <v>39805.50639855372</v>
      </c>
      <c r="BS17" s="2" t="n">
        <v>855.6128099173553</v>
      </c>
      <c r="BT17" s="2" t="n">
        <v>396.6942148760331</v>
      </c>
      <c r="BU17" s="2" t="n">
        <v>8208.983239669422</v>
      </c>
      <c r="BV17" s="2" t="n">
        <v>9461.29026446281</v>
      </c>
      <c r="BW17" s="2" t="n">
        <v>49266.79666301653</v>
      </c>
      <c r="BX17" s="2" t="n">
        <v>883.09</v>
      </c>
      <c r="BY17" s="2" t="n">
        <v>72.26000000000001</v>
      </c>
      <c r="BZ17" s="2" t="n">
        <v>0</v>
      </c>
      <c r="CA17" s="2" t="n">
        <v>955.35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5971.79</v>
      </c>
      <c r="L18" s="2" t="n">
        <v>497.0962231481482</v>
      </c>
      <c r="M18" s="2" t="n">
        <v>5529.435185185185</v>
      </c>
      <c r="N18" s="2" t="n">
        <v>0</v>
      </c>
      <c r="O18" s="2" t="n">
        <v>5312.39</v>
      </c>
      <c r="P18" s="2" t="n">
        <v>659.4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1937.82</v>
      </c>
      <c r="AP18" s="2" t="n">
        <v>4150</v>
      </c>
      <c r="AQ18" s="2" t="n">
        <v>1794.277777777778</v>
      </c>
      <c r="AR18" s="2" t="n">
        <v>0</v>
      </c>
      <c r="AS18" s="2" t="n">
        <v>1867.43</v>
      </c>
      <c r="AT18" s="2" t="n">
        <v>70.39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7909.610000000001</v>
      </c>
      <c r="BB18" s="2" t="n">
        <v>7909.610000000001</v>
      </c>
      <c r="BC18" s="2">
        <f>F18+L18+R18+X18+AD18+AJ18+AP18+AV18+IF(BE18="",0,BE18)</f>
        <v/>
      </c>
      <c r="BD18" s="2" t="n">
        <v>121.807994</v>
      </c>
      <c r="BE18" s="2" t="n"/>
      <c r="BF18" s="2" t="n">
        <v>7323.712962962964</v>
      </c>
      <c r="BG18" s="2" t="n">
        <v>0</v>
      </c>
      <c r="BH18" s="2" t="n">
        <v>0</v>
      </c>
      <c r="BI18" s="2" t="n">
        <v>39677.05</v>
      </c>
      <c r="BJ18" s="2" t="n">
        <v>90.55917355371901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106.779735</v>
      </c>
      <c r="BQ18" s="2" t="n">
        <v>0</v>
      </c>
      <c r="BR18" s="2" t="n">
        <v>39899.38890855372</v>
      </c>
      <c r="BS18" s="2" t="n">
        <v>855.6128099173553</v>
      </c>
      <c r="BT18" s="2" t="n">
        <v>396.6942148760331</v>
      </c>
      <c r="BU18" s="2" t="n">
        <v>8208.983239669422</v>
      </c>
      <c r="BV18" s="2" t="n">
        <v>9461.29026446281</v>
      </c>
      <c r="BW18" s="2" t="n">
        <v>49360.67917301653</v>
      </c>
      <c r="BX18" s="2" t="n">
        <v>7179.820000000001</v>
      </c>
      <c r="BY18" s="2" t="n">
        <v>729.79</v>
      </c>
      <c r="BZ18" s="2" t="n">
        <v>0</v>
      </c>
      <c r="CA18" s="2" t="n">
        <v>7909.610000000001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6930.28</v>
      </c>
      <c r="L19" s="2" t="n">
        <v>576.8816407407407</v>
      </c>
      <c r="M19" s="2" t="n">
        <v>6416.925925925925</v>
      </c>
      <c r="N19" s="2" t="n">
        <v>0</v>
      </c>
      <c r="O19" s="2" t="n">
        <v>6692.84</v>
      </c>
      <c r="P19" s="2" t="n">
        <v>237.44</v>
      </c>
      <c r="Q19" s="2" t="n">
        <v>17063.75</v>
      </c>
      <c r="R19" s="2" t="n">
        <v>1184.982638888889</v>
      </c>
      <c r="S19" s="2" t="n">
        <v>15799.76851851852</v>
      </c>
      <c r="T19" s="2" t="n">
        <v>0</v>
      </c>
      <c r="U19" s="2" t="n">
        <v>16444.95</v>
      </c>
      <c r="V19" s="2" t="n">
        <v>618.8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18.2</v>
      </c>
      <c r="AD19" s="2" t="n">
        <v>1.162777777777778</v>
      </c>
      <c r="AE19" s="2" t="n">
        <v>16.85185185185185</v>
      </c>
      <c r="AF19" s="2" t="n">
        <v>0</v>
      </c>
      <c r="AG19" s="2" t="n">
        <v>18.2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7712.299999999999</v>
      </c>
      <c r="AP19" s="2" t="n">
        <v>4150</v>
      </c>
      <c r="AQ19" s="2" t="n">
        <v>7141.018518518517</v>
      </c>
      <c r="AR19" s="2" t="n">
        <v>0</v>
      </c>
      <c r="AS19" s="2" t="n">
        <v>7471.32</v>
      </c>
      <c r="AT19" s="2" t="n">
        <v>240.98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31724.53</v>
      </c>
      <c r="BB19" s="2" t="n">
        <v>31724.53</v>
      </c>
      <c r="BC19" s="2">
        <f>F19+L19+R19+X19+AD19+AJ19+AP19+AV19+IF(BE19="",0,BE19)</f>
        <v/>
      </c>
      <c r="BD19" s="2" t="n">
        <v>488.557762</v>
      </c>
      <c r="BE19" s="2" t="n"/>
      <c r="BF19" s="2" t="n">
        <v>29374.56481481481</v>
      </c>
      <c r="BG19" s="2" t="n">
        <v>0</v>
      </c>
      <c r="BH19" s="2" t="n">
        <v>0</v>
      </c>
      <c r="BI19" s="2" t="n">
        <v>39677.05</v>
      </c>
      <c r="BJ19" s="2" t="n">
        <v>90.55917355371901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428.281155</v>
      </c>
      <c r="BQ19" s="2" t="n">
        <v>0</v>
      </c>
      <c r="BR19" s="2" t="n">
        <v>40220.89032855372</v>
      </c>
      <c r="BS19" s="2" t="n">
        <v>855.6128099173553</v>
      </c>
      <c r="BT19" s="2" t="n">
        <v>396.6942148760331</v>
      </c>
      <c r="BU19" s="2" t="n">
        <v>8208.983239669422</v>
      </c>
      <c r="BV19" s="2" t="n">
        <v>9461.29026446281</v>
      </c>
      <c r="BW19" s="2" t="n">
        <v>49682.18059301653</v>
      </c>
      <c r="BX19" s="2" t="n">
        <v>30627.31</v>
      </c>
      <c r="BY19" s="2" t="n">
        <v>1097.22</v>
      </c>
      <c r="BZ19" s="2" t="n">
        <v>0</v>
      </c>
      <c r="CA19" s="2" t="n">
        <v>31724.53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1994.94</v>
      </c>
      <c r="L20" s="2" t="n">
        <v>166.0602833333333</v>
      </c>
      <c r="M20" s="2" t="n">
        <v>1847.166666666667</v>
      </c>
      <c r="N20" s="2" t="n">
        <v>0</v>
      </c>
      <c r="O20" s="2" t="n">
        <v>1822.45</v>
      </c>
      <c r="P20" s="2" t="n">
        <v>172.49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3952.25</v>
      </c>
      <c r="AP20" s="2" t="n">
        <v>4150</v>
      </c>
      <c r="AQ20" s="2" t="n">
        <v>3659.49074074074</v>
      </c>
      <c r="AR20" s="2" t="n">
        <v>0</v>
      </c>
      <c r="AS20" s="2" t="n">
        <v>3760.55</v>
      </c>
      <c r="AT20" s="2" t="n">
        <v>191.7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5947.190000000001</v>
      </c>
      <c r="BB20" s="2" t="n">
        <v>5947.190000000001</v>
      </c>
      <c r="BC20" s="2">
        <f>F20+L20+R20+X20+AD20+AJ20+AP20+AV20+IF(BE20="",0,BE20)</f>
        <v/>
      </c>
      <c r="BD20" s="2" t="n">
        <v>91.586726</v>
      </c>
      <c r="BE20" s="2" t="n"/>
      <c r="BF20" s="2" t="n">
        <v>5506.657407407407</v>
      </c>
      <c r="BG20" s="2" t="n">
        <v>0</v>
      </c>
      <c r="BH20" s="2" t="n">
        <v>0</v>
      </c>
      <c r="BI20" s="2" t="n">
        <v>39677.05</v>
      </c>
      <c r="BJ20" s="2" t="n">
        <v>90.55917355371901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80.287065</v>
      </c>
      <c r="BQ20" s="2" t="n">
        <v>0</v>
      </c>
      <c r="BR20" s="2" t="n">
        <v>39872.89623855372</v>
      </c>
      <c r="BS20" s="2" t="n">
        <v>855.6128099173553</v>
      </c>
      <c r="BT20" s="2" t="n">
        <v>396.6942148760331</v>
      </c>
      <c r="BU20" s="2" t="n">
        <v>8208.983239669422</v>
      </c>
      <c r="BV20" s="2" t="n">
        <v>9461.29026446281</v>
      </c>
      <c r="BW20" s="2" t="n">
        <v>49334.18650301653</v>
      </c>
      <c r="BX20" s="2" t="n">
        <v>5583</v>
      </c>
      <c r="BY20" s="2" t="n">
        <v>364.19</v>
      </c>
      <c r="BZ20" s="2" t="n">
        <v>0</v>
      </c>
      <c r="CA20" s="2" t="n">
        <v>5947.19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3103.37</v>
      </c>
      <c r="L21" s="2" t="n">
        <v>258.3268175925926</v>
      </c>
      <c r="M21" s="2" t="n">
        <v>2873.49074074074</v>
      </c>
      <c r="N21" s="2" t="n">
        <v>0</v>
      </c>
      <c r="O21" s="2" t="n">
        <v>2919.87</v>
      </c>
      <c r="P21" s="2" t="n">
        <v>183.5</v>
      </c>
      <c r="Q21" s="2" t="n">
        <v>95</v>
      </c>
      <c r="R21" s="2" t="n">
        <v>6.597222222222222</v>
      </c>
      <c r="S21" s="2" t="n">
        <v>87.96296296296296</v>
      </c>
      <c r="T21" s="2" t="n">
        <v>0</v>
      </c>
      <c r="U21" s="2" t="n">
        <v>95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20.5</v>
      </c>
      <c r="AD21" s="2" t="n">
        <v>1.309722222222222</v>
      </c>
      <c r="AE21" s="2" t="n">
        <v>18.98148148148148</v>
      </c>
      <c r="AF21" s="2" t="n">
        <v>0</v>
      </c>
      <c r="AG21" s="2" t="n">
        <v>20.5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9224.540000000001</v>
      </c>
      <c r="AP21" s="2" t="n">
        <v>8300</v>
      </c>
      <c r="AQ21" s="2" t="n">
        <v>8541.240740740741</v>
      </c>
      <c r="AR21" s="2" t="n">
        <v>0</v>
      </c>
      <c r="AS21" s="2" t="n">
        <v>8557.860000000001</v>
      </c>
      <c r="AT21" s="2" t="n">
        <v>666.6799999999999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12443.41</v>
      </c>
      <c r="BB21" s="2" t="n">
        <v>12443.41</v>
      </c>
      <c r="BC21" s="2">
        <f>F21+L21+R21+X21+AD21+AJ21+AP21+AV21+IF(BE21="",0,BE21)</f>
        <v/>
      </c>
      <c r="BD21" s="2" t="n">
        <v>191.628514</v>
      </c>
      <c r="BE21" s="2" t="n"/>
      <c r="BF21" s="2" t="n">
        <v>11521.67592592593</v>
      </c>
      <c r="BG21" s="2" t="n">
        <v>0</v>
      </c>
      <c r="BH21" s="2" t="n">
        <v>0</v>
      </c>
      <c r="BI21" s="2" t="n">
        <v>39677.05</v>
      </c>
      <c r="BJ21" s="2" t="n">
        <v>90.55917355371901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167.986035</v>
      </c>
      <c r="BQ21" s="2" t="n">
        <v>0</v>
      </c>
      <c r="BR21" s="2" t="n">
        <v>39960.59520855372</v>
      </c>
      <c r="BS21" s="2" t="n">
        <v>855.6128099173553</v>
      </c>
      <c r="BT21" s="2" t="n">
        <v>396.6942148760331</v>
      </c>
      <c r="BU21" s="2" t="n">
        <v>8208.983239669422</v>
      </c>
      <c r="BV21" s="2" t="n">
        <v>9461.29026446281</v>
      </c>
      <c r="BW21" s="2" t="n">
        <v>49421.88547301653</v>
      </c>
      <c r="BX21" s="2" t="n">
        <v>11593.23</v>
      </c>
      <c r="BY21" s="2" t="n">
        <v>850.1799999999999</v>
      </c>
      <c r="BZ21" s="2" t="n">
        <v>0</v>
      </c>
      <c r="CA21" s="2" t="n">
        <v>12443.41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602.25</v>
      </c>
      <c r="L22" s="2" t="n">
        <v>50.13173611111111</v>
      </c>
      <c r="M22" s="2" t="n">
        <v>557.6388888888888</v>
      </c>
      <c r="N22" s="2" t="n">
        <v>0</v>
      </c>
      <c r="O22" s="2" t="n">
        <v>602.25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976.1999999999999</v>
      </c>
      <c r="AP22" s="2" t="n">
        <v>3500</v>
      </c>
      <c r="AQ22" s="2" t="n">
        <v>903.8888888888888</v>
      </c>
      <c r="AR22" s="2" t="n">
        <v>0</v>
      </c>
      <c r="AS22" s="2" t="n">
        <v>899.65</v>
      </c>
      <c r="AT22" s="2" t="n">
        <v>76.55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1578.45</v>
      </c>
      <c r="BB22" s="2" t="n">
        <v>1578.45</v>
      </c>
      <c r="BC22" s="2">
        <f>F22+L22+R22+X22+AD22+AJ22+AP22+AV22+IF(BE22="",0,BE22)</f>
        <v/>
      </c>
      <c r="BD22" s="2" t="n">
        <v>24.30813</v>
      </c>
      <c r="BE22" s="2" t="n"/>
      <c r="BF22" s="2" t="n">
        <v>1461.527777777778</v>
      </c>
      <c r="BG22" s="2" t="n">
        <v>0</v>
      </c>
      <c r="BH22" s="2" t="n">
        <v>0</v>
      </c>
      <c r="BI22" s="2" t="n">
        <v>39677.05</v>
      </c>
      <c r="BJ22" s="2" t="n">
        <v>90.55917355371901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21.309075</v>
      </c>
      <c r="BQ22" s="2" t="n">
        <v>0</v>
      </c>
      <c r="BR22" s="2" t="n">
        <v>39813.91824855372</v>
      </c>
      <c r="BS22" s="2" t="n">
        <v>855.6128099173553</v>
      </c>
      <c r="BT22" s="2" t="n">
        <v>396.6942148760331</v>
      </c>
      <c r="BU22" s="2" t="n">
        <v>8208.983239669422</v>
      </c>
      <c r="BV22" s="2" t="n">
        <v>9461.29026446281</v>
      </c>
      <c r="BW22" s="2" t="n">
        <v>49275.20851301653</v>
      </c>
      <c r="BX22" s="2" t="n">
        <v>1501.9</v>
      </c>
      <c r="BY22" s="2" t="n">
        <v>76.55</v>
      </c>
      <c r="BZ22" s="2" t="n">
        <v>0</v>
      </c>
      <c r="CA22" s="2" t="n">
        <v>1578.45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11290.94</v>
      </c>
      <c r="L23" s="2" t="n">
        <v>939.8662092592592</v>
      </c>
      <c r="M23" s="2" t="n">
        <v>10454.57407407407</v>
      </c>
      <c r="N23" s="2" t="n">
        <v>0</v>
      </c>
      <c r="O23" s="2" t="n">
        <v>10268.38</v>
      </c>
      <c r="P23" s="2" t="n">
        <v>1022.56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18059.57</v>
      </c>
      <c r="AP23" s="2" t="n">
        <v>3500</v>
      </c>
      <c r="AQ23" s="2" t="n">
        <v>16721.82407407407</v>
      </c>
      <c r="AR23" s="2" t="n">
        <v>0</v>
      </c>
      <c r="AS23" s="2" t="n">
        <v>17358.57</v>
      </c>
      <c r="AT23" s="2" t="n">
        <v>701</v>
      </c>
      <c r="AU23" s="2" t="n">
        <v>9117.949999999999</v>
      </c>
      <c r="AV23" s="2" t="n">
        <v>726.0589814814814</v>
      </c>
      <c r="AW23" s="2" t="n">
        <v>8442.546296296296</v>
      </c>
      <c r="AX23" s="2" t="n">
        <v>0</v>
      </c>
      <c r="AY23" s="2" t="n">
        <v>8835.9</v>
      </c>
      <c r="AZ23" s="2" t="n">
        <v>282.05</v>
      </c>
      <c r="BA23" s="2" t="n">
        <v>38468.46</v>
      </c>
      <c r="BB23" s="2" t="n">
        <v>38468.46</v>
      </c>
      <c r="BC23" s="2">
        <f>F23+L23+R23+X23+AD23+AJ23+AP23+AV23+IF(BE23="",0,BE23)</f>
        <v/>
      </c>
      <c r="BD23" s="2" t="n">
        <v>592.414284</v>
      </c>
      <c r="BE23" s="2" t="n"/>
      <c r="BF23" s="2" t="n">
        <v>35618.94444444444</v>
      </c>
      <c r="BG23" s="2" t="n">
        <v>0</v>
      </c>
      <c r="BH23" s="2" t="n">
        <v>0</v>
      </c>
      <c r="BI23" s="2" t="n">
        <v>39677.05</v>
      </c>
      <c r="BJ23" s="2" t="n">
        <v>90.55917355371901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519.32421</v>
      </c>
      <c r="BQ23" s="2" t="n">
        <v>0</v>
      </c>
      <c r="BR23" s="2" t="n">
        <v>40311.93338355372</v>
      </c>
      <c r="BS23" s="2" t="n">
        <v>855.6128099173553</v>
      </c>
      <c r="BT23" s="2" t="n">
        <v>396.6942148760331</v>
      </c>
      <c r="BU23" s="2" t="n">
        <v>8208.983239669422</v>
      </c>
      <c r="BV23" s="2" t="n">
        <v>9461.29026446281</v>
      </c>
      <c r="BW23" s="2" t="n">
        <v>49773.22364801653</v>
      </c>
      <c r="BX23" s="2" t="n">
        <v>36462.85</v>
      </c>
      <c r="BY23" s="2" t="n">
        <v>2005.61</v>
      </c>
      <c r="BZ23" s="2" t="n">
        <v>0</v>
      </c>
      <c r="CA23" s="2" t="n">
        <v>38468.46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1124</v>
      </c>
      <c r="B24" t="inlineStr">
        <is>
          <t>Zwierzyn (Strzelce Krajenskie)</t>
        </is>
      </c>
      <c r="C24" t="inlineStr"/>
      <c r="D24" t="inlineStr"/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270.45</v>
      </c>
      <c r="L24" s="2" t="n">
        <v>22.51245833333333</v>
      </c>
      <c r="M24" s="2" t="n">
        <v>250.4166666666666</v>
      </c>
      <c r="N24" s="2" t="n">
        <v>0</v>
      </c>
      <c r="O24" s="2" t="n">
        <v>270.45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0.3</v>
      </c>
      <c r="AD24" s="2" t="n">
        <v>0.01916666666666667</v>
      </c>
      <c r="AE24" s="2" t="n">
        <v>0.2777777777777777</v>
      </c>
      <c r="AF24" s="2" t="n">
        <v>0</v>
      </c>
      <c r="AG24" s="2" t="n">
        <v>0.3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772.79</v>
      </c>
      <c r="AP24" s="2" t="n">
        <v>4200</v>
      </c>
      <c r="AQ24" s="2" t="n">
        <v>715.5462962962962</v>
      </c>
      <c r="AR24" s="2" t="n">
        <v>0</v>
      </c>
      <c r="AS24" s="2" t="n">
        <v>660.4299999999999</v>
      </c>
      <c r="AT24" s="2" t="n">
        <v>112.36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1043.54</v>
      </c>
      <c r="BB24" s="2" t="n">
        <v>1043.54</v>
      </c>
      <c r="BC24" s="2">
        <f>F24+L24+R24+X24+AD24+AJ24+AP24+AV24+IF(BE24="",0,BE24)</f>
        <v/>
      </c>
      <c r="BD24" s="2" t="n">
        <v>16.070516</v>
      </c>
      <c r="BE24" s="2" t="n"/>
      <c r="BF24" s="2" t="n">
        <v>966.2407407407406</v>
      </c>
      <c r="BG24" s="2" t="n">
        <v>0</v>
      </c>
      <c r="BH24" s="2" t="n">
        <v>0</v>
      </c>
      <c r="BI24" s="2" t="n">
        <v>39677.05</v>
      </c>
      <c r="BJ24" s="2" t="n">
        <v>90.55917355371901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14.08779</v>
      </c>
      <c r="BQ24" s="2" t="n">
        <v>0</v>
      </c>
      <c r="BR24" s="2" t="n">
        <v>39806.69696355372</v>
      </c>
      <c r="BS24" s="2" t="n">
        <v>855.6128099173553</v>
      </c>
      <c r="BT24" s="2" t="n">
        <v>396.6942148760331</v>
      </c>
      <c r="BU24" s="2" t="n">
        <v>8208.983239669422</v>
      </c>
      <c r="BV24" s="2" t="n">
        <v>9461.29026446281</v>
      </c>
      <c r="BW24" s="2" t="n">
        <v>49267.98722801653</v>
      </c>
      <c r="BX24" s="2" t="n">
        <v>931.1799999999999</v>
      </c>
      <c r="BY24" s="2" t="n">
        <v>112.36</v>
      </c>
      <c r="BZ24" s="2" t="n">
        <v>0</v>
      </c>
      <c r="CA24" s="2" t="n">
        <v>1043.54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1125</v>
      </c>
      <c r="B25" t="inlineStr">
        <is>
          <t>Koluszki</t>
        </is>
      </c>
      <c r="C25" t="inlineStr">
        <is>
          <t>Koluszki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3336.21</v>
      </c>
      <c r="L25" s="2" t="n">
        <v>277.7085916666667</v>
      </c>
      <c r="M25" s="2" t="n">
        <v>3089.083333333333</v>
      </c>
      <c r="N25" s="2" t="n">
        <v>0</v>
      </c>
      <c r="O25" s="2" t="n">
        <v>2934.41</v>
      </c>
      <c r="P25" s="2" t="n">
        <v>401.8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1714.6</v>
      </c>
      <c r="AJ25" s="2" t="n">
        <v>119.0694444444444</v>
      </c>
      <c r="AK25" s="2" t="n">
        <v>1587.592592592592</v>
      </c>
      <c r="AL25" s="2" t="n">
        <v>0</v>
      </c>
      <c r="AM25" s="2" t="n">
        <v>1478.6</v>
      </c>
      <c r="AN25" s="2" t="n">
        <v>236</v>
      </c>
      <c r="AO25" s="2" t="n">
        <v>1149.97</v>
      </c>
      <c r="AP25" s="2" t="n">
        <v>4200</v>
      </c>
      <c r="AQ25" s="2" t="n">
        <v>1064.787037037037</v>
      </c>
      <c r="AR25" s="2" t="n">
        <v>0</v>
      </c>
      <c r="AS25" s="2" t="n">
        <v>1084.32</v>
      </c>
      <c r="AT25" s="2" t="n">
        <v>65.65000000000001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6200.78</v>
      </c>
      <c r="BB25" s="2" t="n">
        <v>6200.78</v>
      </c>
      <c r="BC25" s="2">
        <f>F25+L25+R25+X25+AD25+AJ25+AP25+AV25+IF(BE25="",0,BE25)</f>
        <v/>
      </c>
      <c r="BD25" s="2" t="n">
        <v>95.49201200000002</v>
      </c>
      <c r="BE25" s="2" t="n"/>
      <c r="BF25" s="2" t="n">
        <v>5741.462962962962</v>
      </c>
      <c r="BG25" s="2" t="n">
        <v>0</v>
      </c>
      <c r="BH25" s="2" t="n">
        <v>0</v>
      </c>
      <c r="BI25" s="2" t="n">
        <v>39677.05</v>
      </c>
      <c r="BJ25" s="2" t="n">
        <v>90.55917355371901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83.71053000000001</v>
      </c>
      <c r="BQ25" s="2" t="n">
        <v>0</v>
      </c>
      <c r="BR25" s="2" t="n">
        <v>39876.31970355372</v>
      </c>
      <c r="BS25" s="2" t="n">
        <v>855.6128099173553</v>
      </c>
      <c r="BT25" s="2" t="n">
        <v>396.6942148760331</v>
      </c>
      <c r="BU25" s="2" t="n">
        <v>8208.983239669422</v>
      </c>
      <c r="BV25" s="2" t="n">
        <v>9461.29026446281</v>
      </c>
      <c r="BW25" s="2" t="n">
        <v>49337.60996801653</v>
      </c>
      <c r="BX25" s="2" t="n">
        <v>5497.33</v>
      </c>
      <c r="BY25" s="2" t="n">
        <v>703.4499999999999</v>
      </c>
      <c r="BZ25" s="2" t="n">
        <v>0</v>
      </c>
      <c r="CA25" s="2" t="n">
        <v>6200.78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1126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31752.75</v>
      </c>
      <c r="L26" s="2" t="n">
        <v>2643.122430555556</v>
      </c>
      <c r="M26" s="2" t="n">
        <v>29400.69444444444</v>
      </c>
      <c r="N26" s="2" t="n">
        <v>0</v>
      </c>
      <c r="O26" s="2" t="n">
        <v>30258.72</v>
      </c>
      <c r="P26" s="2" t="n">
        <v>1494.03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781.4300000000001</v>
      </c>
      <c r="AJ26" s="2" t="n">
        <v>54.26597222222222</v>
      </c>
      <c r="AK26" s="2" t="n">
        <v>723.5462962962963</v>
      </c>
      <c r="AL26" s="2" t="n">
        <v>0</v>
      </c>
      <c r="AM26" s="2" t="n">
        <v>650.75</v>
      </c>
      <c r="AN26" s="2" t="n">
        <v>130.68</v>
      </c>
      <c r="AO26" s="2" t="n">
        <v>1053.38</v>
      </c>
      <c r="AP26" s="2" t="n">
        <v>77.05279629629629</v>
      </c>
      <c r="AQ26" s="2" t="n">
        <v>975.3518518518517</v>
      </c>
      <c r="AR26" s="2" t="n">
        <v>0</v>
      </c>
      <c r="AS26" s="2" t="n">
        <v>960.29</v>
      </c>
      <c r="AT26" s="2" t="n">
        <v>93.09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33587.56</v>
      </c>
      <c r="BB26" s="2" t="n">
        <v>33587.56</v>
      </c>
      <c r="BC26" s="2">
        <f>F26+L26+R26+X26+AD26+AJ26+AP26+AV26+IF(BE26="",0,BE26)</f>
        <v/>
      </c>
      <c r="BD26" s="2" t="n">
        <v>517.248424</v>
      </c>
      <c r="BE26" s="2" t="n"/>
      <c r="BF26" s="2" t="n">
        <v>31099.59259259259</v>
      </c>
      <c r="BG26" s="2" t="n">
        <v>888.51</v>
      </c>
      <c r="BH26" s="2" t="n">
        <v>263.52</v>
      </c>
      <c r="BI26" s="2" t="n">
        <v>39677.05</v>
      </c>
      <c r="BJ26" s="2" t="n">
        <v>90.55917355371901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453.43206</v>
      </c>
      <c r="BQ26" s="2" t="n">
        <v>0</v>
      </c>
      <c r="BR26" s="2" t="n">
        <v>41398.07123355372</v>
      </c>
      <c r="BS26" s="2" t="n">
        <v>855.6128099173553</v>
      </c>
      <c r="BT26" s="2" t="n">
        <v>396.6942148760331</v>
      </c>
      <c r="BU26" s="2" t="n">
        <v>8439.389239669423</v>
      </c>
      <c r="BV26" s="2" t="n">
        <v>9691.696264462811</v>
      </c>
      <c r="BW26" s="2" t="n">
        <v>51089.76749801653</v>
      </c>
      <c r="BX26" s="2" t="n">
        <v>31869.76</v>
      </c>
      <c r="BY26" s="2" t="n">
        <v>1717.8</v>
      </c>
      <c r="BZ26" s="2" t="n">
        <v>0</v>
      </c>
      <c r="CA26" s="2" t="n">
        <v>33587.56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1127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24384.89</v>
      </c>
      <c r="L27" s="2" t="n">
        <v>2029.816306481481</v>
      </c>
      <c r="M27" s="2" t="n">
        <v>22578.60185185185</v>
      </c>
      <c r="N27" s="2" t="n">
        <v>0</v>
      </c>
      <c r="O27" s="2" t="n">
        <v>22880.85</v>
      </c>
      <c r="P27" s="2" t="n">
        <v>1504.04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902.26</v>
      </c>
      <c r="AJ27" s="2" t="n">
        <v>62.65694444444443</v>
      </c>
      <c r="AK27" s="2" t="n">
        <v>835.4259259259259</v>
      </c>
      <c r="AL27" s="2" t="n">
        <v>0</v>
      </c>
      <c r="AM27" s="2" t="n">
        <v>794.3099999999999</v>
      </c>
      <c r="AN27" s="2" t="n">
        <v>107.95</v>
      </c>
      <c r="AO27" s="2" t="n">
        <v>1598.88</v>
      </c>
      <c r="AP27" s="2" t="n">
        <v>116.9551111111111</v>
      </c>
      <c r="AQ27" s="2" t="n">
        <v>1480.444444444444</v>
      </c>
      <c r="AR27" s="2" t="n">
        <v>0</v>
      </c>
      <c r="AS27" s="2" t="n">
        <v>1527.38</v>
      </c>
      <c r="AT27" s="2" t="n">
        <v>71.5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26886.03</v>
      </c>
      <c r="BB27" s="2" t="n">
        <v>26886.03</v>
      </c>
      <c r="BC27" s="2">
        <f>F27+L27+R27+X27+AD27+AJ27+AP27+AV27+IF(BE27="",0,BE27)</f>
        <v/>
      </c>
      <c r="BD27" s="2" t="n">
        <v>414.044862</v>
      </c>
      <c r="BE27" s="2" t="n"/>
      <c r="BF27" s="2" t="n">
        <v>24894.47222222222</v>
      </c>
      <c r="BG27" s="2" t="n">
        <v>888.51</v>
      </c>
      <c r="BH27" s="2" t="n">
        <v>263.52</v>
      </c>
      <c r="BI27" s="2" t="n">
        <v>39677.05</v>
      </c>
      <c r="BJ27" s="2" t="n">
        <v>90.55917355371901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362.961405</v>
      </c>
      <c r="BQ27" s="2" t="n">
        <v>0</v>
      </c>
      <c r="BR27" s="2" t="n">
        <v>41307.60057855372</v>
      </c>
      <c r="BS27" s="2" t="n">
        <v>855.6128099173553</v>
      </c>
      <c r="BT27" s="2" t="n">
        <v>396.6942148760331</v>
      </c>
      <c r="BU27" s="2" t="n">
        <v>8439.389239669423</v>
      </c>
      <c r="BV27" s="2" t="n">
        <v>9691.696264462811</v>
      </c>
      <c r="BW27" s="2" t="n">
        <v>50999.29684301653</v>
      </c>
      <c r="BX27" s="2" t="n">
        <v>25202.54</v>
      </c>
      <c r="BY27" s="2" t="n">
        <v>1683.49</v>
      </c>
      <c r="BZ27" s="2" t="n">
        <v>0</v>
      </c>
      <c r="CA27" s="2" t="n">
        <v>26886.03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1128</v>
      </c>
      <c r="B28" t="inlineStr">
        <is>
          <t>Wojska Polskiego 109, 64-761 Krzyż Wielkopolski</t>
        </is>
      </c>
      <c r="C28" t="inlineStr">
        <is>
          <t>Krzyż Wielkopolski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3408.18</v>
      </c>
      <c r="L28" s="2" t="n">
        <v>283.6994277777778</v>
      </c>
      <c r="M28" s="2" t="n">
        <v>3155.722222222222</v>
      </c>
      <c r="N28" s="2" t="n">
        <v>0</v>
      </c>
      <c r="O28" s="2" t="n">
        <v>2784.58</v>
      </c>
      <c r="P28" s="2" t="n">
        <v>623.6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431.45</v>
      </c>
      <c r="AD28" s="2" t="n">
        <v>27.56486111111111</v>
      </c>
      <c r="AE28" s="2" t="n">
        <v>399.4907407407407</v>
      </c>
      <c r="AF28" s="2" t="n">
        <v>0</v>
      </c>
      <c r="AG28" s="2" t="n">
        <v>431.45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3429.87</v>
      </c>
      <c r="AP28" s="2" t="n">
        <v>250.8886388888889</v>
      </c>
      <c r="AQ28" s="2" t="n">
        <v>3175.805555555555</v>
      </c>
      <c r="AR28" s="2" t="n">
        <v>0</v>
      </c>
      <c r="AS28" s="2" t="n">
        <v>2984.89</v>
      </c>
      <c r="AT28" s="2" t="n">
        <v>444.98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7269.5</v>
      </c>
      <c r="BB28" s="2" t="n">
        <v>7269.5</v>
      </c>
      <c r="BC28" s="2">
        <f>F28+L28+R28+X28+AD28+AJ28+AP28+AV28+IF(BE28="",0,BE28)</f>
        <v/>
      </c>
      <c r="BD28" s="2" t="n">
        <v>111.9503</v>
      </c>
      <c r="BE28" s="2" t="n"/>
      <c r="BF28" s="2" t="n">
        <v>6731.018518518518</v>
      </c>
      <c r="BG28" s="2" t="n">
        <v>518</v>
      </c>
      <c r="BH28" s="2" t="n">
        <v>332</v>
      </c>
      <c r="BI28" s="2" t="n">
        <v>39677.05</v>
      </c>
      <c r="BJ28" s="2" t="n">
        <v>90.55917355371901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98.13825</v>
      </c>
      <c r="BQ28" s="2" t="n">
        <v>0</v>
      </c>
      <c r="BR28" s="2" t="n">
        <v>40740.74742355372</v>
      </c>
      <c r="BS28" s="2" t="n">
        <v>855.6128099173553</v>
      </c>
      <c r="BT28" s="2" t="n">
        <v>396.6942148760331</v>
      </c>
      <c r="BU28" s="2" t="n">
        <v>8378.983239669422</v>
      </c>
      <c r="BV28" s="2" t="n">
        <v>9631.29026446281</v>
      </c>
      <c r="BW28" s="2" t="n">
        <v>50372.03768801653</v>
      </c>
      <c r="BX28" s="2" t="n">
        <v>6200.92</v>
      </c>
      <c r="BY28" s="2" t="n">
        <v>1068.58</v>
      </c>
      <c r="BZ28" s="2" t="n">
        <v>0</v>
      </c>
      <c r="CA28" s="2" t="n">
        <v>7269.5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1129</v>
      </c>
      <c r="B29" t="inlineStr">
        <is>
          <t>Dworcowa 1, 62-300 Września</t>
        </is>
      </c>
      <c r="C29" t="inlineStr">
        <is>
          <t>Września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703.41</v>
      </c>
      <c r="L29" s="2" t="n">
        <v>58.55236944444444</v>
      </c>
      <c r="M29" s="2" t="n">
        <v>651.3055555555554</v>
      </c>
      <c r="N29" s="2" t="n">
        <v>0</v>
      </c>
      <c r="O29" s="2" t="n">
        <v>622.29</v>
      </c>
      <c r="P29" s="2" t="n">
        <v>81.12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5988.15</v>
      </c>
      <c r="AD29" s="2" t="n">
        <v>382.57625</v>
      </c>
      <c r="AE29" s="2" t="n">
        <v>5544.583333333333</v>
      </c>
      <c r="AF29" s="2" t="n">
        <v>0</v>
      </c>
      <c r="AG29" s="2" t="n">
        <v>4880.04</v>
      </c>
      <c r="AH29" s="2" t="n">
        <v>1108.11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6691.559999999999</v>
      </c>
      <c r="BB29" s="2" t="n">
        <v>6691.559999999999</v>
      </c>
      <c r="BC29" s="2">
        <f>F29+L29+R29+X29+AD29+AJ29+AP29+AV29+IF(BE29="",0,BE29)</f>
        <v/>
      </c>
      <c r="BD29" s="2" t="n">
        <v>103.050024</v>
      </c>
      <c r="BE29" s="2" t="n"/>
      <c r="BF29" s="2" t="n">
        <v>6195.888888888889</v>
      </c>
      <c r="BG29" s="2" t="n">
        <v>400</v>
      </c>
      <c r="BH29" s="2" t="n">
        <v>243.8</v>
      </c>
      <c r="BI29" s="2" t="n">
        <v>39677.05</v>
      </c>
      <c r="BJ29" s="2" t="n">
        <v>90.55917355371901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90.33606</v>
      </c>
      <c r="BQ29" s="2" t="n">
        <v>0</v>
      </c>
      <c r="BR29" s="2" t="n">
        <v>40526.74523355372</v>
      </c>
      <c r="BS29" s="2" t="n">
        <v>855.6128099173553</v>
      </c>
      <c r="BT29" s="2" t="n">
        <v>396.6942148760331</v>
      </c>
      <c r="BU29" s="2" t="n">
        <v>8337.743239669422</v>
      </c>
      <c r="BV29" s="2" t="n">
        <v>9590.05026446281</v>
      </c>
      <c r="BW29" s="2" t="n">
        <v>50116.79549801654</v>
      </c>
      <c r="BX29" s="2" t="n">
        <v>5502.33</v>
      </c>
      <c r="BY29" s="2" t="n">
        <v>1189.23</v>
      </c>
      <c r="BZ29" s="2" t="n">
        <v>0</v>
      </c>
      <c r="CA29" s="2" t="n">
        <v>6691.559999999999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1130</v>
      </c>
      <c r="B30" t="inlineStr">
        <is>
          <t>Plac Dworcowy 2, 64-300 Nowy Tomyśl</t>
        </is>
      </c>
      <c r="C30" t="inlineStr">
        <is>
          <t>Nowy Tomyśl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2142.81</v>
      </c>
      <c r="L30" s="2" t="n">
        <v>178.3690916666667</v>
      </c>
      <c r="M30" s="2" t="n">
        <v>1984.083333333333</v>
      </c>
      <c r="N30" s="2" t="n">
        <v>0</v>
      </c>
      <c r="O30" s="2" t="n">
        <v>1790.09</v>
      </c>
      <c r="P30" s="2" t="n">
        <v>352.72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3441.61</v>
      </c>
      <c r="AD30" s="2" t="n">
        <v>219.8806388888889</v>
      </c>
      <c r="AE30" s="2" t="n">
        <v>3186.675925925926</v>
      </c>
      <c r="AF30" s="2" t="n">
        <v>0</v>
      </c>
      <c r="AG30" s="2" t="n">
        <v>3112.51</v>
      </c>
      <c r="AH30" s="2" t="n">
        <v>329.1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873.46</v>
      </c>
      <c r="AP30" s="2" t="n">
        <v>63.89198148148148</v>
      </c>
      <c r="AQ30" s="2" t="n">
        <v>808.7592592592592</v>
      </c>
      <c r="AR30" s="2" t="n">
        <v>0</v>
      </c>
      <c r="AS30" s="2" t="n">
        <v>586.39</v>
      </c>
      <c r="AT30" s="2" t="n">
        <v>287.07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6457.88</v>
      </c>
      <c r="BB30" s="2" t="n">
        <v>6457.88</v>
      </c>
      <c r="BC30" s="2">
        <f>F30+L30+R30+X30+AD30+AJ30+AP30+AV30+IF(BE30="",0,BE30)</f>
        <v/>
      </c>
      <c r="BD30" s="2" t="n">
        <v>99.451352</v>
      </c>
      <c r="BE30" s="2" t="n"/>
      <c r="BF30" s="2" t="n">
        <v>5979.518518518518</v>
      </c>
      <c r="BG30" s="2" t="n">
        <v>362.68</v>
      </c>
      <c r="BH30" s="2" t="n">
        <v>246</v>
      </c>
      <c r="BI30" s="2" t="n">
        <v>39677.05</v>
      </c>
      <c r="BJ30" s="2" t="n">
        <v>90.55917355371901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87.18137999999999</v>
      </c>
      <c r="BQ30" s="2" t="n">
        <v>0</v>
      </c>
      <c r="BR30" s="2" t="n">
        <v>40488.47055355372</v>
      </c>
      <c r="BS30" s="2" t="n">
        <v>855.6128099173553</v>
      </c>
      <c r="BT30" s="2" t="n">
        <v>396.6942148760331</v>
      </c>
      <c r="BU30" s="2" t="n">
        <v>8330.719239669421</v>
      </c>
      <c r="BV30" s="2" t="n">
        <v>9583.026264462809</v>
      </c>
      <c r="BW30" s="2" t="n">
        <v>50071.49681801653</v>
      </c>
      <c r="BX30" s="2" t="n">
        <v>5488.990000000001</v>
      </c>
      <c r="BY30" s="2" t="n">
        <v>968.8900000000001</v>
      </c>
      <c r="BZ30" s="2" t="n">
        <v>0</v>
      </c>
      <c r="CA30" s="2" t="n">
        <v>6457.880000000001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1131</v>
      </c>
      <c r="B31" t="inlineStr">
        <is>
          <t>Dworcowa 1, 64-000 Kościan</t>
        </is>
      </c>
      <c r="C31" t="inlineStr">
        <is>
          <t>Kościan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3775.45</v>
      </c>
      <c r="L31" s="2" t="n">
        <v>314.2712546296296</v>
      </c>
      <c r="M31" s="2" t="n">
        <v>3495.787037037036</v>
      </c>
      <c r="N31" s="2" t="n">
        <v>0</v>
      </c>
      <c r="O31" s="2" t="n">
        <v>3609</v>
      </c>
      <c r="P31" s="2" t="n">
        <v>166.45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3587.52</v>
      </c>
      <c r="AD31" s="2" t="n">
        <v>229.2026666666667</v>
      </c>
      <c r="AE31" s="2" t="n">
        <v>3321.777777777777</v>
      </c>
      <c r="AF31" s="2" t="n">
        <v>0</v>
      </c>
      <c r="AG31" s="2" t="n">
        <v>3300.23</v>
      </c>
      <c r="AH31" s="2" t="n">
        <v>287.29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1689.47</v>
      </c>
      <c r="AP31" s="2" t="n">
        <v>123.5816018518518</v>
      </c>
      <c r="AQ31" s="2" t="n">
        <v>1564.324074074074</v>
      </c>
      <c r="AR31" s="2" t="n">
        <v>0</v>
      </c>
      <c r="AS31" s="2" t="n">
        <v>1583.17</v>
      </c>
      <c r="AT31" s="2" t="n">
        <v>106.3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9052.439999999999</v>
      </c>
      <c r="BB31" s="2" t="n">
        <v>9052.439999999999</v>
      </c>
      <c r="BC31" s="2">
        <f>F31+L31+R31+X31+AD31+AJ31+AP31+AV31+IF(BE31="",0,BE31)</f>
        <v/>
      </c>
      <c r="BD31" s="2" t="n">
        <v>139.407576</v>
      </c>
      <c r="BE31" s="2" t="n"/>
      <c r="BF31" s="2" t="n">
        <v>8381.888888888887</v>
      </c>
      <c r="BG31" s="2" t="n">
        <v>300</v>
      </c>
      <c r="BH31" s="2" t="n">
        <v>340.5</v>
      </c>
      <c r="BI31" s="2" t="n">
        <v>39677.05</v>
      </c>
      <c r="BJ31" s="2" t="n">
        <v>90.55917355371901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122.20794</v>
      </c>
      <c r="BQ31" s="2" t="n">
        <v>0</v>
      </c>
      <c r="BR31" s="2" t="n">
        <v>40555.31711355372</v>
      </c>
      <c r="BS31" s="2" t="n">
        <v>855.6128099173553</v>
      </c>
      <c r="BT31" s="2" t="n">
        <v>396.6942148760331</v>
      </c>
      <c r="BU31" s="2" t="n">
        <v>8337.083239669422</v>
      </c>
      <c r="BV31" s="2" t="n">
        <v>9589.390264462811</v>
      </c>
      <c r="BW31" s="2" t="n">
        <v>50144.70737801653</v>
      </c>
      <c r="BX31" s="2" t="n">
        <v>8492.4</v>
      </c>
      <c r="BY31" s="2" t="n">
        <v>560.04</v>
      </c>
      <c r="BZ31" s="2" t="n">
        <v>0</v>
      </c>
      <c r="CA31" s="2" t="n">
        <v>9052.439999999999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1132</v>
      </c>
      <c r="B32" t="inlineStr">
        <is>
          <t>Dworcowa 1, 63-900 Rawicz</t>
        </is>
      </c>
      <c r="C32" t="inlineStr">
        <is>
          <t>Rawicz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2448.9</v>
      </c>
      <c r="L32" s="2" t="n">
        <v>203.84825</v>
      </c>
      <c r="M32" s="2" t="n">
        <v>2267.5</v>
      </c>
      <c r="N32" s="2" t="n">
        <v>0</v>
      </c>
      <c r="O32" s="2" t="n">
        <v>2104.78</v>
      </c>
      <c r="P32" s="2" t="n">
        <v>344.12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247.1</v>
      </c>
      <c r="AD32" s="2" t="n">
        <v>15.78694444444444</v>
      </c>
      <c r="AE32" s="2" t="n">
        <v>228.7962962962963</v>
      </c>
      <c r="AF32" s="2" t="n">
        <v>0</v>
      </c>
      <c r="AG32" s="2" t="n">
        <v>247.1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1146.71</v>
      </c>
      <c r="AP32" s="2" t="n">
        <v>83.87971296296296</v>
      </c>
      <c r="AQ32" s="2" t="n">
        <v>1061.768518518518</v>
      </c>
      <c r="AR32" s="2" t="n">
        <v>0</v>
      </c>
      <c r="AS32" s="2" t="n">
        <v>1026.44</v>
      </c>
      <c r="AT32" s="2" t="n">
        <v>120.27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3842.71</v>
      </c>
      <c r="BB32" s="2" t="n">
        <v>3842.71</v>
      </c>
      <c r="BC32" s="2">
        <f>F32+L32+R32+X32+AD32+AJ32+AP32+AV32+IF(BE32="",0,BE32)</f>
        <v/>
      </c>
      <c r="BD32" s="2" t="n">
        <v>59.17773400000001</v>
      </c>
      <c r="BE32" s="2" t="n"/>
      <c r="BF32" s="2" t="n">
        <v>3558.064814814815</v>
      </c>
      <c r="BG32" s="2" t="n">
        <v>250</v>
      </c>
      <c r="BH32" s="2" t="n">
        <v>182.45</v>
      </c>
      <c r="BI32" s="2" t="n">
        <v>39677.05</v>
      </c>
      <c r="BJ32" s="2" t="n">
        <v>90.55917355371901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51.876585</v>
      </c>
      <c r="BQ32" s="2" t="n">
        <v>0</v>
      </c>
      <c r="BR32" s="2" t="n">
        <v>40276.93575855371</v>
      </c>
      <c r="BS32" s="2" t="n">
        <v>855.6128099173553</v>
      </c>
      <c r="BT32" s="2" t="n">
        <v>396.6942148760331</v>
      </c>
      <c r="BU32" s="2" t="n">
        <v>8295.473239669422</v>
      </c>
      <c r="BV32" s="2" t="n">
        <v>9547.78026446281</v>
      </c>
      <c r="BW32" s="2" t="n">
        <v>49824.71602301652</v>
      </c>
      <c r="BX32" s="2" t="n">
        <v>3378.32</v>
      </c>
      <c r="BY32" s="2" t="n">
        <v>464.39</v>
      </c>
      <c r="BZ32" s="2" t="n">
        <v>0</v>
      </c>
      <c r="CA32" s="2" t="n">
        <v>3842.71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1135</v>
      </c>
      <c r="B33" t="inlineStr">
        <is>
          <t>Kielce</t>
        </is>
      </c>
      <c r="C33" t="inlineStr">
        <is>
          <t>Kielce Główne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1752.86</v>
      </c>
      <c r="AP33" s="2" t="n">
        <v>128.218462962963</v>
      </c>
      <c r="AQ33" s="2" t="n">
        <v>1623.018518518518</v>
      </c>
      <c r="AR33" s="2" t="n">
        <v>0</v>
      </c>
      <c r="AS33" s="2" t="n">
        <v>1595.13</v>
      </c>
      <c r="AT33" s="2" t="n">
        <v>157.73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1752.86</v>
      </c>
      <c r="BB33" s="2" t="n">
        <v>1752.86</v>
      </c>
      <c r="BC33" s="2">
        <f>F33+L33+R33+X33+AD33+AJ33+AP33+AV33+IF(BE33="",0,BE33)</f>
        <v/>
      </c>
      <c r="BD33" s="2" t="n">
        <v>26.994044</v>
      </c>
      <c r="BE33" s="2" t="n"/>
      <c r="BF33" s="2" t="n">
        <v>1623.018518518518</v>
      </c>
      <c r="BG33" s="2" t="n">
        <v>0</v>
      </c>
      <c r="BH33" s="2" t="n">
        <v>0</v>
      </c>
      <c r="BI33" s="2" t="n">
        <v>29096.50333333334</v>
      </c>
      <c r="BJ33" s="2" t="n">
        <v>90.55917355371901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23.66361</v>
      </c>
      <c r="BQ33" s="2" t="n">
        <v>0</v>
      </c>
      <c r="BR33" s="2" t="n">
        <v>29235.72611688706</v>
      </c>
      <c r="BS33" s="2" t="n">
        <v>855.6128099173553</v>
      </c>
      <c r="BT33" s="2" t="n">
        <v>396.6942148760331</v>
      </c>
      <c r="BU33" s="2" t="n">
        <v>6092.873906336089</v>
      </c>
      <c r="BV33" s="2" t="n">
        <v>7345.180931129477</v>
      </c>
      <c r="BW33" s="2" t="n">
        <v>36580.90704801653</v>
      </c>
      <c r="BX33" s="2" t="n">
        <v>1595.13</v>
      </c>
      <c r="BY33" s="2" t="n">
        <v>157.73</v>
      </c>
      <c r="BZ33" s="2" t="n">
        <v>0</v>
      </c>
      <c r="CA33" s="2" t="n">
        <v>1752.86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1203</v>
      </c>
      <c r="B34" t="inlineStr">
        <is>
          <t>Piłsudskiego 105, 50-085 Wrocław</t>
        </is>
      </c>
      <c r="C34" t="inlineStr">
        <is>
          <t>Wrocław Główny</t>
        </is>
      </c>
      <c r="D34" t="inlineStr">
        <is>
          <t>FAA2000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32373.55</v>
      </c>
      <c r="L34" s="2" t="n">
        <v>2694.798282407407</v>
      </c>
      <c r="M34" s="2" t="n">
        <v>29975.50925925926</v>
      </c>
      <c r="N34" s="2" t="n">
        <v>4204.48</v>
      </c>
      <c r="O34" s="2" t="n">
        <v>26076.58</v>
      </c>
      <c r="P34" s="2" t="n">
        <v>2092.49</v>
      </c>
      <c r="Q34" s="2" t="n">
        <v>23328.83</v>
      </c>
      <c r="R34" s="2" t="n">
        <v>1600</v>
      </c>
      <c r="S34" s="2" t="n">
        <v>21600.76851851852</v>
      </c>
      <c r="T34" s="2" t="n">
        <v>3945.76</v>
      </c>
      <c r="U34" s="2" t="n">
        <v>18032.25</v>
      </c>
      <c r="V34" s="2" t="n">
        <v>1350.82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15236.88</v>
      </c>
      <c r="AP34" s="2" t="n">
        <v>1114.549555555556</v>
      </c>
      <c r="AQ34" s="2" t="n">
        <v>14108.22222222222</v>
      </c>
      <c r="AR34" s="2" t="n">
        <v>1859.66</v>
      </c>
      <c r="AS34" s="2" t="n">
        <v>12446.7</v>
      </c>
      <c r="AT34" s="2" t="n">
        <v>930.52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70939.26000000001</v>
      </c>
      <c r="BB34" s="2" t="n">
        <v>60929.36</v>
      </c>
      <c r="BC34" s="2">
        <f>F34+L34+R34+X34+AD34+AJ34+AP34+AV34+IF(BE34="",0,BE34)</f>
        <v/>
      </c>
      <c r="BD34" s="2" t="n">
        <v>938.312144</v>
      </c>
      <c r="BE34" s="2" t="n"/>
      <c r="BF34" s="2" t="n">
        <v>65684.5</v>
      </c>
      <c r="BG34" s="2" t="n">
        <v>0</v>
      </c>
      <c r="BH34" s="2" t="n">
        <v>0</v>
      </c>
      <c r="BI34" s="2" t="n">
        <v>15870.82</v>
      </c>
      <c r="BJ34" s="2" t="n">
        <v>90.55917355371901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822.54636</v>
      </c>
      <c r="BQ34" s="2" t="n">
        <v>0</v>
      </c>
      <c r="BR34" s="2" t="n">
        <v>16808.92553355372</v>
      </c>
      <c r="BS34" s="2" t="n">
        <v>855.6128099173553</v>
      </c>
      <c r="BT34" s="2" t="n">
        <v>396.6942148760331</v>
      </c>
      <c r="BU34" s="2" t="n">
        <v>3447.737239669422</v>
      </c>
      <c r="BV34" s="2" t="n">
        <v>4700.044264462811</v>
      </c>
      <c r="BW34" s="2" t="n">
        <v>21508.96979801653</v>
      </c>
      <c r="BX34" s="2" t="n">
        <v>56555.53</v>
      </c>
      <c r="BY34" s="2" t="n">
        <v>4373.83</v>
      </c>
      <c r="BZ34" s="2" t="n">
        <v>10009.9</v>
      </c>
      <c r="CA34" s="2" t="n">
        <v>60929.36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1204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11789.12</v>
      </c>
      <c r="L35" s="2" t="n">
        <v>981.3350814814814</v>
      </c>
      <c r="M35" s="2" t="n">
        <v>10915.85185185185</v>
      </c>
      <c r="N35" s="2" t="n">
        <v>2095.95</v>
      </c>
      <c r="O35" s="2" t="n">
        <v>9533.17</v>
      </c>
      <c r="P35" s="2" t="n">
        <v>160</v>
      </c>
      <c r="Q35" s="2" t="n">
        <v>22514.04</v>
      </c>
      <c r="R35" s="2" t="n">
        <v>1600</v>
      </c>
      <c r="S35" s="2" t="n">
        <v>20846.33333333333</v>
      </c>
      <c r="T35" s="2" t="n">
        <v>3214.62</v>
      </c>
      <c r="U35" s="2" t="n">
        <v>19165.48</v>
      </c>
      <c r="V35" s="2" t="n">
        <v>133.94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10215.92</v>
      </c>
      <c r="AP35" s="2" t="n">
        <v>747.2756296296295</v>
      </c>
      <c r="AQ35" s="2" t="n">
        <v>9459.185185185184</v>
      </c>
      <c r="AR35" s="2" t="n">
        <v>1226.89</v>
      </c>
      <c r="AS35" s="2" t="n">
        <v>8881.27</v>
      </c>
      <c r="AT35" s="2" t="n">
        <v>107.76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44519.07999999999</v>
      </c>
      <c r="BB35" s="2" t="n">
        <v>37981.62</v>
      </c>
      <c r="BC35" s="2">
        <f>F35+L35+R35+X35+AD35+AJ35+AP35+AV35+IF(BE35="",0,BE35)</f>
        <v/>
      </c>
      <c r="BD35" s="2" t="n">
        <v>584.9169479999999</v>
      </c>
      <c r="BE35" s="2" t="n"/>
      <c r="BF35" s="2" t="n">
        <v>41221.37037037036</v>
      </c>
      <c r="BG35" s="2" t="n">
        <v>652.9399999999999</v>
      </c>
      <c r="BH35" s="2" t="n">
        <v>82</v>
      </c>
      <c r="BI35" s="2" t="n">
        <v>15870.82</v>
      </c>
      <c r="BJ35" s="2" t="n">
        <v>90.55917355371901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512.7518700000001</v>
      </c>
      <c r="BQ35" s="2" t="n">
        <v>0</v>
      </c>
      <c r="BR35" s="2" t="n">
        <v>17234.07104355372</v>
      </c>
      <c r="BS35" s="2" t="n">
        <v>855.6128099173553</v>
      </c>
      <c r="BT35" s="2" t="n">
        <v>396.6942148760331</v>
      </c>
      <c r="BU35" s="2" t="n">
        <v>3594.725239669423</v>
      </c>
      <c r="BV35" s="2" t="n">
        <v>4847.03226446281</v>
      </c>
      <c r="BW35" s="2" t="n">
        <v>22081.10330801653</v>
      </c>
      <c r="BX35" s="2" t="n">
        <v>37579.92</v>
      </c>
      <c r="BY35" s="2" t="n">
        <v>401.7</v>
      </c>
      <c r="BZ35" s="2" t="n">
        <v>6537.46</v>
      </c>
      <c r="CA35" s="2" t="n">
        <v>37981.62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1206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24534.79</v>
      </c>
      <c r="L36" s="2" t="n">
        <v>2042.294093518518</v>
      </c>
      <c r="M36" s="2" t="n">
        <v>22717.39814814814</v>
      </c>
      <c r="N36" s="2" t="n">
        <v>5222.44</v>
      </c>
      <c r="O36" s="2" t="n">
        <v>18306.25</v>
      </c>
      <c r="P36" s="2" t="n">
        <v>1006.1</v>
      </c>
      <c r="Q36" s="2" t="n">
        <v>44812.84</v>
      </c>
      <c r="R36" s="2" t="n">
        <v>1600</v>
      </c>
      <c r="S36" s="2" t="n">
        <v>41493.37037037036</v>
      </c>
      <c r="T36" s="2" t="n">
        <v>7421.7</v>
      </c>
      <c r="U36" s="2" t="n">
        <v>36156.76</v>
      </c>
      <c r="V36" s="2" t="n">
        <v>1234.38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11370.44</v>
      </c>
      <c r="AP36" s="2" t="n">
        <v>831.7266296296295</v>
      </c>
      <c r="AQ36" s="2" t="n">
        <v>10528.18518518518</v>
      </c>
      <c r="AR36" s="2" t="n">
        <v>2019.66</v>
      </c>
      <c r="AS36" s="2" t="n">
        <v>9011.610000000001</v>
      </c>
      <c r="AT36" s="2" t="n">
        <v>339.17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80718.06999999999</v>
      </c>
      <c r="BB36" s="2" t="n">
        <v>66054.27</v>
      </c>
      <c r="BC36" s="2">
        <f>F36+L36+R36+X36+AD36+AJ36+AP36+AV36+IF(BE36="",0,BE36)</f>
        <v/>
      </c>
      <c r="BD36" s="2" t="n">
        <v>1017.235758</v>
      </c>
      <c r="BE36" s="2" t="n"/>
      <c r="BF36" s="2" t="n">
        <v>74738.95370370369</v>
      </c>
      <c r="BG36" s="2" t="n">
        <v>652.9399999999999</v>
      </c>
      <c r="BH36" s="2" t="n">
        <v>82</v>
      </c>
      <c r="BI36" s="2" t="n">
        <v>39677.05</v>
      </c>
      <c r="BJ36" s="2" t="n">
        <v>90.55917355371901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891.732645</v>
      </c>
      <c r="BQ36" s="2" t="n">
        <v>0</v>
      </c>
      <c r="BR36" s="2" t="n">
        <v>41419.28181855372</v>
      </c>
      <c r="BS36" s="2" t="n">
        <v>855.6128099173553</v>
      </c>
      <c r="BT36" s="2" t="n">
        <v>396.6942148760331</v>
      </c>
      <c r="BU36" s="2" t="n">
        <v>8355.971239669421</v>
      </c>
      <c r="BV36" s="2" t="n">
        <v>9608.27826446281</v>
      </c>
      <c r="BW36" s="2" t="n">
        <v>51027.56008301653</v>
      </c>
      <c r="BX36" s="2" t="n">
        <v>63474.62</v>
      </c>
      <c r="BY36" s="2" t="n">
        <v>2579.65</v>
      </c>
      <c r="BZ36" s="2" t="n">
        <v>14663.8</v>
      </c>
      <c r="CA36" s="2" t="n">
        <v>66054.27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1207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20135.37</v>
      </c>
      <c r="L37" s="2" t="n">
        <v>1676.083113888889</v>
      </c>
      <c r="M37" s="2" t="n">
        <v>18643.86111111111</v>
      </c>
      <c r="N37" s="2" t="n">
        <v>3604.79</v>
      </c>
      <c r="O37" s="2" t="n">
        <v>15928.05</v>
      </c>
      <c r="P37" s="2" t="n">
        <v>602.53</v>
      </c>
      <c r="Q37" s="2" t="n">
        <v>38331.07000000001</v>
      </c>
      <c r="R37" s="2" t="n">
        <v>1600</v>
      </c>
      <c r="S37" s="2" t="n">
        <v>35491.73148148149</v>
      </c>
      <c r="T37" s="2" t="n">
        <v>6528.52</v>
      </c>
      <c r="U37" s="2" t="n">
        <v>30103.25</v>
      </c>
      <c r="V37" s="2" t="n">
        <v>1699.3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9157.5</v>
      </c>
      <c r="AP37" s="2" t="n">
        <v>669.8541666666666</v>
      </c>
      <c r="AQ37" s="2" t="n">
        <v>8479.166666666666</v>
      </c>
      <c r="AR37" s="2" t="n">
        <v>1568.48</v>
      </c>
      <c r="AS37" s="2" t="n">
        <v>7008.57</v>
      </c>
      <c r="AT37" s="2" t="n">
        <v>580.45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67623.94</v>
      </c>
      <c r="BB37" s="2" t="n">
        <v>55922.14999999999</v>
      </c>
      <c r="BC37" s="2">
        <f>F37+L37+R37+X37+AD37+AJ37+AP37+AV37+IF(BE37="",0,BE37)</f>
        <v/>
      </c>
      <c r="BD37" s="2" t="n">
        <v>861.20111</v>
      </c>
      <c r="BE37" s="2" t="n"/>
      <c r="BF37" s="2" t="n">
        <v>62614.75925925926</v>
      </c>
      <c r="BG37" s="2" t="n">
        <v>652.9399999999999</v>
      </c>
      <c r="BH37" s="2" t="n">
        <v>82</v>
      </c>
      <c r="BI37" s="2" t="n">
        <v>39677.05</v>
      </c>
      <c r="BJ37" s="2" t="n">
        <v>90.55917355371901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754.949025</v>
      </c>
      <c r="BQ37" s="2" t="n">
        <v>0</v>
      </c>
      <c r="BR37" s="2" t="n">
        <v>41282.49819855372</v>
      </c>
      <c r="BS37" s="2" t="n">
        <v>855.6128099173553</v>
      </c>
      <c r="BT37" s="2" t="n">
        <v>396.6942148760331</v>
      </c>
      <c r="BU37" s="2" t="n">
        <v>8355.971239669421</v>
      </c>
      <c r="BV37" s="2" t="n">
        <v>9608.27826446281</v>
      </c>
      <c r="BW37" s="2" t="n">
        <v>50890.77646301653</v>
      </c>
      <c r="BX37" s="2" t="n">
        <v>53039.87</v>
      </c>
      <c r="BY37" s="2" t="n">
        <v>2882.28</v>
      </c>
      <c r="BZ37" s="2" t="n">
        <v>11701.79</v>
      </c>
      <c r="CA37" s="2" t="n">
        <v>55922.15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1208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10172.59</v>
      </c>
      <c r="L38" s="2" t="n">
        <v>846.7739268518518</v>
      </c>
      <c r="M38" s="2" t="n">
        <v>9419.064814814814</v>
      </c>
      <c r="N38" s="2" t="n">
        <v>1923.07</v>
      </c>
      <c r="O38" s="2" t="n">
        <v>7817.09</v>
      </c>
      <c r="P38" s="2" t="n">
        <v>432.43</v>
      </c>
      <c r="Q38" s="2" t="n">
        <v>21798.41</v>
      </c>
      <c r="R38" s="2" t="n">
        <v>1600</v>
      </c>
      <c r="S38" s="2" t="n">
        <v>20183.71296296296</v>
      </c>
      <c r="T38" s="2" t="n">
        <v>3917.66</v>
      </c>
      <c r="U38" s="2" t="n">
        <v>16723.8</v>
      </c>
      <c r="V38" s="2" t="n">
        <v>1156.95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9420.389999999999</v>
      </c>
      <c r="AP38" s="2" t="n">
        <v>689.0840833333333</v>
      </c>
      <c r="AQ38" s="2" t="n">
        <v>8722.583333333332</v>
      </c>
      <c r="AR38" s="2" t="n">
        <v>1590.7</v>
      </c>
      <c r="AS38" s="2" t="n">
        <v>7424.06</v>
      </c>
      <c r="AT38" s="2" t="n">
        <v>405.63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41391.39</v>
      </c>
      <c r="BB38" s="2" t="n">
        <v>33959.96</v>
      </c>
      <c r="BC38" s="2">
        <f>F38+L38+R38+X38+AD38+AJ38+AP38+AV38+IF(BE38="",0,BE38)</f>
        <v/>
      </c>
      <c r="BD38" s="2" t="n">
        <v>522.9833840000001</v>
      </c>
      <c r="BE38" s="2" t="n"/>
      <c r="BF38" s="2" t="n">
        <v>38325.36111111111</v>
      </c>
      <c r="BG38" s="2" t="n">
        <v>652.9399999999999</v>
      </c>
      <c r="BH38" s="2" t="n">
        <v>82</v>
      </c>
      <c r="BI38" s="2" t="n">
        <v>39677.05</v>
      </c>
      <c r="BJ38" s="2" t="n">
        <v>90.55917355371901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458.45946</v>
      </c>
      <c r="BQ38" s="2" t="n">
        <v>0</v>
      </c>
      <c r="BR38" s="2" t="n">
        <v>40986.00863355372</v>
      </c>
      <c r="BS38" s="2" t="n">
        <v>855.6128099173553</v>
      </c>
      <c r="BT38" s="2" t="n">
        <v>396.6942148760331</v>
      </c>
      <c r="BU38" s="2" t="n">
        <v>8355.971239669421</v>
      </c>
      <c r="BV38" s="2" t="n">
        <v>9608.27826446281</v>
      </c>
      <c r="BW38" s="2" t="n">
        <v>50594.28689801653</v>
      </c>
      <c r="BX38" s="2" t="n">
        <v>31964.95</v>
      </c>
      <c r="BY38" s="2" t="n">
        <v>1995.01</v>
      </c>
      <c r="BZ38" s="2" t="n">
        <v>7431.429999999999</v>
      </c>
      <c r="CA38" s="2" t="n">
        <v>33959.96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1210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37632.16</v>
      </c>
      <c r="L39" s="2" t="n">
        <v>3132.528874074074</v>
      </c>
      <c r="M39" s="2" t="n">
        <v>34844.59259259259</v>
      </c>
      <c r="N39" s="2" t="n">
        <v>6193.22</v>
      </c>
      <c r="O39" s="2" t="n">
        <v>31169.08</v>
      </c>
      <c r="P39" s="2" t="n">
        <v>269.86</v>
      </c>
      <c r="Q39" s="2" t="n">
        <v>26733.61</v>
      </c>
      <c r="R39" s="2" t="n">
        <v>1600</v>
      </c>
      <c r="S39" s="2" t="n">
        <v>24753.34259259259</v>
      </c>
      <c r="T39" s="2" t="n">
        <v>6127.65</v>
      </c>
      <c r="U39" s="2" t="n">
        <v>20539.84</v>
      </c>
      <c r="V39" s="2" t="n">
        <v>66.12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14126.99</v>
      </c>
      <c r="AP39" s="2" t="n">
        <v>1033.363157407407</v>
      </c>
      <c r="AQ39" s="2" t="n">
        <v>13080.5462962963</v>
      </c>
      <c r="AR39" s="2" t="n">
        <v>2124.27</v>
      </c>
      <c r="AS39" s="2" t="n">
        <v>11947.52</v>
      </c>
      <c r="AT39" s="2" t="n">
        <v>55.2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78492.76000000001</v>
      </c>
      <c r="BB39" s="2" t="n">
        <v>64047.62</v>
      </c>
      <c r="BC39" s="2">
        <f>F39+L39+R39+X39+AD39+AJ39+AP39+AV39+IF(BE39="",0,BE39)</f>
        <v/>
      </c>
      <c r="BD39" s="2" t="n">
        <v>986.333348</v>
      </c>
      <c r="BE39" s="2" t="n"/>
      <c r="BF39" s="2" t="n">
        <v>72678.48148148147</v>
      </c>
      <c r="BG39" s="2" t="n">
        <v>760.5599999999999</v>
      </c>
      <c r="BH39" s="2" t="n">
        <v>260</v>
      </c>
      <c r="BI39" s="2" t="n">
        <v>1322.568333333333</v>
      </c>
      <c r="BJ39" s="2" t="n">
        <v>90.55917355371901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864.6428700000001</v>
      </c>
      <c r="BQ39" s="2" t="n">
        <v>0</v>
      </c>
      <c r="BR39" s="2" t="n">
        <v>3323.330376887052</v>
      </c>
      <c r="BS39" s="2" t="n">
        <v>855.6128099173553</v>
      </c>
      <c r="BT39" s="2" t="n">
        <v>396.6942148760331</v>
      </c>
      <c r="BU39" s="2" t="n">
        <v>742.1989063360882</v>
      </c>
      <c r="BV39" s="2" t="n">
        <v>1994.505931129476</v>
      </c>
      <c r="BW39" s="2" t="n">
        <v>5317.836308016529</v>
      </c>
      <c r="BX39" s="2" t="n">
        <v>63656.44</v>
      </c>
      <c r="BY39" s="2" t="n">
        <v>391.18</v>
      </c>
      <c r="BZ39" s="2" t="n">
        <v>14445.14</v>
      </c>
      <c r="CA39" s="2" t="n">
        <v>64047.62</v>
      </c>
      <c r="CB39" s="2">
        <f>(BC39+IF(BD39="",0,BD39))-BW39</f>
        <v/>
      </c>
    </row>
    <row r="40">
      <c r="A40" t="n">
        <v>1211</v>
      </c>
      <c r="B40" t="inlineStr">
        <is>
          <t>Kolejowa, 59-300 Lubin</t>
        </is>
      </c>
      <c r="C40" t="inlineStr">
        <is>
          <t>Lubin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27627.92</v>
      </c>
      <c r="R40" s="2" t="n">
        <v>1600</v>
      </c>
      <c r="S40" s="2" t="n">
        <v>25581.40740740741</v>
      </c>
      <c r="T40" s="2" t="n">
        <v>11997.81</v>
      </c>
      <c r="U40" s="2" t="n">
        <v>14635.51</v>
      </c>
      <c r="V40" s="2" t="n">
        <v>994.6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27627.92</v>
      </c>
      <c r="BB40" s="2" t="n">
        <v>15630.11</v>
      </c>
      <c r="BC40" s="2">
        <f>F40+L40+R40+X40+AD40+AJ40+AP40+AV40+IF(BE40="",0,BE40)</f>
        <v/>
      </c>
      <c r="BD40" s="2" t="n">
        <v>240.703694</v>
      </c>
      <c r="BE40" s="2" t="n"/>
      <c r="BF40" s="2" t="n">
        <v>25581.40740740741</v>
      </c>
      <c r="BG40" s="2" t="n">
        <v>0</v>
      </c>
      <c r="BH40" s="2" t="n">
        <v>112.06</v>
      </c>
      <c r="BI40" s="2" t="n">
        <v>39677.05</v>
      </c>
      <c r="BJ40" s="2" t="n">
        <v>90.55917355371901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211.006485</v>
      </c>
      <c r="BQ40" s="2" t="n">
        <v>0</v>
      </c>
      <c r="BR40" s="2" t="n">
        <v>40115.67565855372</v>
      </c>
      <c r="BS40" s="2" t="n">
        <v>855.6128099173553</v>
      </c>
      <c r="BT40" s="2" t="n">
        <v>396.6942148760331</v>
      </c>
      <c r="BU40" s="2" t="n">
        <v>8231.395239669422</v>
      </c>
      <c r="BV40" s="2" t="n">
        <v>9483.70226446281</v>
      </c>
      <c r="BW40" s="2" t="n">
        <v>49599.37792301652</v>
      </c>
      <c r="BX40" s="2" t="n">
        <v>14635.51</v>
      </c>
      <c r="BY40" s="2" t="n">
        <v>994.6</v>
      </c>
      <c r="BZ40" s="2" t="n">
        <v>11997.81</v>
      </c>
      <c r="CA40" s="2" t="n">
        <v>15630.11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1212</v>
      </c>
      <c r="B41" t="inlineStr">
        <is>
          <t>Armii Krajowej 26C, 58-302 Wałbrzych</t>
        </is>
      </c>
      <c r="C41" t="inlineStr">
        <is>
          <t>Wałbrzych Miasto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2868.93</v>
      </c>
      <c r="L41" s="2" t="n">
        <v>238.8118583333334</v>
      </c>
      <c r="M41" s="2" t="n">
        <v>2656.416666666667</v>
      </c>
      <c r="N41" s="2" t="n">
        <v>864.12</v>
      </c>
      <c r="O41" s="2" t="n">
        <v>1768.43</v>
      </c>
      <c r="P41" s="2" t="n">
        <v>236.38</v>
      </c>
      <c r="Q41" s="2" t="n">
        <v>10316.29</v>
      </c>
      <c r="R41" s="2" t="n">
        <v>1600</v>
      </c>
      <c r="S41" s="2" t="n">
        <v>9552.12037037037</v>
      </c>
      <c r="T41" s="2" t="n">
        <v>2248.67</v>
      </c>
      <c r="U41" s="2" t="n">
        <v>7682.6</v>
      </c>
      <c r="V41" s="2" t="n">
        <v>385.02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524.58</v>
      </c>
      <c r="AP41" s="2" t="n">
        <v>38.37205555555555</v>
      </c>
      <c r="AQ41" s="2" t="n">
        <v>485.7222222222222</v>
      </c>
      <c r="AR41" s="2" t="n">
        <v>4.22</v>
      </c>
      <c r="AS41" s="2" t="n">
        <v>464.66</v>
      </c>
      <c r="AT41" s="2" t="n">
        <v>55.7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13709.8</v>
      </c>
      <c r="BB41" s="2" t="n">
        <v>10592.79</v>
      </c>
      <c r="BC41" s="2">
        <f>F41+L41+R41+X41+AD41+AJ41+AP41+AV41+IF(BE41="",0,BE41)</f>
        <v/>
      </c>
      <c r="BD41" s="2" t="n">
        <v>163.128966</v>
      </c>
      <c r="BE41" s="2" t="n"/>
      <c r="BF41" s="2" t="n">
        <v>12694.25925925926</v>
      </c>
      <c r="BG41" s="2" t="n">
        <v>573.92</v>
      </c>
      <c r="BH41" s="2" t="n">
        <v>110.7</v>
      </c>
      <c r="BI41" s="2" t="n">
        <v>39677.05</v>
      </c>
      <c r="BJ41" s="2" t="n">
        <v>90.55917355371901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143.002665</v>
      </c>
      <c r="BQ41" s="2" t="n">
        <v>0</v>
      </c>
      <c r="BR41" s="2" t="n">
        <v>40620.23183855372</v>
      </c>
      <c r="BS41" s="2" t="n">
        <v>855.6128099173553</v>
      </c>
      <c r="BT41" s="2" t="n">
        <v>396.6942148760331</v>
      </c>
      <c r="BU41" s="2" t="n">
        <v>8345.907239669423</v>
      </c>
      <c r="BV41" s="2" t="n">
        <v>9598.214264462811</v>
      </c>
      <c r="BW41" s="2" t="n">
        <v>50218.44610301653</v>
      </c>
      <c r="BX41" s="2" t="n">
        <v>9915.690000000001</v>
      </c>
      <c r="BY41" s="2" t="n">
        <v>677.1</v>
      </c>
      <c r="BZ41" s="2" t="n">
        <v>3117.01</v>
      </c>
      <c r="CA41" s="2" t="n">
        <v>10592.79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1213</v>
      </c>
      <c r="B42" t="inlineStr">
        <is>
          <t>Plac 1000-Lecia 1, 67-200 Głogów</t>
        </is>
      </c>
      <c r="C42" t="inlineStr">
        <is>
          <t>Głogów</t>
        </is>
      </c>
      <c r="D42" t="inlineStr">
        <is>
          <t>ST|40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7835.070000000001</v>
      </c>
      <c r="L42" s="2" t="n">
        <v>652.1970305555556</v>
      </c>
      <c r="M42" s="2" t="n">
        <v>7254.694444444444</v>
      </c>
      <c r="N42" s="2" t="n">
        <v>2371.73</v>
      </c>
      <c r="O42" s="2" t="n">
        <v>4744.64</v>
      </c>
      <c r="P42" s="2" t="n">
        <v>718.7</v>
      </c>
      <c r="Q42" s="2" t="n">
        <v>28368.05</v>
      </c>
      <c r="R42" s="2" t="n">
        <v>1600</v>
      </c>
      <c r="S42" s="2" t="n">
        <v>26266.71296296296</v>
      </c>
      <c r="T42" s="2" t="n">
        <v>8699.799999999999</v>
      </c>
      <c r="U42" s="2" t="n">
        <v>19077</v>
      </c>
      <c r="V42" s="2" t="n">
        <v>591.25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5982.68</v>
      </c>
      <c r="AP42" s="2" t="n">
        <v>437.6219629629629</v>
      </c>
      <c r="AQ42" s="2" t="n">
        <v>5539.518518518518</v>
      </c>
      <c r="AR42" s="2" t="n">
        <v>2114.28</v>
      </c>
      <c r="AS42" s="2" t="n">
        <v>3681.43</v>
      </c>
      <c r="AT42" s="2" t="n">
        <v>186.97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42185.8</v>
      </c>
      <c r="BB42" s="2" t="n">
        <v>28999.99</v>
      </c>
      <c r="BC42" s="2">
        <f>F42+L42+R42+X42+AD42+AJ42+AP42+AV42+IF(BE42="",0,BE42)</f>
        <v/>
      </c>
      <c r="BD42" s="2" t="n">
        <v>446.599846</v>
      </c>
      <c r="BE42" s="2" t="n"/>
      <c r="BF42" s="2" t="n">
        <v>39060.92592592592</v>
      </c>
      <c r="BG42" s="2" t="n">
        <v>573.92</v>
      </c>
      <c r="BH42" s="2" t="n">
        <v>134.1</v>
      </c>
      <c r="BI42" s="2" t="n">
        <v>39677.05</v>
      </c>
      <c r="BJ42" s="2" t="n">
        <v>90.55917355371901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391.499865</v>
      </c>
      <c r="BQ42" s="2" t="n">
        <v>0</v>
      </c>
      <c r="BR42" s="2" t="n">
        <v>40892.12903855371</v>
      </c>
      <c r="BS42" s="2" t="n">
        <v>855.6128099173553</v>
      </c>
      <c r="BT42" s="2" t="n">
        <v>396.6942148760331</v>
      </c>
      <c r="BU42" s="2" t="n">
        <v>8350.587239669423</v>
      </c>
      <c r="BV42" s="2" t="n">
        <v>9602.894264462811</v>
      </c>
      <c r="BW42" s="2" t="n">
        <v>50495.02330301653</v>
      </c>
      <c r="BX42" s="2" t="n">
        <v>27503.07</v>
      </c>
      <c r="BY42" s="2" t="n">
        <v>1496.92</v>
      </c>
      <c r="BZ42" s="2" t="n">
        <v>13185.81</v>
      </c>
      <c r="CA42" s="2" t="n">
        <v>28999.99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1214</v>
      </c>
      <c r="B43" t="inlineStr">
        <is>
          <t>Dworcowa 72A, 69-110 Rzepin</t>
        </is>
      </c>
      <c r="C43" t="inlineStr">
        <is>
          <t>Rzepin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8495.48</v>
      </c>
      <c r="L43" s="2" t="n">
        <v>707.1700481481481</v>
      </c>
      <c r="M43" s="2" t="n">
        <v>7866.185185185184</v>
      </c>
      <c r="N43" s="2" t="n">
        <v>3103.95</v>
      </c>
      <c r="O43" s="2" t="n">
        <v>4532.37</v>
      </c>
      <c r="P43" s="2" t="n">
        <v>859.16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8495.48</v>
      </c>
      <c r="BB43" s="2" t="n">
        <v>5391.53</v>
      </c>
      <c r="BC43" s="2">
        <f>F43+L43+R43+X43+AD43+AJ43+AP43+AV43+IF(BE43="",0,BE43)</f>
        <v/>
      </c>
      <c r="BD43" s="2" t="n">
        <v>83.029562</v>
      </c>
      <c r="BE43" s="2" t="n"/>
      <c r="BF43" s="2" t="n">
        <v>7866.185185185184</v>
      </c>
      <c r="BG43" s="2" t="n">
        <v>430.45</v>
      </c>
      <c r="BH43" s="2" t="n">
        <v>0</v>
      </c>
      <c r="BI43" s="2" t="n">
        <v>39677.05</v>
      </c>
      <c r="BJ43" s="2" t="n">
        <v>90.55917355371901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72.78565499999999</v>
      </c>
      <c r="BQ43" s="2" t="n">
        <v>0</v>
      </c>
      <c r="BR43" s="2" t="n">
        <v>40295.84482855372</v>
      </c>
      <c r="BS43" s="2" t="n">
        <v>855.6128099173553</v>
      </c>
      <c r="BT43" s="2" t="n">
        <v>396.6942148760331</v>
      </c>
      <c r="BU43" s="2" t="n">
        <v>8295.073239669422</v>
      </c>
      <c r="BV43" s="2" t="n">
        <v>9547.38026446281</v>
      </c>
      <c r="BW43" s="2" t="n">
        <v>49843.22509301652</v>
      </c>
      <c r="BX43" s="2" t="n">
        <v>4532.37</v>
      </c>
      <c r="BY43" s="2" t="n">
        <v>859.16</v>
      </c>
      <c r="BZ43" s="2" t="n">
        <v>3103.95</v>
      </c>
      <c r="CA43" s="2" t="n">
        <v>5391.53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1216</v>
      </c>
      <c r="B44" t="inlineStr">
        <is>
          <t>Pszczyna</t>
        </is>
      </c>
      <c r="C44" t="inlineStr"/>
      <c r="D44" t="inlineStr"/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1131.28</v>
      </c>
      <c r="L44" s="2" t="n">
        <v>94.16858518518519</v>
      </c>
      <c r="M44" s="2" t="n">
        <v>1047.481481481482</v>
      </c>
      <c r="N44" s="2" t="n">
        <v>250.33</v>
      </c>
      <c r="O44" s="2" t="n">
        <v>770.7</v>
      </c>
      <c r="P44" s="2" t="n">
        <v>110.25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1131.28</v>
      </c>
      <c r="BB44" s="2" t="n">
        <v>880.95</v>
      </c>
      <c r="BC44" s="2">
        <f>F44+L44+R44+X44+AD44+AJ44+AP44+AV44+IF(BE44="",0,BE44)</f>
        <v/>
      </c>
      <c r="BD44" s="2" t="n">
        <v>13.56663</v>
      </c>
      <c r="BE44" s="2" t="n"/>
      <c r="BF44" s="2" t="n">
        <v>1047.481481481482</v>
      </c>
      <c r="BG44" s="2" t="n">
        <v>588.99</v>
      </c>
      <c r="BH44" s="2" t="n">
        <v>117.6</v>
      </c>
      <c r="BI44" s="2" t="n">
        <v>39677.05</v>
      </c>
      <c r="BJ44" s="2" t="n">
        <v>90.55917355371901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11.892825</v>
      </c>
      <c r="BQ44" s="2" t="n">
        <v>0</v>
      </c>
      <c r="BR44" s="2" t="n">
        <v>40511.09199855372</v>
      </c>
      <c r="BS44" s="2" t="n">
        <v>855.6128099173553</v>
      </c>
      <c r="BT44" s="2" t="n">
        <v>396.6942148760331</v>
      </c>
      <c r="BU44" s="2" t="n">
        <v>8350.301239669423</v>
      </c>
      <c r="BV44" s="2" t="n">
        <v>9602.608264462811</v>
      </c>
      <c r="BW44" s="2" t="n">
        <v>50113.70026301653</v>
      </c>
      <c r="BX44" s="2" t="n">
        <v>770.7</v>
      </c>
      <c r="BY44" s="2" t="n">
        <v>110.25</v>
      </c>
      <c r="BZ44" s="2" t="n">
        <v>250.33</v>
      </c>
      <c r="CA44" s="2" t="n">
        <v>880.95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1217</v>
      </c>
      <c r="B45" t="inlineStr">
        <is>
          <t>pl. Marii i Lecha Kaczyńskiego 2, 40-098 Katowice</t>
        </is>
      </c>
      <c r="C45" t="inlineStr">
        <is>
          <t>Katowice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18970.01</v>
      </c>
      <c r="L45" s="2" t="n">
        <v>1579.077684259259</v>
      </c>
      <c r="M45" s="2" t="n">
        <v>17564.82407407407</v>
      </c>
      <c r="N45" s="2" t="n">
        <v>7160.92</v>
      </c>
      <c r="O45" s="2" t="n">
        <v>11290.63</v>
      </c>
      <c r="P45" s="2" t="n">
        <v>518.46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8690.68</v>
      </c>
      <c r="AP45" s="2" t="n">
        <v>635.7071481481481</v>
      </c>
      <c r="AQ45" s="2" t="n">
        <v>8046.925925925926</v>
      </c>
      <c r="AR45" s="2" t="n">
        <v>3030.24</v>
      </c>
      <c r="AS45" s="2" t="n">
        <v>5424.77</v>
      </c>
      <c r="AT45" s="2" t="n">
        <v>235.67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27660.69</v>
      </c>
      <c r="BB45" s="2" t="n">
        <v>17469.53</v>
      </c>
      <c r="BC45" s="2">
        <f>F45+L45+R45+X45+AD45+AJ45+AP45+AV45+IF(BE45="",0,BE45)</f>
        <v/>
      </c>
      <c r="BD45" s="2" t="n">
        <v>269.030762</v>
      </c>
      <c r="BE45" s="2" t="n"/>
      <c r="BF45" s="2" t="n">
        <v>25611.75</v>
      </c>
      <c r="BG45" s="2" t="n">
        <v>775</v>
      </c>
      <c r="BH45" s="2" t="n">
        <v>540</v>
      </c>
      <c r="BI45" s="2" t="n">
        <v>39677.05</v>
      </c>
      <c r="BJ45" s="2" t="n">
        <v>90.55917355371901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235.838655</v>
      </c>
      <c r="BQ45" s="2" t="n">
        <v>0</v>
      </c>
      <c r="BR45" s="2" t="n">
        <v>41343.44782855372</v>
      </c>
      <c r="BS45" s="2" t="n">
        <v>855.6128099173553</v>
      </c>
      <c r="BT45" s="2" t="n">
        <v>396.6942148760331</v>
      </c>
      <c r="BU45" s="2" t="n">
        <v>8471.983239669422</v>
      </c>
      <c r="BV45" s="2" t="n">
        <v>9724.29026446281</v>
      </c>
      <c r="BW45" s="2" t="n">
        <v>51067.73809301653</v>
      </c>
      <c r="BX45" s="2" t="n">
        <v>16715.4</v>
      </c>
      <c r="BY45" s="2" t="n">
        <v>754.13</v>
      </c>
      <c r="BZ45" s="2" t="n">
        <v>10191.16</v>
      </c>
      <c r="CA45" s="2" t="n">
        <v>17469.53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1219</v>
      </c>
      <c r="B46" t="inlineStr">
        <is>
          <t>Armii Krajowej 3, 75-200 Koszalin</t>
        </is>
      </c>
      <c r="C46" t="inlineStr">
        <is>
          <t>Koszalin</t>
        </is>
      </c>
      <c r="D46" t="inlineStr">
        <is>
          <t>FAA2000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11039.49</v>
      </c>
      <c r="L46" s="2" t="n">
        <v>918.935325</v>
      </c>
      <c r="M46" s="2" t="n">
        <v>10221.75</v>
      </c>
      <c r="N46" s="2" t="n">
        <v>3151.21</v>
      </c>
      <c r="O46" s="2" t="n">
        <v>7167.34</v>
      </c>
      <c r="P46" s="2" t="n">
        <v>720.9400000000001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8125.57</v>
      </c>
      <c r="AP46" s="2" t="n">
        <v>594.3703981481481</v>
      </c>
      <c r="AQ46" s="2" t="n">
        <v>7523.675925925925</v>
      </c>
      <c r="AR46" s="2" t="n">
        <v>1945.58</v>
      </c>
      <c r="AS46" s="2" t="n">
        <v>5669.97</v>
      </c>
      <c r="AT46" s="2" t="n">
        <v>510.02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19165.06</v>
      </c>
      <c r="BB46" s="2" t="n">
        <v>14068.27</v>
      </c>
      <c r="BC46" s="2">
        <f>F46+L46+R46+X46+AD46+AJ46+AP46+AV46+IF(BE46="",0,BE46)</f>
        <v/>
      </c>
      <c r="BD46" s="2" t="n">
        <v>216.651358</v>
      </c>
      <c r="BE46" s="2" t="n"/>
      <c r="BF46" s="2" t="n">
        <v>17745.42592592593</v>
      </c>
      <c r="BG46" s="2" t="n">
        <v>0</v>
      </c>
      <c r="BH46" s="2" t="n">
        <v>0</v>
      </c>
      <c r="BI46" s="2" t="n">
        <v>39677.05</v>
      </c>
      <c r="BJ46" s="2" t="n">
        <v>90.55917355371901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189.921645</v>
      </c>
      <c r="BQ46" s="2" t="n">
        <v>0</v>
      </c>
      <c r="BR46" s="2" t="n">
        <v>39982.53081855372</v>
      </c>
      <c r="BS46" s="2" t="n">
        <v>855.6128099173553</v>
      </c>
      <c r="BT46" s="2" t="n">
        <v>396.6942148760331</v>
      </c>
      <c r="BU46" s="2" t="n">
        <v>8208.983239669422</v>
      </c>
      <c r="BV46" s="2" t="n">
        <v>9461.29026446281</v>
      </c>
      <c r="BW46" s="2" t="n">
        <v>49443.82108301653</v>
      </c>
      <c r="BX46" s="2" t="n">
        <v>12837.31</v>
      </c>
      <c r="BY46" s="2" t="n">
        <v>1230.96</v>
      </c>
      <c r="BZ46" s="2" t="n">
        <v>5096.79</v>
      </c>
      <c r="CA46" s="2" t="n">
        <v>14068.27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1220</v>
      </c>
      <c r="B47" t="inlineStr">
        <is>
          <t>Kotłątaja 32, 76-200 Słupsk</t>
        </is>
      </c>
      <c r="C47" t="inlineStr">
        <is>
          <t>Słupsk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9937.789999999999</v>
      </c>
      <c r="L47" s="2" t="n">
        <v>827.2290009259258</v>
      </c>
      <c r="M47" s="2" t="n">
        <v>9201.657407407405</v>
      </c>
      <c r="N47" s="2" t="n">
        <v>3525.98</v>
      </c>
      <c r="O47" s="2" t="n">
        <v>5572.49</v>
      </c>
      <c r="P47" s="2" t="n">
        <v>839.3200000000001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11242.78</v>
      </c>
      <c r="AP47" s="2" t="n">
        <v>4144</v>
      </c>
      <c r="AQ47" s="2" t="n">
        <v>10409.98148148148</v>
      </c>
      <c r="AR47" s="2" t="n">
        <v>6626.44</v>
      </c>
      <c r="AS47" s="2" t="n">
        <v>3970.88</v>
      </c>
      <c r="AT47" s="2" t="n">
        <v>645.46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21180.57</v>
      </c>
      <c r="BB47" s="2" t="n">
        <v>11028.15</v>
      </c>
      <c r="BC47" s="2">
        <f>F47+L47+R47+X47+AD47+AJ47+AP47+AV47+IF(BE47="",0,BE47)</f>
        <v/>
      </c>
      <c r="BD47" s="2" t="n">
        <v>169.83351</v>
      </c>
      <c r="BE47" s="2" t="n"/>
      <c r="BF47" s="2" t="n">
        <v>19611.63888888888</v>
      </c>
      <c r="BG47" s="2" t="n">
        <v>0</v>
      </c>
      <c r="BH47" s="2" t="n">
        <v>0</v>
      </c>
      <c r="BI47" s="2" t="n">
        <v>39677.05</v>
      </c>
      <c r="BJ47" s="2" t="n">
        <v>90.55917355371901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148.880025</v>
      </c>
      <c r="BQ47" s="2" t="n">
        <v>0</v>
      </c>
      <c r="BR47" s="2" t="n">
        <v>39941.48919855372</v>
      </c>
      <c r="BS47" s="2" t="n">
        <v>855.6128099173553</v>
      </c>
      <c r="BT47" s="2" t="n">
        <v>396.6942148760331</v>
      </c>
      <c r="BU47" s="2" t="n">
        <v>8208.983239669422</v>
      </c>
      <c r="BV47" s="2" t="n">
        <v>9461.29026446281</v>
      </c>
      <c r="BW47" s="2" t="n">
        <v>49402.77946301653</v>
      </c>
      <c r="BX47" s="2" t="n">
        <v>9543.369999999999</v>
      </c>
      <c r="BY47" s="2" t="n">
        <v>1484.78</v>
      </c>
      <c r="BZ47" s="2" t="n">
        <v>10152.42</v>
      </c>
      <c r="CA47" s="2" t="n">
        <v>11028.15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1221</v>
      </c>
      <c r="B48" t="inlineStr">
        <is>
          <t>Dworcowa 2, 58-100 Świdnica</t>
        </is>
      </c>
      <c r="C48" t="inlineStr">
        <is>
          <t>Świdnica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38925.52</v>
      </c>
      <c r="R48" s="2" t="n">
        <v>1600</v>
      </c>
      <c r="S48" s="2" t="n">
        <v>36042.14814814815</v>
      </c>
      <c r="T48" s="2" t="n">
        <v>12415.91</v>
      </c>
      <c r="U48" s="2" t="n">
        <v>24821.35</v>
      </c>
      <c r="V48" s="2" t="n">
        <v>1688.26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38925.52</v>
      </c>
      <c r="BB48" s="2" t="n">
        <v>26509.61</v>
      </c>
      <c r="BC48" s="2">
        <f>F48+L48+R48+X48+AD48+AJ48+AP48+AV48+IF(BE48="",0,BE48)</f>
        <v/>
      </c>
      <c r="BD48" s="2" t="n">
        <v>408.2479939999999</v>
      </c>
      <c r="BE48" s="2" t="n"/>
      <c r="BF48" s="2" t="n">
        <v>36042.14814814815</v>
      </c>
      <c r="BG48" s="2" t="n">
        <v>200</v>
      </c>
      <c r="BH48" s="2" t="n">
        <v>0</v>
      </c>
      <c r="BI48" s="2" t="n">
        <v>39677.05</v>
      </c>
      <c r="BJ48" s="2" t="n">
        <v>90.55917355371901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357.879735</v>
      </c>
      <c r="BQ48" s="2" t="n">
        <v>0</v>
      </c>
      <c r="BR48" s="2" t="n">
        <v>40350.48890855372</v>
      </c>
      <c r="BS48" s="2" t="n">
        <v>855.6128099173553</v>
      </c>
      <c r="BT48" s="2" t="n">
        <v>396.6942148760331</v>
      </c>
      <c r="BU48" s="2" t="n">
        <v>8248.983239669422</v>
      </c>
      <c r="BV48" s="2" t="n">
        <v>9501.29026446281</v>
      </c>
      <c r="BW48" s="2" t="n">
        <v>49851.77917301653</v>
      </c>
      <c r="BX48" s="2" t="n">
        <v>24821.35</v>
      </c>
      <c r="BY48" s="2" t="n">
        <v>1688.26</v>
      </c>
      <c r="BZ48" s="2" t="n">
        <v>12415.91</v>
      </c>
      <c r="CA48" s="2" t="n">
        <v>26509.61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1222</v>
      </c>
      <c r="B49" t="inlineStr">
        <is>
          <t>Dworcowa 33, 83-400 Kościerzyna</t>
        </is>
      </c>
      <c r="C49" t="inlineStr">
        <is>
          <t>Kościerzyna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2907.92</v>
      </c>
      <c r="AP49" s="2" t="n">
        <v>4050</v>
      </c>
      <c r="AQ49" s="2" t="n">
        <v>2692.518518518518</v>
      </c>
      <c r="AR49" s="2" t="n">
        <v>0</v>
      </c>
      <c r="AS49" s="2" t="n">
        <v>2649.51</v>
      </c>
      <c r="AT49" s="2" t="n">
        <v>258.41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2907.92</v>
      </c>
      <c r="BB49" s="2" t="n">
        <v>2907.92</v>
      </c>
      <c r="BC49" s="2">
        <f>F49+L49+R49+X49+AD49+AJ49+AP49+AV49+IF(BE49="",0,BE49)</f>
        <v/>
      </c>
      <c r="BD49" s="2" t="n">
        <v>44.781968</v>
      </c>
      <c r="BE49" s="2" t="n"/>
      <c r="BF49" s="2" t="n">
        <v>2692.518518518518</v>
      </c>
      <c r="BG49" s="2" t="n">
        <v>0</v>
      </c>
      <c r="BH49" s="2" t="n">
        <v>0</v>
      </c>
      <c r="BI49" s="2" t="n">
        <v>39677.05</v>
      </c>
      <c r="BJ49" s="2" t="n">
        <v>90.55917355371901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39.25692</v>
      </c>
      <c r="BQ49" s="2" t="n">
        <v>0</v>
      </c>
      <c r="BR49" s="2" t="n">
        <v>39831.86609355372</v>
      </c>
      <c r="BS49" s="2" t="n">
        <v>855.6128099173553</v>
      </c>
      <c r="BT49" s="2" t="n">
        <v>396.6942148760331</v>
      </c>
      <c r="BU49" s="2" t="n">
        <v>8208.983239669422</v>
      </c>
      <c r="BV49" s="2" t="n">
        <v>9461.29026446281</v>
      </c>
      <c r="BW49" s="2" t="n">
        <v>49293.15635801653</v>
      </c>
      <c r="BX49" s="2" t="n">
        <v>2649.51</v>
      </c>
      <c r="BY49" s="2" t="n">
        <v>258.41</v>
      </c>
      <c r="BZ49" s="2" t="n">
        <v>0</v>
      </c>
      <c r="CA49" s="2" t="n">
        <v>2907.92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1223</v>
      </c>
      <c r="B50" t="inlineStr">
        <is>
          <t>Dworcowa 17, 82-200 Malbork</t>
        </is>
      </c>
      <c r="C50" t="inlineStr">
        <is>
          <t>Malbork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16104.38</v>
      </c>
      <c r="L50" s="2" t="n">
        <v>1340.540520370371</v>
      </c>
      <c r="M50" s="2" t="n">
        <v>14911.46296296296</v>
      </c>
      <c r="N50" s="2" t="n">
        <v>1687.1</v>
      </c>
      <c r="O50" s="2" t="n">
        <v>14174.04</v>
      </c>
      <c r="P50" s="2" t="n">
        <v>243.24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22406.94</v>
      </c>
      <c r="AP50" s="2" t="n">
        <v>1639.026166666667</v>
      </c>
      <c r="AQ50" s="2" t="n">
        <v>20747.16666666666</v>
      </c>
      <c r="AR50" s="2" t="n">
        <v>6212.24</v>
      </c>
      <c r="AS50" s="2" t="n">
        <v>15203.97</v>
      </c>
      <c r="AT50" s="2" t="n">
        <v>990.73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38511.32</v>
      </c>
      <c r="BB50" s="2" t="n">
        <v>30611.98</v>
      </c>
      <c r="BC50" s="2">
        <f>F50+L50+R50+X50+AD50+AJ50+AP50+AV50+IF(BE50="",0,BE50)</f>
        <v/>
      </c>
      <c r="BD50" s="2" t="n">
        <v>471.424492</v>
      </c>
      <c r="BE50" s="2" t="n"/>
      <c r="BF50" s="2" t="n">
        <v>35658.62962962963</v>
      </c>
      <c r="BG50" s="2" t="n">
        <v>456.34</v>
      </c>
      <c r="BH50" s="2" t="n">
        <v>117</v>
      </c>
      <c r="BI50" s="2" t="n">
        <v>39677.05</v>
      </c>
      <c r="BJ50" s="2" t="n">
        <v>90.55917355371901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413.26173</v>
      </c>
      <c r="BQ50" s="2" t="n">
        <v>0</v>
      </c>
      <c r="BR50" s="2" t="n">
        <v>40779.21090355371</v>
      </c>
      <c r="BS50" s="2" t="n">
        <v>855.6128099173553</v>
      </c>
      <c r="BT50" s="2" t="n">
        <v>396.6942148760331</v>
      </c>
      <c r="BU50" s="2" t="n">
        <v>8323.651239669422</v>
      </c>
      <c r="BV50" s="2" t="n">
        <v>9575.95826446281</v>
      </c>
      <c r="BW50" s="2" t="n">
        <v>50355.16916801652</v>
      </c>
      <c r="BX50" s="2" t="n">
        <v>29378.01</v>
      </c>
      <c r="BY50" s="2" t="n">
        <v>1233.97</v>
      </c>
      <c r="BZ50" s="2" t="n">
        <v>7899.34</v>
      </c>
      <c r="CA50" s="2" t="n">
        <v>30611.98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1224</v>
      </c>
      <c r="B51" t="inlineStr">
        <is>
          <t>Kuznica</t>
        </is>
      </c>
      <c r="C51" t="inlineStr">
        <is>
          <t>Kuźnica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10802.59</v>
      </c>
      <c r="AP51" s="2" t="n">
        <v>4052</v>
      </c>
      <c r="AQ51" s="2" t="n">
        <v>10002.39814814815</v>
      </c>
      <c r="AR51" s="2" t="n">
        <v>0</v>
      </c>
      <c r="AS51" s="2" t="n">
        <v>9052.98</v>
      </c>
      <c r="AT51" s="2" t="n">
        <v>1749.61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10802.59</v>
      </c>
      <c r="BB51" s="2" t="n">
        <v>10802.59</v>
      </c>
      <c r="BC51" s="2">
        <f>F51+L51+R51+X51+AD51+AJ51+AP51+AV51+IF(BE51="",0,BE51)</f>
        <v/>
      </c>
      <c r="BD51" s="2" t="n">
        <v>166.359886</v>
      </c>
      <c r="BE51" s="2" t="n"/>
      <c r="BF51" s="2" t="n">
        <v>10002.39814814815</v>
      </c>
      <c r="BG51" s="2" t="n">
        <v>456.34</v>
      </c>
      <c r="BH51" s="2" t="n">
        <v>141</v>
      </c>
      <c r="BI51" s="2" t="n">
        <v>39677.05</v>
      </c>
      <c r="BJ51" s="2" t="n">
        <v>90.55917355371901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145.834965</v>
      </c>
      <c r="BQ51" s="2" t="n">
        <v>0</v>
      </c>
      <c r="BR51" s="2" t="n">
        <v>40535.78413855372</v>
      </c>
      <c r="BS51" s="2" t="n">
        <v>855.6128099173553</v>
      </c>
      <c r="BT51" s="2" t="n">
        <v>396.6942148760331</v>
      </c>
      <c r="BU51" s="2" t="n">
        <v>8328.451239669423</v>
      </c>
      <c r="BV51" s="2" t="n">
        <v>9580.758264462811</v>
      </c>
      <c r="BW51" s="2" t="n">
        <v>50116.54240301653</v>
      </c>
      <c r="BX51" s="2" t="n">
        <v>9052.98</v>
      </c>
      <c r="BY51" s="2" t="n">
        <v>1749.61</v>
      </c>
      <c r="BZ51" s="2" t="n">
        <v>0</v>
      </c>
      <c r="CA51" s="2" t="n">
        <v>10802.59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1225</v>
      </c>
      <c r="B52" t="inlineStr">
        <is>
          <t>Plac Legionów 2, 37-700 Przemyśl</t>
        </is>
      </c>
      <c r="C52" t="inlineStr">
        <is>
          <t>Przemyśl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37039.67</v>
      </c>
      <c r="L52" s="2" t="n">
        <v>3083.209567592593</v>
      </c>
      <c r="M52" s="2" t="n">
        <v>34295.99074074074</v>
      </c>
      <c r="N52" s="2" t="n">
        <v>3873.47</v>
      </c>
      <c r="O52" s="2" t="n">
        <v>32961.2</v>
      </c>
      <c r="P52" s="2" t="n">
        <v>205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8235.52</v>
      </c>
      <c r="AP52" s="2" t="n">
        <v>602.413037037037</v>
      </c>
      <c r="AQ52" s="2" t="n">
        <v>7625.481481481482</v>
      </c>
      <c r="AR52" s="2" t="n">
        <v>1798.4</v>
      </c>
      <c r="AS52" s="2" t="n">
        <v>6276.77</v>
      </c>
      <c r="AT52" s="2" t="n">
        <v>160.35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45275.19</v>
      </c>
      <c r="BB52" s="2" t="n">
        <v>39603.32</v>
      </c>
      <c r="BC52" s="2">
        <f>F52+L52+R52+X52+AD52+AJ52+AP52+AV52+IF(BE52="",0,BE52)</f>
        <v/>
      </c>
      <c r="BD52" s="2" t="n">
        <v>609.891128</v>
      </c>
      <c r="BE52" s="2" t="n"/>
      <c r="BF52" s="2" t="n">
        <v>41921.47222222222</v>
      </c>
      <c r="BG52" s="2" t="n">
        <v>456.34</v>
      </c>
      <c r="BH52" s="2" t="n">
        <v>113</v>
      </c>
      <c r="BI52" s="2" t="n">
        <v>39677.05</v>
      </c>
      <c r="BJ52" s="2" t="n">
        <v>90.55917355371901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534.64482</v>
      </c>
      <c r="BQ52" s="2" t="n">
        <v>0</v>
      </c>
      <c r="BR52" s="2" t="n">
        <v>40896.59399355372</v>
      </c>
      <c r="BS52" s="2" t="n">
        <v>855.6128099173553</v>
      </c>
      <c r="BT52" s="2" t="n">
        <v>396.6942148760331</v>
      </c>
      <c r="BU52" s="2" t="n">
        <v>8322.851239669422</v>
      </c>
      <c r="BV52" s="2" t="n">
        <v>9575.158264462811</v>
      </c>
      <c r="BW52" s="2" t="n">
        <v>50471.75225801652</v>
      </c>
      <c r="BX52" s="2" t="n">
        <v>39237.97</v>
      </c>
      <c r="BY52" s="2" t="n">
        <v>365.35</v>
      </c>
      <c r="BZ52" s="2" t="n">
        <v>5671.87</v>
      </c>
      <c r="CA52" s="2" t="n">
        <v>39603.32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1226</v>
      </c>
      <c r="B53" t="inlineStr">
        <is>
          <t>Plac Dworcowy 3, 33-100 Tarnów</t>
        </is>
      </c>
      <c r="C53" t="inlineStr">
        <is>
          <t>Tarnów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11616.95</v>
      </c>
      <c r="L53" s="2" t="n">
        <v>967.0035231481481</v>
      </c>
      <c r="M53" s="2" t="n">
        <v>10756.43518518518</v>
      </c>
      <c r="N53" s="2" t="n">
        <v>2507.98</v>
      </c>
      <c r="O53" s="2" t="n">
        <v>8923.92</v>
      </c>
      <c r="P53" s="2" t="n">
        <v>185.05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10547.07</v>
      </c>
      <c r="AP53" s="2" t="n">
        <v>771.4986388888889</v>
      </c>
      <c r="AQ53" s="2" t="n">
        <v>9765.805555555555</v>
      </c>
      <c r="AR53" s="2" t="n">
        <v>3291.14</v>
      </c>
      <c r="AS53" s="2" t="n">
        <v>7008.76</v>
      </c>
      <c r="AT53" s="2" t="n">
        <v>247.17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22164.02</v>
      </c>
      <c r="BB53" s="2" t="n">
        <v>16364.9</v>
      </c>
      <c r="BC53" s="2">
        <f>F53+L53+R53+X53+AD53+AJ53+AP53+AV53+IF(BE53="",0,BE53)</f>
        <v/>
      </c>
      <c r="BD53" s="2" t="n">
        <v>252.01946</v>
      </c>
      <c r="BE53" s="2" t="n"/>
      <c r="BF53" s="2" t="n">
        <v>20522.24074074074</v>
      </c>
      <c r="BG53" s="2" t="n">
        <v>456.34</v>
      </c>
      <c r="BH53" s="2" t="n">
        <v>142</v>
      </c>
      <c r="BI53" s="2" t="n">
        <v>39677.05</v>
      </c>
      <c r="BJ53" s="2" t="n">
        <v>90.55917355371901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220.92615</v>
      </c>
      <c r="BQ53" s="2" t="n">
        <v>0</v>
      </c>
      <c r="BR53" s="2" t="n">
        <v>40611.87532355372</v>
      </c>
      <c r="BS53" s="2" t="n">
        <v>855.6128099173553</v>
      </c>
      <c r="BT53" s="2" t="n">
        <v>396.6942148760331</v>
      </c>
      <c r="BU53" s="2" t="n">
        <v>8328.651239669422</v>
      </c>
      <c r="BV53" s="2" t="n">
        <v>9580.95826446281</v>
      </c>
      <c r="BW53" s="2" t="n">
        <v>50192.83358801653</v>
      </c>
      <c r="BX53" s="2" t="n">
        <v>15932.68</v>
      </c>
      <c r="BY53" s="2" t="n">
        <v>432.22</v>
      </c>
      <c r="BZ53" s="2" t="n">
        <v>5799.12</v>
      </c>
      <c r="CA53" s="2" t="n">
        <v>16364.9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1227</v>
      </c>
      <c r="B54" t="inlineStr">
        <is>
          <t>Bochnia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4665.61</v>
      </c>
      <c r="L54" s="2" t="n">
        <v>388.3688324074074</v>
      </c>
      <c r="M54" s="2" t="n">
        <v>4320.009259259259</v>
      </c>
      <c r="N54" s="2" t="n">
        <v>1541.05</v>
      </c>
      <c r="O54" s="2" t="n">
        <v>3025.66</v>
      </c>
      <c r="P54" s="2" t="n">
        <v>98.90000000000001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4366.16</v>
      </c>
      <c r="X54" s="2" t="n">
        <v>350</v>
      </c>
      <c r="Y54" s="2" t="n">
        <v>4042.74074074074</v>
      </c>
      <c r="Z54" s="2" t="n">
        <v>1086.53</v>
      </c>
      <c r="AA54" s="2" t="n">
        <v>3131.66</v>
      </c>
      <c r="AB54" s="2" t="n">
        <v>147.97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3779.090000000001</v>
      </c>
      <c r="AP54" s="2" t="n">
        <v>276.4334351851852</v>
      </c>
      <c r="AQ54" s="2" t="n">
        <v>3499.157407407408</v>
      </c>
      <c r="AR54" s="2" t="n">
        <v>591.24</v>
      </c>
      <c r="AS54" s="2" t="n">
        <v>3068.57</v>
      </c>
      <c r="AT54" s="2" t="n">
        <v>119.28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12810.86</v>
      </c>
      <c r="BB54" s="2" t="n">
        <v>9592.040000000001</v>
      </c>
      <c r="BC54" s="2">
        <f>F54+L54+R54+X54+AD54+AJ54+AP54+AV54+IF(BE54="",0,BE54)</f>
        <v/>
      </c>
      <c r="BD54" s="2" t="n">
        <v>141.486119</v>
      </c>
      <c r="BE54" s="2" t="n"/>
      <c r="BF54" s="2" t="n">
        <v>11861.90740740741</v>
      </c>
      <c r="BG54" s="2" t="n">
        <v>456.34</v>
      </c>
      <c r="BH54" s="2" t="n">
        <v>92.8</v>
      </c>
      <c r="BI54" s="2" t="n">
        <v>39677.05</v>
      </c>
      <c r="BJ54" s="2" t="n">
        <v>90.55917355371901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129.49254</v>
      </c>
      <c r="BQ54" s="2" t="n">
        <v>0</v>
      </c>
      <c r="BR54" s="2" t="n">
        <v>40471.24171355372</v>
      </c>
      <c r="BS54" s="2" t="n">
        <v>855.6128099173553</v>
      </c>
      <c r="BT54" s="2" t="n">
        <v>396.6942148760331</v>
      </c>
      <c r="BU54" s="2" t="n">
        <v>8318.811239669421</v>
      </c>
      <c r="BV54" s="2" t="n">
        <v>9571.11826446281</v>
      </c>
      <c r="BW54" s="2" t="n">
        <v>50042.35997801652</v>
      </c>
      <c r="BX54" s="2" t="n">
        <v>9225.889999999999</v>
      </c>
      <c r="BY54" s="2" t="n">
        <v>366.15</v>
      </c>
      <c r="BZ54" s="2" t="n">
        <v>3218.82</v>
      </c>
      <c r="CA54" s="2" t="n">
        <v>9592.039999999999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1228</v>
      </c>
      <c r="B55" t="inlineStr">
        <is>
          <t>Sosnowiec</t>
        </is>
      </c>
      <c r="C55" t="inlineStr"/>
      <c r="D55" t="inlineStr"/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2620.07</v>
      </c>
      <c r="L55" s="2" t="n">
        <v>218.0965675925926</v>
      </c>
      <c r="M55" s="2" t="n">
        <v>2425.990740740741</v>
      </c>
      <c r="N55" s="2" t="n">
        <v>615.0700000000001</v>
      </c>
      <c r="O55" s="2" t="n">
        <v>1827.6</v>
      </c>
      <c r="P55" s="2" t="n">
        <v>177.4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2620.07</v>
      </c>
      <c r="BB55" s="2" t="n">
        <v>2005</v>
      </c>
      <c r="BC55" s="2">
        <f>F55+L55+R55+X55+AD55+AJ55+AP55+AV55+IF(BE55="",0,BE55)</f>
        <v/>
      </c>
      <c r="BD55" s="2" t="n">
        <v>30.877</v>
      </c>
      <c r="BE55" s="2" t="n"/>
      <c r="BF55" s="2" t="n">
        <v>2425.990740740741</v>
      </c>
      <c r="BG55" s="2" t="n">
        <v>0</v>
      </c>
      <c r="BH55" s="2" t="n">
        <v>0</v>
      </c>
      <c r="BI55" s="2" t="n">
        <v>39677.05</v>
      </c>
      <c r="BJ55" s="2" t="n">
        <v>90.55917355371901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27.0675</v>
      </c>
      <c r="BQ55" s="2" t="n">
        <v>0</v>
      </c>
      <c r="BR55" s="2" t="n">
        <v>39819.67667355372</v>
      </c>
      <c r="BS55" s="2" t="n">
        <v>855.6128099173553</v>
      </c>
      <c r="BT55" s="2" t="n">
        <v>396.6942148760331</v>
      </c>
      <c r="BU55" s="2" t="n">
        <v>8208.983239669422</v>
      </c>
      <c r="BV55" s="2" t="n">
        <v>9461.29026446281</v>
      </c>
      <c r="BW55" s="2" t="n">
        <v>49280.96693801653</v>
      </c>
      <c r="BX55" s="2" t="n">
        <v>1827.6</v>
      </c>
      <c r="BY55" s="2" t="n">
        <v>177.4</v>
      </c>
      <c r="BZ55" s="2" t="n">
        <v>615.0700000000001</v>
      </c>
      <c r="CA55" s="2" t="n">
        <v>2005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1229</v>
      </c>
      <c r="B56" t="inlineStr">
        <is>
          <t>Tychy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1479.58</v>
      </c>
      <c r="L56" s="2" t="n">
        <v>123.1613351851852</v>
      </c>
      <c r="M56" s="2" t="n">
        <v>1369.981481481482</v>
      </c>
      <c r="N56" s="2" t="n">
        <v>176.42</v>
      </c>
      <c r="O56" s="2" t="n">
        <v>1185.16</v>
      </c>
      <c r="P56" s="2" t="n">
        <v>118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1479.58</v>
      </c>
      <c r="BB56" s="2" t="n">
        <v>1303.16</v>
      </c>
      <c r="BC56" s="2">
        <f>F56+L56+R56+X56+AD56+AJ56+AP56+AV56+IF(BE56="",0,BE56)</f>
        <v/>
      </c>
      <c r="BD56" s="2" t="n">
        <v>20.068664</v>
      </c>
      <c r="BE56" s="2" t="n"/>
      <c r="BF56" s="2" t="n">
        <v>1369.981481481482</v>
      </c>
      <c r="BG56" s="2" t="n">
        <v>0</v>
      </c>
      <c r="BH56" s="2" t="n">
        <v>0</v>
      </c>
      <c r="BI56" s="2" t="n">
        <v>39677.05</v>
      </c>
      <c r="BJ56" s="2" t="n">
        <v>90.55917355371901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17.59266</v>
      </c>
      <c r="BQ56" s="2" t="n">
        <v>0</v>
      </c>
      <c r="BR56" s="2" t="n">
        <v>39810.20183355372</v>
      </c>
      <c r="BS56" s="2" t="n">
        <v>855.6128099173553</v>
      </c>
      <c r="BT56" s="2" t="n">
        <v>396.6942148760331</v>
      </c>
      <c r="BU56" s="2" t="n">
        <v>8208.983239669422</v>
      </c>
      <c r="BV56" s="2" t="n">
        <v>9461.29026446281</v>
      </c>
      <c r="BW56" s="2" t="n">
        <v>49271.49209801653</v>
      </c>
      <c r="BX56" s="2" t="n">
        <v>1185.16</v>
      </c>
      <c r="BY56" s="2" t="n">
        <v>118</v>
      </c>
      <c r="BZ56" s="2" t="n">
        <v>176.42</v>
      </c>
      <c r="CA56" s="2" t="n">
        <v>1303.16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1230</v>
      </c>
      <c r="B57" t="inlineStr">
        <is>
          <t>Bohaterów Getta Warszawskiego 12, 44-100 Gliwice</t>
        </is>
      </c>
      <c r="C57" t="inlineStr">
        <is>
          <t>Gliwice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14040</v>
      </c>
      <c r="L57" s="2" t="n">
        <v>1168.7</v>
      </c>
      <c r="M57" s="2" t="n">
        <v>13000</v>
      </c>
      <c r="N57" s="2" t="n">
        <v>3321.83</v>
      </c>
      <c r="O57" s="2" t="n">
        <v>9677.309999999999</v>
      </c>
      <c r="P57" s="2" t="n">
        <v>1040.86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14040</v>
      </c>
      <c r="BB57" s="2" t="n">
        <v>10718.17</v>
      </c>
      <c r="BC57" s="2">
        <f>F57+L57+R57+X57+AD57+AJ57+AP57+AV57+IF(BE57="",0,BE57)</f>
        <v/>
      </c>
      <c r="BD57" s="2" t="n">
        <v>165.059818</v>
      </c>
      <c r="BE57" s="2" t="n"/>
      <c r="BF57" s="2" t="n">
        <v>13000</v>
      </c>
      <c r="BG57" s="2" t="n">
        <v>1184.31</v>
      </c>
      <c r="BH57" s="2" t="n">
        <v>109.6</v>
      </c>
      <c r="BI57" s="2" t="n">
        <v>39677.05</v>
      </c>
      <c r="BJ57" s="2" t="n">
        <v>90.55917355371901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144.695295</v>
      </c>
      <c r="BQ57" s="2" t="n">
        <v>0</v>
      </c>
      <c r="BR57" s="2" t="n">
        <v>41231.21446855372</v>
      </c>
      <c r="BS57" s="2" t="n">
        <v>855.6128099173553</v>
      </c>
      <c r="BT57" s="2" t="n">
        <v>396.6942148760331</v>
      </c>
      <c r="BU57" s="2" t="n">
        <v>8467.765239669423</v>
      </c>
      <c r="BV57" s="2" t="n">
        <v>9720.072264462811</v>
      </c>
      <c r="BW57" s="2" t="n">
        <v>50951.28673301653</v>
      </c>
      <c r="BX57" s="2" t="n">
        <v>9677.309999999999</v>
      </c>
      <c r="BY57" s="2" t="n">
        <v>1040.86</v>
      </c>
      <c r="BZ57" s="2" t="n">
        <v>3321.83</v>
      </c>
      <c r="CA57" s="2" t="n">
        <v>10718.17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1231</v>
      </c>
      <c r="B58" t="inlineStr">
        <is>
          <t>Rybnik</t>
        </is>
      </c>
      <c r="C58" t="inlineStr"/>
      <c r="D58" t="inlineStr"/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1941.64</v>
      </c>
      <c r="L58" s="2" t="n">
        <v>161.6235518518518</v>
      </c>
      <c r="M58" s="2" t="n">
        <v>1797.814814814815</v>
      </c>
      <c r="N58" s="2" t="n">
        <v>515.05</v>
      </c>
      <c r="O58" s="2" t="n">
        <v>1346.59</v>
      </c>
      <c r="P58" s="2" t="n">
        <v>80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1941.64</v>
      </c>
      <c r="BB58" s="2" t="n">
        <v>1426.59</v>
      </c>
      <c r="BC58" s="2">
        <f>F58+L58+R58+X58+AD58+AJ58+AP58+AV58+IF(BE58="",0,BE58)</f>
        <v/>
      </c>
      <c r="BD58" s="2" t="n">
        <v>21.969486</v>
      </c>
      <c r="BE58" s="2" t="n"/>
      <c r="BF58" s="2" t="n">
        <v>1797.814814814815</v>
      </c>
      <c r="BG58" s="2" t="n">
        <v>592.22</v>
      </c>
      <c r="BH58" s="2" t="n">
        <v>201</v>
      </c>
      <c r="BI58" s="2" t="n">
        <v>39677.05</v>
      </c>
      <c r="BJ58" s="2" t="n">
        <v>90.55917355371901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19.258965</v>
      </c>
      <c r="BQ58" s="2" t="n">
        <v>0</v>
      </c>
      <c r="BR58" s="2" t="n">
        <v>40605.08813855372</v>
      </c>
      <c r="BS58" s="2" t="n">
        <v>855.6128099173553</v>
      </c>
      <c r="BT58" s="2" t="n">
        <v>396.6942148760331</v>
      </c>
      <c r="BU58" s="2" t="n">
        <v>8367.627239669422</v>
      </c>
      <c r="BV58" s="2" t="n">
        <v>9619.93426446281</v>
      </c>
      <c r="BW58" s="2" t="n">
        <v>50225.02240301653</v>
      </c>
      <c r="BX58" s="2" t="n">
        <v>1346.59</v>
      </c>
      <c r="BY58" s="2" t="n">
        <v>80</v>
      </c>
      <c r="BZ58" s="2" t="n">
        <v>515.05</v>
      </c>
      <c r="CA58" s="2" t="n">
        <v>1426.59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1232</v>
      </c>
      <c r="B59" t="inlineStr">
        <is>
          <t>Bielsko Biala</t>
        </is>
      </c>
      <c r="C59" t="inlineStr">
        <is>
          <t>Oława Zachodnia</t>
        </is>
      </c>
      <c r="D59" t="inlineStr">
        <is>
          <t>ST|40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4606.360000000001</v>
      </c>
      <c r="L59" s="2" t="n">
        <v>383.4368185185186</v>
      </c>
      <c r="M59" s="2" t="n">
        <v>4265.148148148149</v>
      </c>
      <c r="N59" s="2" t="n">
        <v>1755.2</v>
      </c>
      <c r="O59" s="2" t="n">
        <v>2549.19</v>
      </c>
      <c r="P59" s="2" t="n">
        <v>301.97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4606.360000000001</v>
      </c>
      <c r="BB59" s="2" t="n">
        <v>2851.16</v>
      </c>
      <c r="BC59" s="2">
        <f>F59+L59+R59+X59+AD59+AJ59+AP59+AV59+IF(BE59="",0,BE59)</f>
        <v/>
      </c>
      <c r="BD59" s="2" t="n">
        <v>43.907864</v>
      </c>
      <c r="BE59" s="2" t="n"/>
      <c r="BF59" s="2" t="n">
        <v>4265.148148148149</v>
      </c>
      <c r="BG59" s="2" t="n">
        <v>596.39</v>
      </c>
      <c r="BH59" s="2" t="n">
        <v>28</v>
      </c>
      <c r="BI59" s="2" t="n">
        <v>39677.05</v>
      </c>
      <c r="BJ59" s="2" t="n">
        <v>90.55917355371901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38.49066</v>
      </c>
      <c r="BQ59" s="2" t="n">
        <v>0</v>
      </c>
      <c r="BR59" s="2" t="n">
        <v>40455.48983355372</v>
      </c>
      <c r="BS59" s="2" t="n">
        <v>855.6128099173553</v>
      </c>
      <c r="BT59" s="2" t="n">
        <v>396.6942148760331</v>
      </c>
      <c r="BU59" s="2" t="n">
        <v>8333.861239669421</v>
      </c>
      <c r="BV59" s="2" t="n">
        <v>9586.168264462809</v>
      </c>
      <c r="BW59" s="2" t="n">
        <v>50041.65809801653</v>
      </c>
      <c r="BX59" s="2" t="n">
        <v>2549.19</v>
      </c>
      <c r="BY59" s="2" t="n">
        <v>301.97</v>
      </c>
      <c r="BZ59" s="2" t="n">
        <v>1755.2</v>
      </c>
      <c r="CA59" s="2" t="n">
        <v>2851.16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1234</v>
      </c>
      <c r="B60" t="inlineStr">
        <is>
          <t>Kolejowa 88, 68-100 Żagań</t>
        </is>
      </c>
      <c r="C60" t="inlineStr">
        <is>
          <t>Żagań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1035.47</v>
      </c>
      <c r="L60" s="2" t="n">
        <v>86.19328981481482</v>
      </c>
      <c r="M60" s="2" t="n">
        <v>958.7685185185185</v>
      </c>
      <c r="N60" s="2" t="n">
        <v>349.97</v>
      </c>
      <c r="O60" s="2" t="n">
        <v>629.47</v>
      </c>
      <c r="P60" s="2" t="n">
        <v>56.03</v>
      </c>
      <c r="Q60" s="2" t="n">
        <v>4950.45</v>
      </c>
      <c r="R60" s="2" t="n">
        <v>1600</v>
      </c>
      <c r="S60" s="2" t="n">
        <v>4583.749999999999</v>
      </c>
      <c r="T60" s="2" t="n">
        <v>1094.48</v>
      </c>
      <c r="U60" s="2" t="n">
        <v>3543.73</v>
      </c>
      <c r="V60" s="2" t="n">
        <v>312.24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4713.099999999999</v>
      </c>
      <c r="AP60" s="2" t="n">
        <v>344.754537037037</v>
      </c>
      <c r="AQ60" s="2" t="n">
        <v>4363.981481481481</v>
      </c>
      <c r="AR60" s="2" t="n">
        <v>1580.72</v>
      </c>
      <c r="AS60" s="2" t="n">
        <v>2911.98</v>
      </c>
      <c r="AT60" s="2" t="n">
        <v>220.4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10699.02</v>
      </c>
      <c r="BB60" s="2" t="n">
        <v>7673.85</v>
      </c>
      <c r="BC60" s="2">
        <f>F60+L60+R60+X60+AD60+AJ60+AP60+AV60+IF(BE60="",0,BE60)</f>
        <v/>
      </c>
      <c r="BD60" s="2" t="n">
        <v>118.17729</v>
      </c>
      <c r="BE60" s="2" t="n"/>
      <c r="BF60" s="2" t="n">
        <v>9906.499999999998</v>
      </c>
      <c r="BG60" s="2" t="n">
        <v>594.14</v>
      </c>
      <c r="BH60" s="2" t="n">
        <v>214</v>
      </c>
      <c r="BI60" s="2" t="n">
        <v>39677.05</v>
      </c>
      <c r="BJ60" s="2" t="n">
        <v>90.55917355371901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103.596975</v>
      </c>
      <c r="BQ60" s="2" t="n">
        <v>0</v>
      </c>
      <c r="BR60" s="2" t="n">
        <v>40704.34614855372</v>
      </c>
      <c r="BS60" s="2" t="n">
        <v>855.6128099173553</v>
      </c>
      <c r="BT60" s="2" t="n">
        <v>396.6942148760331</v>
      </c>
      <c r="BU60" s="2" t="n">
        <v>8370.611239669421</v>
      </c>
      <c r="BV60" s="2" t="n">
        <v>9622.918264462809</v>
      </c>
      <c r="BW60" s="2" t="n">
        <v>50327.26441301653</v>
      </c>
      <c r="BX60" s="2" t="n">
        <v>7085.18</v>
      </c>
      <c r="BY60" s="2" t="n">
        <v>588.67</v>
      </c>
      <c r="BZ60" s="2" t="n">
        <v>3025.17</v>
      </c>
      <c r="CA60" s="2" t="n">
        <v>7673.85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1235</v>
      </c>
      <c r="B61" t="inlineStr">
        <is>
          <t>Dworcowa 2, 61-801 Poznań</t>
        </is>
      </c>
      <c r="C61" t="inlineStr">
        <is>
          <t>Poznań Główny, Dworzec Zachodni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9260.66</v>
      </c>
      <c r="L61" s="2" t="n">
        <v>770.8641981481481</v>
      </c>
      <c r="M61" s="2" t="n">
        <v>8574.685185185184</v>
      </c>
      <c r="N61" s="2" t="n">
        <v>1120.8</v>
      </c>
      <c r="O61" s="2" t="n">
        <v>7418.88</v>
      </c>
      <c r="P61" s="2" t="n">
        <v>720.98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12106.28</v>
      </c>
      <c r="AD61" s="2" t="n">
        <v>773.4567777777777</v>
      </c>
      <c r="AE61" s="2" t="n">
        <v>11209.51851851852</v>
      </c>
      <c r="AF61" s="2" t="n">
        <v>2392.5</v>
      </c>
      <c r="AG61" s="2" t="n">
        <v>8820.879999999999</v>
      </c>
      <c r="AH61" s="2" t="n">
        <v>892.9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5183.33</v>
      </c>
      <c r="AP61" s="2" t="n">
        <v>379.1509907407407</v>
      </c>
      <c r="AQ61" s="2" t="n">
        <v>4799.37962962963</v>
      </c>
      <c r="AR61" s="2" t="n">
        <v>982.65</v>
      </c>
      <c r="AS61" s="2" t="n">
        <v>3991.83</v>
      </c>
      <c r="AT61" s="2" t="n">
        <v>208.85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26550.27</v>
      </c>
      <c r="BB61" s="2" t="n">
        <v>22054.32</v>
      </c>
      <c r="BC61" s="2">
        <f>F61+L61+R61+X61+AD61+AJ61+AP61+AV61+IF(BE61="",0,BE61)</f>
        <v/>
      </c>
      <c r="BD61" s="2" t="n">
        <v>339.636528</v>
      </c>
      <c r="BE61" s="2" t="n"/>
      <c r="BF61" s="2" t="n">
        <v>24583.58333333333</v>
      </c>
      <c r="BG61" s="2" t="n">
        <v>458.58</v>
      </c>
      <c r="BH61" s="2" t="n">
        <v>0</v>
      </c>
      <c r="BI61" s="2" t="n">
        <v>39677.05</v>
      </c>
      <c r="BJ61" s="2" t="n">
        <v>90.55917355371901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297.73332</v>
      </c>
      <c r="BQ61" s="2" t="n">
        <v>0</v>
      </c>
      <c r="BR61" s="2" t="n">
        <v>40548.92249355372</v>
      </c>
      <c r="BS61" s="2" t="n">
        <v>855.6128099173553</v>
      </c>
      <c r="BT61" s="2" t="n">
        <v>396.6942148760331</v>
      </c>
      <c r="BU61" s="2" t="n">
        <v>8300.699239669422</v>
      </c>
      <c r="BV61" s="2" t="n">
        <v>9553.006264462811</v>
      </c>
      <c r="BW61" s="2" t="n">
        <v>50101.92875801653</v>
      </c>
      <c r="BX61" s="2" t="n">
        <v>20231.59</v>
      </c>
      <c r="BY61" s="2" t="n">
        <v>1822.73</v>
      </c>
      <c r="BZ61" s="2" t="n">
        <v>4495.95</v>
      </c>
      <c r="CA61" s="2" t="n">
        <v>22054.32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1236</v>
      </c>
      <c r="B62" t="inlineStr">
        <is>
          <t>Pelplin</t>
        </is>
      </c>
      <c r="C62" t="inlineStr">
        <is>
          <t>Pelplin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3212</v>
      </c>
      <c r="AP62" s="2" t="n">
        <v>3900</v>
      </c>
      <c r="AQ62" s="2" t="n">
        <v>2974.074074074074</v>
      </c>
      <c r="AR62" s="2" t="n">
        <v>0</v>
      </c>
      <c r="AS62" s="2" t="n">
        <v>2937.3</v>
      </c>
      <c r="AT62" s="2" t="n">
        <v>274.7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3212</v>
      </c>
      <c r="BB62" s="2" t="n">
        <v>3212</v>
      </c>
      <c r="BC62" s="2">
        <f>F62+L62+R62+X62+AD62+AJ62+AP62+AV62+IF(BE62="",0,BE62)</f>
        <v/>
      </c>
      <c r="BD62" s="2" t="n">
        <v>49.4648</v>
      </c>
      <c r="BE62" s="2" t="n"/>
      <c r="BF62" s="2" t="n">
        <v>2974.074074074074</v>
      </c>
      <c r="BG62" s="2" t="n">
        <v>458.58</v>
      </c>
      <c r="BH62" s="2" t="n">
        <v>0</v>
      </c>
      <c r="BI62" s="2" t="n">
        <v>39677.05</v>
      </c>
      <c r="BJ62" s="2" t="n">
        <v>90.55917355371901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43.362</v>
      </c>
      <c r="BQ62" s="2" t="n">
        <v>0</v>
      </c>
      <c r="BR62" s="2" t="n">
        <v>40294.55117355372</v>
      </c>
      <c r="BS62" s="2" t="n">
        <v>855.6128099173553</v>
      </c>
      <c r="BT62" s="2" t="n">
        <v>396.6942148760331</v>
      </c>
      <c r="BU62" s="2" t="n">
        <v>8300.699239669422</v>
      </c>
      <c r="BV62" s="2" t="n">
        <v>9553.006264462811</v>
      </c>
      <c r="BW62" s="2" t="n">
        <v>49847.55743801653</v>
      </c>
      <c r="BX62" s="2" t="n">
        <v>2937.3</v>
      </c>
      <c r="BY62" s="2" t="n">
        <v>274.7</v>
      </c>
      <c r="BZ62" s="2" t="n">
        <v>0</v>
      </c>
      <c r="CA62" s="2" t="n">
        <v>3212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1237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18321.3</v>
      </c>
      <c r="L63" s="2" t="n">
        <v>1525.078583333334</v>
      </c>
      <c r="M63" s="2" t="n">
        <v>16964.16666666667</v>
      </c>
      <c r="N63" s="2" t="n">
        <v>3940.51</v>
      </c>
      <c r="O63" s="2" t="n">
        <v>14239.79</v>
      </c>
      <c r="P63" s="2" t="n">
        <v>141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28831.49</v>
      </c>
      <c r="AD63" s="2" t="n">
        <v>1842.011861111111</v>
      </c>
      <c r="AE63" s="2" t="n">
        <v>26695.82407407407</v>
      </c>
      <c r="AF63" s="2" t="n">
        <v>5521.78</v>
      </c>
      <c r="AG63" s="2" t="n">
        <v>23161.86</v>
      </c>
      <c r="AH63" s="2" t="n">
        <v>147.85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12636.22</v>
      </c>
      <c r="AP63" s="2" t="n">
        <v>924.3160925925927</v>
      </c>
      <c r="AQ63" s="2" t="n">
        <v>11700.2037037037</v>
      </c>
      <c r="AR63" s="2" t="n">
        <v>2731.3</v>
      </c>
      <c r="AS63" s="2" t="n">
        <v>9751.24</v>
      </c>
      <c r="AT63" s="2" t="n">
        <v>153.68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59789.01</v>
      </c>
      <c r="BB63" s="2" t="n">
        <v>47595.42</v>
      </c>
      <c r="BC63" s="2">
        <f>F63+L63+R63+X63+AD63+AJ63+AP63+AV63+IF(BE63="",0,BE63)</f>
        <v/>
      </c>
      <c r="BD63" s="2" t="n">
        <v>732.969468</v>
      </c>
      <c r="BE63" s="2" t="n"/>
      <c r="BF63" s="2" t="n">
        <v>55360.19444444444</v>
      </c>
      <c r="BG63" s="2" t="n">
        <v>458.58</v>
      </c>
      <c r="BH63" s="2" t="n">
        <v>0</v>
      </c>
      <c r="BI63" s="2" t="n">
        <v>39677.05</v>
      </c>
      <c r="BJ63" s="2" t="n">
        <v>90.55917355371901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642.53817</v>
      </c>
      <c r="BQ63" s="2" t="n">
        <v>0</v>
      </c>
      <c r="BR63" s="2" t="n">
        <v>40893.72734355372</v>
      </c>
      <c r="BS63" s="2" t="n">
        <v>855.6128099173553</v>
      </c>
      <c r="BT63" s="2" t="n">
        <v>396.6942148760331</v>
      </c>
      <c r="BU63" s="2" t="n">
        <v>8300.699239669422</v>
      </c>
      <c r="BV63" s="2" t="n">
        <v>9553.006264462811</v>
      </c>
      <c r="BW63" s="2" t="n">
        <v>50446.73360801653</v>
      </c>
      <c r="BX63" s="2" t="n">
        <v>47152.89</v>
      </c>
      <c r="BY63" s="2" t="n">
        <v>442.53</v>
      </c>
      <c r="BZ63" s="2" t="n">
        <v>12193.59</v>
      </c>
      <c r="CA63" s="2" t="n">
        <v>47595.42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1238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11178.76</v>
      </c>
      <c r="L64" s="2" t="n">
        <v>930.5282629629629</v>
      </c>
      <c r="M64" s="2" t="n">
        <v>10350.7037037037</v>
      </c>
      <c r="N64" s="2" t="n">
        <v>1740.56</v>
      </c>
      <c r="O64" s="2" t="n">
        <v>9113.040000000001</v>
      </c>
      <c r="P64" s="2" t="n">
        <v>325.16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18579.67</v>
      </c>
      <c r="AD64" s="2" t="n">
        <v>1187.034472222222</v>
      </c>
      <c r="AE64" s="2" t="n">
        <v>17203.39814814815</v>
      </c>
      <c r="AF64" s="2" t="n">
        <v>3326.36</v>
      </c>
      <c r="AG64" s="2" t="n">
        <v>14153.5</v>
      </c>
      <c r="AH64" s="2" t="n">
        <v>1099.81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6244.16</v>
      </c>
      <c r="AP64" s="2" t="n">
        <v>456.7487407407407</v>
      </c>
      <c r="AQ64" s="2" t="n">
        <v>5781.62962962963</v>
      </c>
      <c r="AR64" s="2" t="n">
        <v>1055.15</v>
      </c>
      <c r="AS64" s="2" t="n">
        <v>4758</v>
      </c>
      <c r="AT64" s="2" t="n">
        <v>431.01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36002.59</v>
      </c>
      <c r="BB64" s="2" t="n">
        <v>29880.52</v>
      </c>
      <c r="BC64" s="2">
        <f>F64+L64+R64+X64+AD64+AJ64+AP64+AV64+IF(BE64="",0,BE64)</f>
        <v/>
      </c>
      <c r="BD64" s="2" t="n">
        <v>460.160008</v>
      </c>
      <c r="BE64" s="2" t="n"/>
      <c r="BF64" s="2" t="n">
        <v>33335.73148148148</v>
      </c>
      <c r="BG64" s="2" t="n">
        <v>458.58</v>
      </c>
      <c r="BH64" s="2" t="n">
        <v>0</v>
      </c>
      <c r="BI64" s="2" t="n">
        <v>39677.05</v>
      </c>
      <c r="BJ64" s="2" t="n">
        <v>90.55917355371901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403.38702</v>
      </c>
      <c r="BQ64" s="2" t="n">
        <v>0</v>
      </c>
      <c r="BR64" s="2" t="n">
        <v>40654.57619355372</v>
      </c>
      <c r="BS64" s="2" t="n">
        <v>855.6128099173553</v>
      </c>
      <c r="BT64" s="2" t="n">
        <v>396.6942148760331</v>
      </c>
      <c r="BU64" s="2" t="n">
        <v>8300.699239669422</v>
      </c>
      <c r="BV64" s="2" t="n">
        <v>9553.006264462811</v>
      </c>
      <c r="BW64" s="2" t="n">
        <v>50207.58245801654</v>
      </c>
      <c r="BX64" s="2" t="n">
        <v>28024.54</v>
      </c>
      <c r="BY64" s="2" t="n">
        <v>1855.98</v>
      </c>
      <c r="BZ64" s="2" t="n">
        <v>6122.07</v>
      </c>
      <c r="CA64" s="2" t="n">
        <v>29880.52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1239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29203.24</v>
      </c>
      <c r="L65" s="2" t="n">
        <v>2430.89932962963</v>
      </c>
      <c r="M65" s="2" t="n">
        <v>27040.03703703704</v>
      </c>
      <c r="N65" s="2" t="n">
        <v>5046.7</v>
      </c>
      <c r="O65" s="2" t="n">
        <v>22923.65</v>
      </c>
      <c r="P65" s="2" t="n">
        <v>1232.89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53452.78</v>
      </c>
      <c r="AD65" s="2" t="n">
        <v>3415.038722222222</v>
      </c>
      <c r="AE65" s="2" t="n">
        <v>49493.31481481481</v>
      </c>
      <c r="AF65" s="2" t="n">
        <v>8838.75</v>
      </c>
      <c r="AG65" s="2" t="n">
        <v>43506.1</v>
      </c>
      <c r="AH65" s="2" t="n">
        <v>1107.93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17443.86</v>
      </c>
      <c r="AP65" s="2" t="n">
        <v>1275.986055555556</v>
      </c>
      <c r="AQ65" s="2" t="n">
        <v>16151.72222222222</v>
      </c>
      <c r="AR65" s="2" t="n">
        <v>2532.76</v>
      </c>
      <c r="AS65" s="2" t="n">
        <v>14086.54</v>
      </c>
      <c r="AT65" s="2" t="n">
        <v>824.5599999999999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100099.88</v>
      </c>
      <c r="BB65" s="2" t="n">
        <v>83681.67000000001</v>
      </c>
      <c r="BC65" s="2">
        <f>F65+L65+R65+X65+AD65+AJ65+AP65+AV65+IF(BE65="",0,BE65)</f>
        <v/>
      </c>
      <c r="BD65" s="2" t="n">
        <v>1288.697718</v>
      </c>
      <c r="BE65" s="2" t="n"/>
      <c r="BF65" s="2" t="n">
        <v>92685.07407407407</v>
      </c>
      <c r="BG65" s="2" t="n">
        <v>458.58</v>
      </c>
      <c r="BH65" s="2" t="n">
        <v>0</v>
      </c>
      <c r="BI65" s="2" t="n">
        <v>39677.05</v>
      </c>
      <c r="BJ65" s="2" t="n">
        <v>90.55917355371901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1129.702545</v>
      </c>
      <c r="BQ65" s="2" t="n">
        <v>0</v>
      </c>
      <c r="BR65" s="2" t="n">
        <v>41380.89171855372</v>
      </c>
      <c r="BS65" s="2" t="n">
        <v>855.6128099173553</v>
      </c>
      <c r="BT65" s="2" t="n">
        <v>396.6942148760331</v>
      </c>
      <c r="BU65" s="2" t="n">
        <v>8300.699239669422</v>
      </c>
      <c r="BV65" s="2" t="n">
        <v>9553.006264462811</v>
      </c>
      <c r="BW65" s="2" t="n">
        <v>50933.89798301653</v>
      </c>
      <c r="BX65" s="2" t="n">
        <v>80516.29000000001</v>
      </c>
      <c r="BY65" s="2" t="n">
        <v>3165.38</v>
      </c>
      <c r="BZ65" s="2" t="n">
        <v>16418.21</v>
      </c>
      <c r="CA65" s="2" t="n">
        <v>83681.67000000001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1240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36634.19</v>
      </c>
      <c r="L66" s="2" t="n">
        <v>3049.457112037037</v>
      </c>
      <c r="M66" s="2" t="n">
        <v>33920.5462962963</v>
      </c>
      <c r="N66" s="2" t="n">
        <v>6203.53</v>
      </c>
      <c r="O66" s="2" t="n">
        <v>30285.56</v>
      </c>
      <c r="P66" s="2" t="n">
        <v>145.1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64572.9</v>
      </c>
      <c r="AD66" s="2" t="n">
        <v>4125.490833333333</v>
      </c>
      <c r="AE66" s="2" t="n">
        <v>59789.72222222222</v>
      </c>
      <c r="AF66" s="2" t="n">
        <v>12267.94</v>
      </c>
      <c r="AG66" s="2" t="n">
        <v>52113.53</v>
      </c>
      <c r="AH66" s="2" t="n">
        <v>191.43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19893.92</v>
      </c>
      <c r="AP66" s="2" t="n">
        <v>1455.203407407407</v>
      </c>
      <c r="AQ66" s="2" t="n">
        <v>18420.2962962963</v>
      </c>
      <c r="AR66" s="2" t="n">
        <v>3261.27</v>
      </c>
      <c r="AS66" s="2" t="n">
        <v>16617.95</v>
      </c>
      <c r="AT66" s="2" t="n">
        <v>14.7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121101.01</v>
      </c>
      <c r="BB66" s="2" t="n">
        <v>99368.26999999999</v>
      </c>
      <c r="BC66" s="2">
        <f>F66+L66+R66+X66+AD66+AJ66+AP66+AV66+IF(BE66="",0,BE66)</f>
        <v/>
      </c>
      <c r="BD66" s="2" t="n">
        <v>1530.271358</v>
      </c>
      <c r="BE66" s="2" t="n"/>
      <c r="BF66" s="2" t="n">
        <v>112130.5648148148</v>
      </c>
      <c r="BG66" s="2" t="n">
        <v>458.58</v>
      </c>
      <c r="BH66" s="2" t="n">
        <v>0</v>
      </c>
      <c r="BI66" s="2" t="n">
        <v>39677.05</v>
      </c>
      <c r="BJ66" s="2" t="n">
        <v>90.55917355371901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1341.471645</v>
      </c>
      <c r="BQ66" s="2" t="n">
        <v>0</v>
      </c>
      <c r="BR66" s="2" t="n">
        <v>41592.66081855372</v>
      </c>
      <c r="BS66" s="2" t="n">
        <v>855.6128099173553</v>
      </c>
      <c r="BT66" s="2" t="n">
        <v>396.6942148760331</v>
      </c>
      <c r="BU66" s="2" t="n">
        <v>8300.699239669422</v>
      </c>
      <c r="BV66" s="2" t="n">
        <v>9553.006264462811</v>
      </c>
      <c r="BW66" s="2" t="n">
        <v>51145.66708301653</v>
      </c>
      <c r="BX66" s="2" t="n">
        <v>99017.03999999999</v>
      </c>
      <c r="BY66" s="2" t="n">
        <v>351.23</v>
      </c>
      <c r="BZ66" s="2" t="n">
        <v>21732.74</v>
      </c>
      <c r="CA66" s="2" t="n">
        <v>99368.26999999999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1241</v>
      </c>
      <c r="B67" t="inlineStr">
        <is>
          <t>Kolejowa 1, 62-510 Konin</t>
        </is>
      </c>
      <c r="C67" t="inlineStr">
        <is>
          <t>Konin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4562.76</v>
      </c>
      <c r="L67" s="2" t="n">
        <v>379.8075222222222</v>
      </c>
      <c r="M67" s="2" t="n">
        <v>4224.777777777777</v>
      </c>
      <c r="N67" s="2" t="n">
        <v>1018.92</v>
      </c>
      <c r="O67" s="2" t="n">
        <v>3285.58</v>
      </c>
      <c r="P67" s="2" t="n">
        <v>258.26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8953.120000000001</v>
      </c>
      <c r="AD67" s="2" t="n">
        <v>572.004888888889</v>
      </c>
      <c r="AE67" s="2" t="n">
        <v>8289.925925925927</v>
      </c>
      <c r="AF67" s="2" t="n">
        <v>1491.61</v>
      </c>
      <c r="AG67" s="2" t="n">
        <v>7168.43</v>
      </c>
      <c r="AH67" s="2" t="n">
        <v>293.08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193.9</v>
      </c>
      <c r="AP67" s="2" t="n">
        <v>14.18342592592593</v>
      </c>
      <c r="AQ67" s="2" t="n">
        <v>179.537037037037</v>
      </c>
      <c r="AR67" s="2" t="n">
        <v>0</v>
      </c>
      <c r="AS67" s="2" t="n">
        <v>193.9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13709.78</v>
      </c>
      <c r="BB67" s="2" t="n">
        <v>11199.25</v>
      </c>
      <c r="BC67" s="2">
        <f>F67+L67+R67+X67+AD67+AJ67+AP67+AV67+IF(BE67="",0,BE67)</f>
        <v/>
      </c>
      <c r="BD67" s="2" t="n">
        <v>172.46845</v>
      </c>
      <c r="BE67" s="2" t="n"/>
      <c r="BF67" s="2" t="n">
        <v>12694.24074074074</v>
      </c>
      <c r="BG67" s="2" t="n">
        <v>0</v>
      </c>
      <c r="BH67" s="2" t="n">
        <v>0</v>
      </c>
      <c r="BI67" s="2" t="n">
        <v>39677.05</v>
      </c>
      <c r="BJ67" s="2" t="n">
        <v>90.55917355371901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151.189875</v>
      </c>
      <c r="BQ67" s="2" t="n">
        <v>0</v>
      </c>
      <c r="BR67" s="2" t="n">
        <v>39943.79904855372</v>
      </c>
      <c r="BS67" s="2" t="n">
        <v>855.6128099173553</v>
      </c>
      <c r="BT67" s="2" t="n">
        <v>396.6942148760331</v>
      </c>
      <c r="BU67" s="2" t="n">
        <v>8208.983239669422</v>
      </c>
      <c r="BV67" s="2" t="n">
        <v>9461.29026446281</v>
      </c>
      <c r="BW67" s="2" t="n">
        <v>49405.08931301653</v>
      </c>
      <c r="BX67" s="2" t="n">
        <v>10647.91</v>
      </c>
      <c r="BY67" s="2" t="n">
        <v>551.3399999999999</v>
      </c>
      <c r="BZ67" s="2" t="n">
        <v>2510.53</v>
      </c>
      <c r="CA67" s="2" t="n">
        <v>11199.25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1242</v>
      </c>
      <c r="B68" t="inlineStr">
        <is>
          <t>Dworcowa 1, 62-800 Kalisz</t>
        </is>
      </c>
      <c r="C68" t="inlineStr">
        <is>
          <t>Kalisz</t>
        </is>
      </c>
      <c r="D68" t="inlineStr">
        <is>
          <t>ST|40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12330.77</v>
      </c>
      <c r="L68" s="2" t="n">
        <v>1026.422428703704</v>
      </c>
      <c r="M68" s="2" t="n">
        <v>11417.37962962963</v>
      </c>
      <c r="N68" s="2" t="n">
        <v>5348.05</v>
      </c>
      <c r="O68" s="2" t="n">
        <v>6197.38</v>
      </c>
      <c r="P68" s="2" t="n">
        <v>785.34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3709.32</v>
      </c>
      <c r="AD68" s="2" t="n">
        <v>236.9843333333334</v>
      </c>
      <c r="AE68" s="2" t="n">
        <v>3434.555555555556</v>
      </c>
      <c r="AF68" s="2" t="n">
        <v>817.85</v>
      </c>
      <c r="AG68" s="2" t="n">
        <v>2565.26</v>
      </c>
      <c r="AH68" s="2" t="n">
        <v>326.21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7357.74</v>
      </c>
      <c r="AP68" s="2" t="n">
        <v>538.2050555555555</v>
      </c>
      <c r="AQ68" s="2" t="n">
        <v>6812.722222222222</v>
      </c>
      <c r="AR68" s="2" t="n">
        <v>2566.52</v>
      </c>
      <c r="AS68" s="2" t="n">
        <v>4051.72</v>
      </c>
      <c r="AT68" s="2" t="n">
        <v>739.5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23397.83</v>
      </c>
      <c r="BB68" s="2" t="n">
        <v>14665.41</v>
      </c>
      <c r="BC68" s="2">
        <f>F68+L68+R68+X68+AD68+AJ68+AP68+AV68+IF(BE68="",0,BE68)</f>
        <v/>
      </c>
      <c r="BD68" s="2" t="n">
        <v>225.847314</v>
      </c>
      <c r="BE68" s="2" t="n"/>
      <c r="BF68" s="2" t="n">
        <v>21664.65740740741</v>
      </c>
      <c r="BG68" s="2" t="n">
        <v>539.1099999999999</v>
      </c>
      <c r="BH68" s="2" t="n">
        <v>208</v>
      </c>
      <c r="BI68" s="2" t="n">
        <v>39677.05</v>
      </c>
      <c r="BJ68" s="2" t="n">
        <v>90.55917355371901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197.983035</v>
      </c>
      <c r="BQ68" s="2" t="n">
        <v>0</v>
      </c>
      <c r="BR68" s="2" t="n">
        <v>40737.70220855372</v>
      </c>
      <c r="BS68" s="2" t="n">
        <v>855.6128099173553</v>
      </c>
      <c r="BT68" s="2" t="n">
        <v>396.6942148760331</v>
      </c>
      <c r="BU68" s="2" t="n">
        <v>8358.405239669422</v>
      </c>
      <c r="BV68" s="2" t="n">
        <v>9610.712264462811</v>
      </c>
      <c r="BW68" s="2" t="n">
        <v>50348.41447301653</v>
      </c>
      <c r="BX68" s="2" t="n">
        <v>12814.36</v>
      </c>
      <c r="BY68" s="2" t="n">
        <v>1851.05</v>
      </c>
      <c r="BZ68" s="2" t="n">
        <v>8732.42</v>
      </c>
      <c r="CA68" s="2" t="n">
        <v>14665.41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1243</v>
      </c>
      <c r="B69" t="inlineStr">
        <is>
          <t>Garbary 89, 61-757 Poznań</t>
        </is>
      </c>
      <c r="C69" t="inlineStr">
        <is>
          <t>Poznań Garbary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219.5</v>
      </c>
      <c r="L69" s="2" t="n">
        <v>18.27134259259259</v>
      </c>
      <c r="M69" s="2" t="n">
        <v>203.2407407407407</v>
      </c>
      <c r="N69" s="2" t="n">
        <v>0</v>
      </c>
      <c r="O69" s="2" t="n">
        <v>200.5</v>
      </c>
      <c r="P69" s="2" t="n">
        <v>19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20935.54</v>
      </c>
      <c r="AD69" s="2" t="n">
        <v>1337.548388888889</v>
      </c>
      <c r="AE69" s="2" t="n">
        <v>19384.75925925926</v>
      </c>
      <c r="AF69" s="2" t="n">
        <v>2627.8</v>
      </c>
      <c r="AG69" s="2" t="n">
        <v>17329.27</v>
      </c>
      <c r="AH69" s="2" t="n">
        <v>978.47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3879.3</v>
      </c>
      <c r="AP69" s="2" t="n">
        <v>283.7636111111111</v>
      </c>
      <c r="AQ69" s="2" t="n">
        <v>3591.944444444444</v>
      </c>
      <c r="AR69" s="2" t="n">
        <v>979.58</v>
      </c>
      <c r="AS69" s="2" t="n">
        <v>2788.83</v>
      </c>
      <c r="AT69" s="2" t="n">
        <v>110.89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25034.34</v>
      </c>
      <c r="BB69" s="2" t="n">
        <v>21426.96</v>
      </c>
      <c r="BC69" s="2">
        <f>F69+L69+R69+X69+AD69+AJ69+AP69+AV69+IF(BE69="",0,BE69)</f>
        <v/>
      </c>
      <c r="BD69" s="2" t="n">
        <v>329.975184</v>
      </c>
      <c r="BE69" s="2" t="n"/>
      <c r="BF69" s="2" t="n">
        <v>23179.94444444445</v>
      </c>
      <c r="BG69" s="2" t="n">
        <v>587.13</v>
      </c>
      <c r="BH69" s="2" t="n">
        <v>182</v>
      </c>
      <c r="BI69" s="2" t="n">
        <v>39677.05</v>
      </c>
      <c r="BJ69" s="2" t="n">
        <v>90.55917355371901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289.26396</v>
      </c>
      <c r="BQ69" s="2" t="n">
        <v>0</v>
      </c>
      <c r="BR69" s="2" t="n">
        <v>40851.00313355371</v>
      </c>
      <c r="BS69" s="2" t="n">
        <v>855.6128099173553</v>
      </c>
      <c r="BT69" s="2" t="n">
        <v>396.6942148760331</v>
      </c>
      <c r="BU69" s="2" t="n">
        <v>8362.809239669423</v>
      </c>
      <c r="BV69" s="2" t="n">
        <v>9615.116264462811</v>
      </c>
      <c r="BW69" s="2" t="n">
        <v>50466.11939801653</v>
      </c>
      <c r="BX69" s="2" t="n">
        <v>20318.6</v>
      </c>
      <c r="BY69" s="2" t="n">
        <v>1108.36</v>
      </c>
      <c r="BZ69" s="2" t="n">
        <v>3607.38</v>
      </c>
      <c r="CA69" s="2" t="n">
        <v>21426.96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1244</v>
      </c>
      <c r="B70" t="inlineStr">
        <is>
          <t>Dworcowa 7, 62-200 Gniezno</t>
        </is>
      </c>
      <c r="C70" t="inlineStr">
        <is>
          <t>Gniezno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22699.29</v>
      </c>
      <c r="L70" s="2" t="n">
        <v>1889.505713888889</v>
      </c>
      <c r="M70" s="2" t="n">
        <v>21017.86111111111</v>
      </c>
      <c r="N70" s="2" t="n">
        <v>4390.46</v>
      </c>
      <c r="O70" s="2" t="n">
        <v>17303.92</v>
      </c>
      <c r="P70" s="2" t="n">
        <v>1004.91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21011.13</v>
      </c>
      <c r="AD70" s="2" t="n">
        <v>1342.37775</v>
      </c>
      <c r="AE70" s="2" t="n">
        <v>19454.75</v>
      </c>
      <c r="AF70" s="2" t="n">
        <v>5210.42</v>
      </c>
      <c r="AG70" s="2" t="n">
        <v>14519.26</v>
      </c>
      <c r="AH70" s="2" t="n">
        <v>1281.45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9339.52</v>
      </c>
      <c r="AP70" s="2" t="n">
        <v>683.1685925925926</v>
      </c>
      <c r="AQ70" s="2" t="n">
        <v>8647.703703703704</v>
      </c>
      <c r="AR70" s="2" t="n">
        <v>1824.01</v>
      </c>
      <c r="AS70" s="2" t="n">
        <v>6958.56</v>
      </c>
      <c r="AT70" s="2" t="n">
        <v>556.95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53049.94</v>
      </c>
      <c r="BB70" s="2" t="n">
        <v>41625.05</v>
      </c>
      <c r="BC70" s="2">
        <f>F70+L70+R70+X70+AD70+AJ70+AP70+AV70+IF(BE70="",0,BE70)</f>
        <v/>
      </c>
      <c r="BD70" s="2" t="n">
        <v>641.02577</v>
      </c>
      <c r="BE70" s="2" t="n"/>
      <c r="BF70" s="2" t="n">
        <v>49120.31481481482</v>
      </c>
      <c r="BG70" s="2" t="n">
        <v>0</v>
      </c>
      <c r="BH70" s="2" t="n">
        <v>0</v>
      </c>
      <c r="BI70" s="2" t="n">
        <v>39677.05</v>
      </c>
      <c r="BJ70" s="2" t="n">
        <v>90.55917355371901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561.938175</v>
      </c>
      <c r="BQ70" s="2" t="n">
        <v>0</v>
      </c>
      <c r="BR70" s="2" t="n">
        <v>40354.54734855372</v>
      </c>
      <c r="BS70" s="2" t="n">
        <v>855.6128099173553</v>
      </c>
      <c r="BT70" s="2" t="n">
        <v>396.6942148760331</v>
      </c>
      <c r="BU70" s="2" t="n">
        <v>8208.983239669422</v>
      </c>
      <c r="BV70" s="2" t="n">
        <v>9461.29026446281</v>
      </c>
      <c r="BW70" s="2" t="n">
        <v>49815.83761301653</v>
      </c>
      <c r="BX70" s="2" t="n">
        <v>38781.74</v>
      </c>
      <c r="BY70" s="2" t="n">
        <v>2843.31</v>
      </c>
      <c r="BZ70" s="2" t="n">
        <v>11424.89</v>
      </c>
      <c r="CA70" s="2" t="n">
        <v>41625.05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1245</v>
      </c>
      <c r="B71" t="inlineStr">
        <is>
          <t>Plac Dworcowy 1, 80-321 Gdańsk</t>
        </is>
      </c>
      <c r="C71" t="inlineStr">
        <is>
          <t>Gdańsk Oliwa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4700.04</v>
      </c>
      <c r="L71" s="2" t="n">
        <v>391.2348111111111</v>
      </c>
      <c r="M71" s="2" t="n">
        <v>4351.888888888889</v>
      </c>
      <c r="N71" s="2" t="n">
        <v>1263.64</v>
      </c>
      <c r="O71" s="2" t="n">
        <v>3233.4</v>
      </c>
      <c r="P71" s="2" t="n">
        <v>203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6300.699999999999</v>
      </c>
      <c r="AP71" s="2" t="n">
        <v>460.8845370370369</v>
      </c>
      <c r="AQ71" s="2" t="n">
        <v>5833.98148148148</v>
      </c>
      <c r="AR71" s="2" t="n">
        <v>2827.52</v>
      </c>
      <c r="AS71" s="2" t="n">
        <v>3247.2</v>
      </c>
      <c r="AT71" s="2" t="n">
        <v>225.98</v>
      </c>
      <c r="AU71" s="2" t="n">
        <v>2823.9</v>
      </c>
      <c r="AV71" s="2" t="n">
        <v>112.4330555555555</v>
      </c>
      <c r="AW71" s="2" t="n">
        <v>2614.722222222222</v>
      </c>
      <c r="AX71" s="2" t="n">
        <v>1420.05</v>
      </c>
      <c r="AY71" s="2" t="n">
        <v>1362.5</v>
      </c>
      <c r="AZ71" s="2" t="n">
        <v>41.35</v>
      </c>
      <c r="BA71" s="2" t="n">
        <v>13824.64</v>
      </c>
      <c r="BB71" s="2" t="n">
        <v>8313.43</v>
      </c>
      <c r="BC71" s="2">
        <f>F71+L71+R71+X71+AD71+AJ71+AP71+AV71+IF(BE71="",0,BE71)</f>
        <v/>
      </c>
      <c r="BD71" s="2" t="n">
        <v>128.026822</v>
      </c>
      <c r="BE71" s="2" t="n"/>
      <c r="BF71" s="2" t="n">
        <v>12800.59259259259</v>
      </c>
      <c r="BG71" s="2" t="n">
        <v>0</v>
      </c>
      <c r="BH71" s="2" t="n">
        <v>0</v>
      </c>
      <c r="BI71" s="2" t="n">
        <v>39677.05</v>
      </c>
      <c r="BJ71" s="2" t="n">
        <v>90.55917355371901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112.231305</v>
      </c>
      <c r="BQ71" s="2" t="n">
        <v>0</v>
      </c>
      <c r="BR71" s="2" t="n">
        <v>39904.84047855372</v>
      </c>
      <c r="BS71" s="2" t="n">
        <v>855.6128099173553</v>
      </c>
      <c r="BT71" s="2" t="n">
        <v>396.6942148760331</v>
      </c>
      <c r="BU71" s="2" t="n">
        <v>8208.983239669422</v>
      </c>
      <c r="BV71" s="2" t="n">
        <v>9461.29026446281</v>
      </c>
      <c r="BW71" s="2" t="n">
        <v>49366.13074301653</v>
      </c>
      <c r="BX71" s="2" t="n">
        <v>7843.1</v>
      </c>
      <c r="BY71" s="2" t="n">
        <v>470.33</v>
      </c>
      <c r="BZ71" s="2" t="n">
        <v>5511.21</v>
      </c>
      <c r="CA71" s="2" t="n">
        <v>8313.43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1246</v>
      </c>
      <c r="B72" t="inlineStr">
        <is>
          <t>Dworcowa 1, 63-400 Ostrów Wlkp.</t>
        </is>
      </c>
      <c r="C72" t="inlineStr">
        <is>
          <t>Ostrów Wielkopolski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5132.24</v>
      </c>
      <c r="L72" s="2" t="n">
        <v>427.2114592592593</v>
      </c>
      <c r="M72" s="2" t="n">
        <v>4752.074074074074</v>
      </c>
      <c r="N72" s="2" t="n">
        <v>1352.62</v>
      </c>
      <c r="O72" s="2" t="n">
        <v>3698.62</v>
      </c>
      <c r="P72" s="2" t="n">
        <v>81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10155.1</v>
      </c>
      <c r="AD72" s="2" t="n">
        <v>648.7980555555556</v>
      </c>
      <c r="AE72" s="2" t="n">
        <v>9402.87037037037</v>
      </c>
      <c r="AF72" s="2" t="n">
        <v>2796.33</v>
      </c>
      <c r="AG72" s="2" t="n">
        <v>7126.58</v>
      </c>
      <c r="AH72" s="2" t="n">
        <v>232.19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10861.14</v>
      </c>
      <c r="AP72" s="2" t="n">
        <v>794.4722777777777</v>
      </c>
      <c r="AQ72" s="2" t="n">
        <v>10056.61111111111</v>
      </c>
      <c r="AR72" s="2" t="n">
        <v>2299.93</v>
      </c>
      <c r="AS72" s="2" t="n">
        <v>8267.41</v>
      </c>
      <c r="AT72" s="2" t="n">
        <v>293.8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26148.48</v>
      </c>
      <c r="BB72" s="2" t="n">
        <v>19699.6</v>
      </c>
      <c r="BC72" s="2">
        <f>F72+L72+R72+X72+AD72+AJ72+AP72+AV72+IF(BE72="",0,BE72)</f>
        <v/>
      </c>
      <c r="BD72" s="2" t="n">
        <v>303.37384</v>
      </c>
      <c r="BE72" s="2" t="n"/>
      <c r="BF72" s="2" t="n">
        <v>24211.55555555555</v>
      </c>
      <c r="BG72" s="2" t="n">
        <v>0</v>
      </c>
      <c r="BH72" s="2" t="n">
        <v>104.3</v>
      </c>
      <c r="BI72" s="2" t="n">
        <v>39677.05</v>
      </c>
      <c r="BJ72" s="2" t="n">
        <v>90.55917355371901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265.9446</v>
      </c>
      <c r="BQ72" s="2" t="n">
        <v>0</v>
      </c>
      <c r="BR72" s="2" t="n">
        <v>40162.85377355372</v>
      </c>
      <c r="BS72" s="2" t="n">
        <v>855.6128099173553</v>
      </c>
      <c r="BT72" s="2" t="n">
        <v>396.6942148760331</v>
      </c>
      <c r="BU72" s="2" t="n">
        <v>8229.843239669422</v>
      </c>
      <c r="BV72" s="2" t="n">
        <v>9482.150264462811</v>
      </c>
      <c r="BW72" s="2" t="n">
        <v>49645.00403801654</v>
      </c>
      <c r="BX72" s="2" t="n">
        <v>19092.61</v>
      </c>
      <c r="BY72" s="2" t="n">
        <v>606.99</v>
      </c>
      <c r="BZ72" s="2" t="n">
        <v>6448.879999999999</v>
      </c>
      <c r="CA72" s="2" t="n">
        <v>19699.6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1247</v>
      </c>
      <c r="B73" t="inlineStr">
        <is>
          <t>Kujawska 1, 87-100 Toruń</t>
        </is>
      </c>
      <c r="C73" t="inlineStr">
        <is>
          <t>Toruń</t>
        </is>
      </c>
      <c r="D73" t="inlineStr">
        <is>
          <t>FAA2000</t>
        </is>
      </c>
      <c r="E73" s="2" t="n">
        <v>1323.25</v>
      </c>
      <c r="F73" s="2" t="n">
        <v>1000</v>
      </c>
      <c r="G73" s="2" t="n">
        <v>1225.231481481481</v>
      </c>
      <c r="H73" s="2" t="n">
        <v>435.75</v>
      </c>
      <c r="I73" s="2" t="n">
        <v>887.5</v>
      </c>
      <c r="J73" s="2" t="n">
        <v>0</v>
      </c>
      <c r="K73" s="2" t="n">
        <v>10097.66</v>
      </c>
      <c r="L73" s="2" t="n">
        <v>840.5366981481482</v>
      </c>
      <c r="M73" s="2" t="n">
        <v>9349.685185185184</v>
      </c>
      <c r="N73" s="2" t="n">
        <v>2198.84</v>
      </c>
      <c r="O73" s="2" t="n">
        <v>7898.82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12974.77</v>
      </c>
      <c r="AP73" s="2" t="n">
        <v>949.0803981481481</v>
      </c>
      <c r="AQ73" s="2" t="n">
        <v>12013.67592592593</v>
      </c>
      <c r="AR73" s="2" t="n">
        <v>3864.52</v>
      </c>
      <c r="AS73" s="2" t="n">
        <v>9110.25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24395.68</v>
      </c>
      <c r="BB73" s="2" t="n">
        <v>17896.57</v>
      </c>
      <c r="BC73" s="2">
        <f>F73+L73+R73+X73+AD73+AJ73+AP73+AV73+IF(BE73="",0,BE73)</f>
        <v/>
      </c>
      <c r="BD73" s="2" t="n">
        <v>275.607178</v>
      </c>
      <c r="BE73" s="2" t="n"/>
      <c r="BF73" s="2" t="n">
        <v>22588.59259259259</v>
      </c>
      <c r="BG73" s="2" t="n">
        <v>534.6800000000001</v>
      </c>
      <c r="BH73" s="2" t="n">
        <v>139</v>
      </c>
      <c r="BI73" s="2" t="n">
        <v>39677.05</v>
      </c>
      <c r="BJ73" s="2" t="n">
        <v>90.55917355371901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241.603695</v>
      </c>
      <c r="BQ73" s="2" t="n">
        <v>0</v>
      </c>
      <c r="BR73" s="2" t="n">
        <v>40707.89286855372</v>
      </c>
      <c r="BS73" s="2" t="n">
        <v>855.6128099173553</v>
      </c>
      <c r="BT73" s="2" t="n">
        <v>396.6942148760331</v>
      </c>
      <c r="BU73" s="2" t="n">
        <v>8343.719239669421</v>
      </c>
      <c r="BV73" s="2" t="n">
        <v>9596.026264462809</v>
      </c>
      <c r="BW73" s="2" t="n">
        <v>50303.91913301653</v>
      </c>
      <c r="BX73" s="2" t="n">
        <v>17896.57</v>
      </c>
      <c r="BY73" s="2" t="n">
        <v>0</v>
      </c>
      <c r="BZ73" s="2" t="n">
        <v>6499.110000000001</v>
      </c>
      <c r="CA73" s="2" t="n">
        <v>17896.57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4391.23</v>
      </c>
      <c r="L74" s="2" t="n">
        <v>365.529237962963</v>
      </c>
      <c r="M74" s="2" t="n">
        <v>4065.953703703704</v>
      </c>
      <c r="N74" s="2" t="n">
        <v>1625.68</v>
      </c>
      <c r="O74" s="2" t="n">
        <v>2495.45</v>
      </c>
      <c r="P74" s="2" t="n">
        <v>270.1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8586.73</v>
      </c>
      <c r="AP74" s="2" t="n">
        <v>628.1033981481481</v>
      </c>
      <c r="AQ74" s="2" t="n">
        <v>7950.675925925925</v>
      </c>
      <c r="AR74" s="2" t="n">
        <v>2347.64</v>
      </c>
      <c r="AS74" s="2" t="n">
        <v>5668.42</v>
      </c>
      <c r="AT74" s="2" t="n">
        <v>570.67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12977.96</v>
      </c>
      <c r="BB74" s="2" t="n">
        <v>9004.639999999999</v>
      </c>
      <c r="BC74" s="2">
        <f>F74+L74+R74+X74+AD74+AJ74+AP74+AV74+IF(BE74="",0,BE74)</f>
        <v/>
      </c>
      <c r="BD74" s="2" t="n">
        <v>138.671456</v>
      </c>
      <c r="BE74" s="2" t="n"/>
      <c r="BF74" s="2" t="n">
        <v>12016.62962962963</v>
      </c>
      <c r="BG74" s="2" t="n">
        <v>694.6900000000001</v>
      </c>
      <c r="BH74" s="2" t="n">
        <v>167.5</v>
      </c>
      <c r="BI74" s="2" t="n">
        <v>39677.05</v>
      </c>
      <c r="BJ74" s="2" t="n">
        <v>90.55917355371901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121.56264</v>
      </c>
      <c r="BQ74" s="2" t="n">
        <v>0</v>
      </c>
      <c r="BR74" s="2" t="n">
        <v>40776.36181355372</v>
      </c>
      <c r="BS74" s="2" t="n">
        <v>855.6128099173553</v>
      </c>
      <c r="BT74" s="2" t="n">
        <v>396.6942148760331</v>
      </c>
      <c r="BU74" s="2" t="n">
        <v>8381.421239669422</v>
      </c>
      <c r="BV74" s="2" t="n">
        <v>9633.72826446281</v>
      </c>
      <c r="BW74" s="2" t="n">
        <v>50410.09007801652</v>
      </c>
      <c r="BX74" s="2" t="n">
        <v>8163.87</v>
      </c>
      <c r="BY74" s="2" t="n">
        <v>840.77</v>
      </c>
      <c r="BZ74" s="2" t="n">
        <v>3973.32</v>
      </c>
      <c r="CA74" s="2" t="n">
        <v>9004.639999999999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1250</v>
      </c>
      <c r="B75" t="inlineStr">
        <is>
          <t>Kolejowa 3, 58-540 Karpacz</t>
        </is>
      </c>
      <c r="C75" t="inlineStr">
        <is>
          <t>Karpacz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10004.38</v>
      </c>
      <c r="R75" s="2" t="n">
        <v>1750</v>
      </c>
      <c r="S75" s="2" t="n">
        <v>9263.314814814814</v>
      </c>
      <c r="T75" s="2" t="n">
        <v>0</v>
      </c>
      <c r="U75" s="2" t="n">
        <v>8723.98</v>
      </c>
      <c r="V75" s="2" t="n">
        <v>1280.4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10004.38</v>
      </c>
      <c r="BB75" s="2" t="n">
        <v>10004.38</v>
      </c>
      <c r="BC75" s="2">
        <f>F75+L75+R75+X75+AD75+AJ75+AP75+AV75+IF(BE75="",0,BE75)</f>
        <v/>
      </c>
      <c r="BD75" s="2" t="n">
        <v>154.067452</v>
      </c>
      <c r="BE75" s="2" t="n"/>
      <c r="BF75" s="2" t="n">
        <v>9263.314814814814</v>
      </c>
      <c r="BG75" s="2" t="n">
        <v>0</v>
      </c>
      <c r="BH75" s="2" t="n">
        <v>0</v>
      </c>
      <c r="BI75" s="2" t="n">
        <v>39677.05</v>
      </c>
      <c r="BJ75" s="2" t="n">
        <v>90.55917355371901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135.05913</v>
      </c>
      <c r="BQ75" s="2" t="n">
        <v>0</v>
      </c>
      <c r="BR75" s="2" t="n">
        <v>39927.66830355372</v>
      </c>
      <c r="BS75" s="2" t="n">
        <v>855.6128099173553</v>
      </c>
      <c r="BT75" s="2" t="n">
        <v>396.6942148760331</v>
      </c>
      <c r="BU75" s="2" t="n">
        <v>8208.983239669422</v>
      </c>
      <c r="BV75" s="2" t="n">
        <v>9461.29026446281</v>
      </c>
      <c r="BW75" s="2" t="n">
        <v>49388.95856801653</v>
      </c>
      <c r="BX75" s="2" t="n">
        <v>8723.98</v>
      </c>
      <c r="BY75" s="2" t="n">
        <v>1280.4</v>
      </c>
      <c r="BZ75" s="2" t="n">
        <v>0</v>
      </c>
      <c r="CA75" s="2" t="n">
        <v>10004.38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1251</v>
      </c>
      <c r="B76" t="inlineStr">
        <is>
          <t>Kielce</t>
        </is>
      </c>
      <c r="C76" t="inlineStr"/>
      <c r="D76" t="inlineStr"/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10190.4</v>
      </c>
      <c r="L76" s="2" t="n">
        <v>848.2564444444445</v>
      </c>
      <c r="M76" s="2" t="n">
        <v>9435.555555555555</v>
      </c>
      <c r="N76" s="2" t="n">
        <v>2182.54</v>
      </c>
      <c r="O76" s="2" t="n">
        <v>7678.47</v>
      </c>
      <c r="P76" s="2" t="n">
        <v>329.39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10331.43</v>
      </c>
      <c r="AP76" s="2" t="n">
        <v>755.7249722222222</v>
      </c>
      <c r="AQ76" s="2" t="n">
        <v>9566.138888888889</v>
      </c>
      <c r="AR76" s="2" t="n">
        <v>2985.16</v>
      </c>
      <c r="AS76" s="2" t="n">
        <v>7090.33</v>
      </c>
      <c r="AT76" s="2" t="n">
        <v>255.94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20521.83</v>
      </c>
      <c r="BB76" s="2" t="n">
        <v>15354.13</v>
      </c>
      <c r="BC76" s="2">
        <f>F76+L76+R76+X76+AD76+AJ76+AP76+AV76+IF(BE76="",0,BE76)</f>
        <v/>
      </c>
      <c r="BD76" s="2" t="n">
        <v>236.453602</v>
      </c>
      <c r="BE76" s="2" t="n"/>
      <c r="BF76" s="2" t="n">
        <v>19001.69444444445</v>
      </c>
      <c r="BG76" s="2" t="n">
        <v>518</v>
      </c>
      <c r="BH76" s="2" t="n">
        <v>238</v>
      </c>
      <c r="BI76" s="2" t="n">
        <v>39677.05</v>
      </c>
      <c r="BJ76" s="2" t="n">
        <v>90.55917355371901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207.280755</v>
      </c>
      <c r="BQ76" s="2" t="n">
        <v>0</v>
      </c>
      <c r="BR76" s="2" t="n">
        <v>40755.88992855372</v>
      </c>
      <c r="BS76" s="2" t="n">
        <v>855.6128099173553</v>
      </c>
      <c r="BT76" s="2" t="n">
        <v>396.6942148760331</v>
      </c>
      <c r="BU76" s="2" t="n">
        <v>8360.183239669421</v>
      </c>
      <c r="BV76" s="2" t="n">
        <v>9612.490264462809</v>
      </c>
      <c r="BW76" s="2" t="n">
        <v>50368.38019301653</v>
      </c>
      <c r="BX76" s="2" t="n">
        <v>14768.8</v>
      </c>
      <c r="BY76" s="2" t="n">
        <v>585.3299999999999</v>
      </c>
      <c r="BZ76" s="2" t="n">
        <v>5167.7</v>
      </c>
      <c r="CA76" s="2" t="n">
        <v>15354.13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9761.290000000001</v>
      </c>
      <c r="L77" s="2" t="n">
        <v>812.5370101851853</v>
      </c>
      <c r="M77" s="2" t="n">
        <v>9038.231481481482</v>
      </c>
      <c r="N77" s="2" t="n">
        <v>2466.67</v>
      </c>
      <c r="O77" s="2" t="n">
        <v>6977.53</v>
      </c>
      <c r="P77" s="2" t="n">
        <v>317.09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13334.85</v>
      </c>
      <c r="AP77" s="2" t="n">
        <v>975.4195833333331</v>
      </c>
      <c r="AQ77" s="2" t="n">
        <v>12347.08333333333</v>
      </c>
      <c r="AR77" s="2" t="n">
        <v>3393.62</v>
      </c>
      <c r="AS77" s="2" t="n">
        <v>9613.959999999999</v>
      </c>
      <c r="AT77" s="2" t="n">
        <v>327.27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23096.14</v>
      </c>
      <c r="BB77" s="2" t="n">
        <v>17235.85</v>
      </c>
      <c r="BC77" s="2">
        <f>F77+L77+R77+X77+AD77+AJ77+AP77+AV77+IF(BE77="",0,BE77)</f>
        <v/>
      </c>
      <c r="BD77" s="2" t="n">
        <v>265.43209</v>
      </c>
      <c r="BE77" s="2" t="n"/>
      <c r="BF77" s="2" t="n">
        <v>21385.31481481481</v>
      </c>
      <c r="BG77" s="2" t="n">
        <v>228</v>
      </c>
      <c r="BH77" s="2" t="n">
        <v>0</v>
      </c>
      <c r="BI77" s="2" t="n">
        <v>39677.05</v>
      </c>
      <c r="BJ77" s="2" t="n">
        <v>90.55917355371901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232.683975</v>
      </c>
      <c r="BQ77" s="2" t="n">
        <v>0</v>
      </c>
      <c r="BR77" s="2" t="n">
        <v>40253.29314855372</v>
      </c>
      <c r="BS77" s="2" t="n">
        <v>855.6128099173553</v>
      </c>
      <c r="BT77" s="2" t="n">
        <v>396.6942148760331</v>
      </c>
      <c r="BU77" s="2" t="n">
        <v>8254.583239669422</v>
      </c>
      <c r="BV77" s="2" t="n">
        <v>9506.890264462811</v>
      </c>
      <c r="BW77" s="2" t="n">
        <v>49760.18341301653</v>
      </c>
      <c r="BX77" s="2" t="n">
        <v>16591.49</v>
      </c>
      <c r="BY77" s="2" t="n">
        <v>644.3599999999999</v>
      </c>
      <c r="BZ77" s="2" t="n">
        <v>5860.29</v>
      </c>
      <c r="CA77" s="2" t="n">
        <v>17235.85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1253</v>
      </c>
      <c r="B78" t="inlineStr">
        <is>
          <t>Opole</t>
        </is>
      </c>
      <c r="C78" t="inlineStr"/>
      <c r="D78" t="inlineStr"/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2838.78</v>
      </c>
      <c r="L78" s="2" t="n">
        <v>236.30215</v>
      </c>
      <c r="M78" s="2" t="n">
        <v>2628.5</v>
      </c>
      <c r="N78" s="2" t="n">
        <v>1076.83</v>
      </c>
      <c r="O78" s="2" t="n">
        <v>1742.35</v>
      </c>
      <c r="P78" s="2" t="n">
        <v>19.6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4060.15</v>
      </c>
      <c r="AP78" s="2" t="n">
        <v>296.9924537037037</v>
      </c>
      <c r="AQ78" s="2" t="n">
        <v>3759.398148148148</v>
      </c>
      <c r="AR78" s="2" t="n">
        <v>1096.18</v>
      </c>
      <c r="AS78" s="2" t="n">
        <v>2840.44</v>
      </c>
      <c r="AT78" s="2" t="n">
        <v>123.53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6898.93</v>
      </c>
      <c r="BB78" s="2" t="n">
        <v>4725.92</v>
      </c>
      <c r="BC78" s="2">
        <f>F78+L78+R78+X78+AD78+AJ78+AP78+AV78+IF(BE78="",0,BE78)</f>
        <v/>
      </c>
      <c r="BD78" s="2" t="n">
        <v>72.779168</v>
      </c>
      <c r="BE78" s="2" t="n"/>
      <c r="BF78" s="2" t="n">
        <v>6387.898148148148</v>
      </c>
      <c r="BG78" s="2" t="n">
        <v>0</v>
      </c>
      <c r="BH78" s="2" t="n">
        <v>0</v>
      </c>
      <c r="BI78" s="2" t="n">
        <v>39677.05</v>
      </c>
      <c r="BJ78" s="2" t="n">
        <v>90.55917355371901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63.79992</v>
      </c>
      <c r="BQ78" s="2" t="n">
        <v>0</v>
      </c>
      <c r="BR78" s="2" t="n">
        <v>39856.40909355372</v>
      </c>
      <c r="BS78" s="2" t="n">
        <v>855.6128099173553</v>
      </c>
      <c r="BT78" s="2" t="n">
        <v>396.6942148760331</v>
      </c>
      <c r="BU78" s="2" t="n">
        <v>8208.983239669422</v>
      </c>
      <c r="BV78" s="2" t="n">
        <v>9461.29026446281</v>
      </c>
      <c r="BW78" s="2" t="n">
        <v>49317.69935801653</v>
      </c>
      <c r="BX78" s="2" t="n">
        <v>4582.79</v>
      </c>
      <c r="BY78" s="2" t="n">
        <v>143.13</v>
      </c>
      <c r="BZ78" s="2" t="n">
        <v>2173.01</v>
      </c>
      <c r="CA78" s="2" t="n">
        <v>4725.92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1254</v>
      </c>
      <c r="B79" t="inlineStr">
        <is>
          <t>Stacyjna 5, 53-600 Wrocław</t>
        </is>
      </c>
      <c r="C79" t="inlineStr">
        <is>
          <t>Wrocław Mikołajów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4703</v>
      </c>
      <c r="L79" s="2" t="n">
        <v>391.4812037037037</v>
      </c>
      <c r="M79" s="2" t="n">
        <v>4354.62962962963</v>
      </c>
      <c r="N79" s="2" t="n">
        <v>1025.29</v>
      </c>
      <c r="O79" s="2" t="n">
        <v>3514.36</v>
      </c>
      <c r="P79" s="2" t="n">
        <v>163.35</v>
      </c>
      <c r="Q79" s="2" t="n">
        <v>12382.19</v>
      </c>
      <c r="R79" s="2" t="n">
        <v>1600</v>
      </c>
      <c r="S79" s="2" t="n">
        <v>11464.99074074074</v>
      </c>
      <c r="T79" s="2" t="n">
        <v>2392.71</v>
      </c>
      <c r="U79" s="2" t="n">
        <v>8922.35</v>
      </c>
      <c r="V79" s="2" t="n">
        <v>1067.13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9722.77</v>
      </c>
      <c r="AP79" s="2" t="n">
        <v>711.2026203703703</v>
      </c>
      <c r="AQ79" s="2" t="n">
        <v>9002.564814814814</v>
      </c>
      <c r="AR79" s="2" t="n">
        <v>2184.79</v>
      </c>
      <c r="AS79" s="2" t="n">
        <v>7162.19</v>
      </c>
      <c r="AT79" s="2" t="n">
        <v>375.79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26807.96</v>
      </c>
      <c r="BB79" s="2" t="n">
        <v>21205.17</v>
      </c>
      <c r="BC79" s="2">
        <f>F79+L79+R79+X79+AD79+AJ79+AP79+AV79+IF(BE79="",0,BE79)</f>
        <v/>
      </c>
      <c r="BD79" s="2" t="n">
        <v>326.559618</v>
      </c>
      <c r="BE79" s="2" t="n"/>
      <c r="BF79" s="2" t="n">
        <v>24822.18518518519</v>
      </c>
      <c r="BG79" s="2" t="n">
        <v>0</v>
      </c>
      <c r="BH79" s="2" t="n">
        <v>350.37</v>
      </c>
      <c r="BI79" s="2" t="n">
        <v>39677.05</v>
      </c>
      <c r="BJ79" s="2" t="n">
        <v>90.55917355371901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286.269795</v>
      </c>
      <c r="BQ79" s="2" t="n">
        <v>0</v>
      </c>
      <c r="BR79" s="2" t="n">
        <v>40429.24896855372</v>
      </c>
      <c r="BS79" s="2" t="n">
        <v>855.6128099173553</v>
      </c>
      <c r="BT79" s="2" t="n">
        <v>396.6942148760331</v>
      </c>
      <c r="BU79" s="2" t="n">
        <v>8279.057239669422</v>
      </c>
      <c r="BV79" s="2" t="n">
        <v>9531.364264462811</v>
      </c>
      <c r="BW79" s="2" t="n">
        <v>49960.61323301653</v>
      </c>
      <c r="BX79" s="2" t="n">
        <v>19598.9</v>
      </c>
      <c r="BY79" s="2" t="n">
        <v>1606.27</v>
      </c>
      <c r="BZ79" s="2" t="n">
        <v>5602.79</v>
      </c>
      <c r="CA79" s="2" t="n">
        <v>21205.17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1255</v>
      </c>
      <c r="B80" t="inlineStr">
        <is>
          <t>Zabrze</t>
        </is>
      </c>
      <c r="C80" t="inlineStr"/>
      <c r="D80" t="inlineStr"/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3747.02</v>
      </c>
      <c r="L80" s="2" t="n">
        <v>311.9047203703703</v>
      </c>
      <c r="M80" s="2" t="n">
        <v>3469.462962962963</v>
      </c>
      <c r="N80" s="2" t="n">
        <v>1126.34</v>
      </c>
      <c r="O80" s="2" t="n">
        <v>2451.58</v>
      </c>
      <c r="P80" s="2" t="n">
        <v>169.1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3747.02</v>
      </c>
      <c r="BB80" s="2" t="n">
        <v>2620.68</v>
      </c>
      <c r="BC80" s="2">
        <f>F80+L80+R80+X80+AD80+AJ80+AP80+AV80+IF(BE80="",0,BE80)</f>
        <v/>
      </c>
      <c r="BD80" s="2" t="n">
        <v>40.358472</v>
      </c>
      <c r="BE80" s="2" t="n"/>
      <c r="BF80" s="2" t="n">
        <v>3469.462962962963</v>
      </c>
      <c r="BG80" s="2" t="n">
        <v>141.2</v>
      </c>
      <c r="BH80" s="2" t="n">
        <v>292.11</v>
      </c>
      <c r="BI80" s="2" t="n">
        <v>39677.05</v>
      </c>
      <c r="BJ80" s="2" t="n">
        <v>90.55917355371901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35.37918</v>
      </c>
      <c r="BQ80" s="2" t="n">
        <v>0</v>
      </c>
      <c r="BR80" s="2" t="n">
        <v>40261.29835355372</v>
      </c>
      <c r="BS80" s="2" t="n">
        <v>855.6128099173553</v>
      </c>
      <c r="BT80" s="2" t="n">
        <v>396.6942148760331</v>
      </c>
      <c r="BU80" s="2" t="n">
        <v>8295.645239669422</v>
      </c>
      <c r="BV80" s="2" t="n">
        <v>9547.95226446281</v>
      </c>
      <c r="BW80" s="2" t="n">
        <v>49809.25061801653</v>
      </c>
      <c r="BX80" s="2" t="n">
        <v>2451.58</v>
      </c>
      <c r="BY80" s="2" t="n">
        <v>169.1</v>
      </c>
      <c r="BZ80" s="2" t="n">
        <v>1126.34</v>
      </c>
      <c r="CA80" s="2" t="n">
        <v>2620.68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1256</v>
      </c>
      <c r="B81" t="inlineStr">
        <is>
          <t>Dworcowa 2, 61-801 Poznań</t>
        </is>
      </c>
      <c r="C81" t="inlineStr">
        <is>
          <t>Poznań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3152.07</v>
      </c>
      <c r="L81" s="2" t="n">
        <v>262.3806416666666</v>
      </c>
      <c r="M81" s="2" t="n">
        <v>2918.583333333333</v>
      </c>
      <c r="N81" s="2" t="n">
        <v>479.62</v>
      </c>
      <c r="O81" s="2" t="n">
        <v>2672.45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4949.679999999999</v>
      </c>
      <c r="AD81" s="2" t="n">
        <v>316.2295555555555</v>
      </c>
      <c r="AE81" s="2" t="n">
        <v>4583.037037037036</v>
      </c>
      <c r="AF81" s="2" t="n">
        <v>873.4299999999999</v>
      </c>
      <c r="AG81" s="2" t="n">
        <v>3987.85</v>
      </c>
      <c r="AH81" s="2" t="n">
        <v>88.40000000000001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1811.56</v>
      </c>
      <c r="AP81" s="2" t="n">
        <v>132.5122592592593</v>
      </c>
      <c r="AQ81" s="2" t="n">
        <v>1677.37037037037</v>
      </c>
      <c r="AR81" s="2" t="n">
        <v>212.73</v>
      </c>
      <c r="AS81" s="2" t="n">
        <v>1598.83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9913.309999999999</v>
      </c>
      <c r="BB81" s="2" t="n">
        <v>8347.529999999999</v>
      </c>
      <c r="BC81" s="2">
        <f>F81+L81+R81+X81+AD81+AJ81+AP81+AV81+IF(BE81="",0,BE81)</f>
        <v/>
      </c>
      <c r="BD81" s="2" t="n">
        <v>128.551962</v>
      </c>
      <c r="BE81" s="2" t="n"/>
      <c r="BF81" s="2" t="n">
        <v>9178.990740740739</v>
      </c>
      <c r="BG81" s="2" t="n">
        <v>458.58</v>
      </c>
      <c r="BH81" s="2" t="n">
        <v>0</v>
      </c>
      <c r="BI81" s="2" t="n">
        <v>39677.05</v>
      </c>
      <c r="BJ81" s="2" t="n">
        <v>90.55917355371901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112.691655</v>
      </c>
      <c r="BQ81" s="2" t="n">
        <v>0</v>
      </c>
      <c r="BR81" s="2" t="n">
        <v>40363.88082855372</v>
      </c>
      <c r="BS81" s="2" t="n">
        <v>855.6128099173553</v>
      </c>
      <c r="BT81" s="2" t="n">
        <v>396.6942148760331</v>
      </c>
      <c r="BU81" s="2" t="n">
        <v>8300.699239669422</v>
      </c>
      <c r="BV81" s="2" t="n">
        <v>9553.006264462811</v>
      </c>
      <c r="BW81" s="2" t="n">
        <v>49916.88709301654</v>
      </c>
      <c r="BX81" s="2" t="n">
        <v>8259.129999999999</v>
      </c>
      <c r="BY81" s="2" t="n">
        <v>88.40000000000001</v>
      </c>
      <c r="BZ81" s="2" t="n">
        <v>1565.78</v>
      </c>
      <c r="CA81" s="2" t="n">
        <v>8347.529999999999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1257</v>
      </c>
      <c r="B82" t="inlineStr">
        <is>
          <t>Dworcowa 2, 61-801 Poznań</t>
        </is>
      </c>
      <c r="C82" t="inlineStr">
        <is>
          <t>Poznań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3857.98</v>
      </c>
      <c r="L82" s="2" t="n">
        <v>321.1411129629629</v>
      </c>
      <c r="M82" s="2" t="n">
        <v>3572.203703703703</v>
      </c>
      <c r="N82" s="2" t="n">
        <v>494.12</v>
      </c>
      <c r="O82" s="2" t="n">
        <v>3220.86</v>
      </c>
      <c r="P82" s="2" t="n">
        <v>143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7605.46</v>
      </c>
      <c r="AD82" s="2" t="n">
        <v>485.9043888888889</v>
      </c>
      <c r="AE82" s="2" t="n">
        <v>7042.092592592592</v>
      </c>
      <c r="AF82" s="2" t="n">
        <v>1320.2</v>
      </c>
      <c r="AG82" s="2" t="n">
        <v>6213.14</v>
      </c>
      <c r="AH82" s="2" t="n">
        <v>72.12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2571.39</v>
      </c>
      <c r="AP82" s="2" t="n">
        <v>188.0924166666667</v>
      </c>
      <c r="AQ82" s="2" t="n">
        <v>2380.916666666667</v>
      </c>
      <c r="AR82" s="2" t="n">
        <v>284.67</v>
      </c>
      <c r="AS82" s="2" t="n">
        <v>2274.02</v>
      </c>
      <c r="AT82" s="2" t="n">
        <v>12.7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14034.83</v>
      </c>
      <c r="BB82" s="2" t="n">
        <v>11935.84</v>
      </c>
      <c r="BC82" s="2">
        <f>F82+L82+R82+X82+AD82+AJ82+AP82+AV82+IF(BE82="",0,BE82)</f>
        <v/>
      </c>
      <c r="BD82" s="2" t="n">
        <v>183.811936</v>
      </c>
      <c r="BE82" s="2" t="n"/>
      <c r="BF82" s="2" t="n">
        <v>12995.21296296296</v>
      </c>
      <c r="BG82" s="2" t="n">
        <v>458.58</v>
      </c>
      <c r="BH82" s="2" t="n">
        <v>0</v>
      </c>
      <c r="BI82" s="2" t="n">
        <v>39677.05</v>
      </c>
      <c r="BJ82" s="2" t="n">
        <v>90.55917355371901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161.13384</v>
      </c>
      <c r="BQ82" s="2" t="n">
        <v>0</v>
      </c>
      <c r="BR82" s="2" t="n">
        <v>40412.32301355372</v>
      </c>
      <c r="BS82" s="2" t="n">
        <v>855.6128099173553</v>
      </c>
      <c r="BT82" s="2" t="n">
        <v>396.6942148760331</v>
      </c>
      <c r="BU82" s="2" t="n">
        <v>8300.699239669422</v>
      </c>
      <c r="BV82" s="2" t="n">
        <v>9553.006264462811</v>
      </c>
      <c r="BW82" s="2" t="n">
        <v>49965.32927801654</v>
      </c>
      <c r="BX82" s="2" t="n">
        <v>11708.02</v>
      </c>
      <c r="BY82" s="2" t="n">
        <v>227.82</v>
      </c>
      <c r="BZ82" s="2" t="n">
        <v>2098.99</v>
      </c>
      <c r="CA82" s="2" t="n">
        <v>11935.84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1259</v>
      </c>
      <c r="B83" t="inlineStr">
        <is>
          <t>Kolejowa 4, 64-020 Czempin</t>
        </is>
      </c>
      <c r="C83" t="inlineStr">
        <is>
          <t>Czempiń</t>
        </is>
      </c>
      <c r="D83" t="inlineStr">
        <is>
          <t>ST|40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186</v>
      </c>
      <c r="L83" s="2" t="n">
        <v>15.48277777777778</v>
      </c>
      <c r="M83" s="2" t="n">
        <v>172.2222222222222</v>
      </c>
      <c r="N83" s="2" t="n">
        <v>0</v>
      </c>
      <c r="O83" s="2" t="n">
        <v>186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3709.36</v>
      </c>
      <c r="AD83" s="2" t="n">
        <v>236.9868888888889</v>
      </c>
      <c r="AE83" s="2" t="n">
        <v>3434.592592592593</v>
      </c>
      <c r="AF83" s="2" t="n">
        <v>1207.44</v>
      </c>
      <c r="AG83" s="2" t="n">
        <v>2501.92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2368.53</v>
      </c>
      <c r="AP83" s="2" t="n">
        <v>173.2535833333333</v>
      </c>
      <c r="AQ83" s="2" t="n">
        <v>2193.083333333333</v>
      </c>
      <c r="AR83" s="2" t="n">
        <v>330.18</v>
      </c>
      <c r="AS83" s="2" t="n">
        <v>2022.15</v>
      </c>
      <c r="AT83" s="2" t="n">
        <v>16.2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6263.889999999999</v>
      </c>
      <c r="BB83" s="2" t="n">
        <v>4726.27</v>
      </c>
      <c r="BC83" s="2">
        <f>F83+L83+R83+X83+AD83+AJ83+AP83+AV83+IF(BE83="",0,BE83)</f>
        <v/>
      </c>
      <c r="BD83" s="2" t="n">
        <v>72.784558</v>
      </c>
      <c r="BE83" s="2" t="n"/>
      <c r="BF83" s="2" t="n">
        <v>5799.898148148148</v>
      </c>
      <c r="BG83" s="2" t="n">
        <v>0</v>
      </c>
      <c r="BH83" s="2" t="n">
        <v>0</v>
      </c>
      <c r="BI83" s="2" t="n">
        <v>39677.05</v>
      </c>
      <c r="BJ83" s="2" t="n">
        <v>90.55917355371901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63.80464500000001</v>
      </c>
      <c r="BQ83" s="2" t="n">
        <v>0</v>
      </c>
      <c r="BR83" s="2" t="n">
        <v>39856.41381855372</v>
      </c>
      <c r="BS83" s="2" t="n">
        <v>855.6128099173553</v>
      </c>
      <c r="BT83" s="2" t="n">
        <v>396.6942148760331</v>
      </c>
      <c r="BU83" s="2" t="n">
        <v>8208.983239669422</v>
      </c>
      <c r="BV83" s="2" t="n">
        <v>9461.29026446281</v>
      </c>
      <c r="BW83" s="2" t="n">
        <v>49317.70408301653</v>
      </c>
      <c r="BX83" s="2" t="n">
        <v>4710.07</v>
      </c>
      <c r="BY83" s="2" t="n">
        <v>16.2</v>
      </c>
      <c r="BZ83" s="2" t="n">
        <v>1537.62</v>
      </c>
      <c r="CA83" s="2" t="n">
        <v>4726.27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1261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20735.92</v>
      </c>
      <c r="L84" s="2" t="n">
        <v>1726.073340740741</v>
      </c>
      <c r="M84" s="2" t="n">
        <v>19199.92592592592</v>
      </c>
      <c r="N84" s="2" t="n">
        <v>3962.97</v>
      </c>
      <c r="O84" s="2" t="n">
        <v>16533.01</v>
      </c>
      <c r="P84" s="2" t="n">
        <v>239.94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21338.11</v>
      </c>
      <c r="X84" s="2" t="n">
        <v>750</v>
      </c>
      <c r="Y84" s="2" t="n">
        <v>19757.50925925926</v>
      </c>
      <c r="Z84" s="2" t="n">
        <v>2851.54</v>
      </c>
      <c r="AA84" s="2" t="n">
        <v>18003.28</v>
      </c>
      <c r="AB84" s="2" t="n">
        <v>483.29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7680.98</v>
      </c>
      <c r="AP84" s="2" t="n">
        <v>561.849462962963</v>
      </c>
      <c r="AQ84" s="2" t="n">
        <v>7112.018518518518</v>
      </c>
      <c r="AR84" s="2" t="n">
        <v>1335.75</v>
      </c>
      <c r="AS84" s="2" t="n">
        <v>6119.22</v>
      </c>
      <c r="AT84" s="2" t="n">
        <v>226.01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49755.01</v>
      </c>
      <c r="BB84" s="2" t="n">
        <v>41604.75</v>
      </c>
      <c r="BC84" s="2">
        <f>F84+L84+R84+X84+AD84+AJ84+AP84+AV84+IF(BE84="",0,BE84)</f>
        <v/>
      </c>
      <c r="BD84" s="2" t="n">
        <v>605.588667</v>
      </c>
      <c r="BE84" s="2" t="n"/>
      <c r="BF84" s="2" t="n">
        <v>46069.4537037037</v>
      </c>
      <c r="BG84" s="2" t="n">
        <v>1380</v>
      </c>
      <c r="BH84" s="2" t="n">
        <v>0</v>
      </c>
      <c r="BI84" s="2" t="n">
        <v>39677.05</v>
      </c>
      <c r="BJ84" s="2" t="n">
        <v>90.55917355371901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561.664125</v>
      </c>
      <c r="BQ84" s="2" t="n">
        <v>0</v>
      </c>
      <c r="BR84" s="2" t="n">
        <v>41734.27329855372</v>
      </c>
      <c r="BS84" s="2" t="n">
        <v>855.6128099173553</v>
      </c>
      <c r="BT84" s="2" t="n">
        <v>396.6942148760331</v>
      </c>
      <c r="BU84" s="2" t="n">
        <v>8484.983239669422</v>
      </c>
      <c r="BV84" s="2" t="n">
        <v>9737.29026446281</v>
      </c>
      <c r="BW84" s="2" t="n">
        <v>51471.56356301653</v>
      </c>
      <c r="BX84" s="2" t="n">
        <v>40655.50999999999</v>
      </c>
      <c r="BY84" s="2" t="n">
        <v>949.24</v>
      </c>
      <c r="BZ84" s="2" t="n">
        <v>8150.26</v>
      </c>
      <c r="CA84" s="2" t="n">
        <v>41604.74999999999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1262</v>
      </c>
      <c r="B85" t="inlineStr">
        <is>
          <t>Pawia 5a, 31-154 Kraków</t>
        </is>
      </c>
      <c r="C85" t="inlineStr">
        <is>
          <t>Kraków Główny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18643.97</v>
      </c>
      <c r="L85" s="2" t="n">
        <v>1551.937873148148</v>
      </c>
      <c r="M85" s="2" t="n">
        <v>17262.93518518518</v>
      </c>
      <c r="N85" s="2" t="n">
        <v>4429.32</v>
      </c>
      <c r="O85" s="2" t="n">
        <v>13469.96</v>
      </c>
      <c r="P85" s="2" t="n">
        <v>744.6900000000001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18278.87</v>
      </c>
      <c r="X85" s="2" t="n">
        <v>750</v>
      </c>
      <c r="Y85" s="2" t="n">
        <v>16924.87962962963</v>
      </c>
      <c r="Z85" s="2" t="n">
        <v>2269.29</v>
      </c>
      <c r="AA85" s="2" t="n">
        <v>15555.31</v>
      </c>
      <c r="AB85" s="2" t="n">
        <v>454.27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8166.52</v>
      </c>
      <c r="AP85" s="2" t="n">
        <v>597.3658148148148</v>
      </c>
      <c r="AQ85" s="2" t="n">
        <v>7561.592592592592</v>
      </c>
      <c r="AR85" s="2" t="n">
        <v>1583.37</v>
      </c>
      <c r="AS85" s="2" t="n">
        <v>6303.42</v>
      </c>
      <c r="AT85" s="2" t="n">
        <v>279.73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45089.36</v>
      </c>
      <c r="BB85" s="2" t="n">
        <v>36807.38</v>
      </c>
      <c r="BC85" s="2">
        <f>F85+L85+R85+X85+AD85+AJ85+AP85+AV85+IF(BE85="",0,BE85)</f>
        <v/>
      </c>
      <c r="BD85" s="2" t="n">
        <v>536.41545</v>
      </c>
      <c r="BE85" s="2" t="n"/>
      <c r="BF85" s="2" t="n">
        <v>41749.4074074074</v>
      </c>
      <c r="BG85" s="2" t="n">
        <v>1380</v>
      </c>
      <c r="BH85" s="2" t="n">
        <v>0</v>
      </c>
      <c r="BI85" s="2" t="n">
        <v>39677.05</v>
      </c>
      <c r="BJ85" s="2" t="n">
        <v>90.55917355371901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496.89963</v>
      </c>
      <c r="BQ85" s="2" t="n">
        <v>0</v>
      </c>
      <c r="BR85" s="2" t="n">
        <v>41669.50880355372</v>
      </c>
      <c r="BS85" s="2" t="n">
        <v>855.6128099173553</v>
      </c>
      <c r="BT85" s="2" t="n">
        <v>396.6942148760331</v>
      </c>
      <c r="BU85" s="2" t="n">
        <v>8484.983239669422</v>
      </c>
      <c r="BV85" s="2" t="n">
        <v>9737.29026446281</v>
      </c>
      <c r="BW85" s="2" t="n">
        <v>51406.79906801653</v>
      </c>
      <c r="BX85" s="2" t="n">
        <v>35328.69</v>
      </c>
      <c r="BY85" s="2" t="n">
        <v>1478.69</v>
      </c>
      <c r="BZ85" s="2" t="n">
        <v>8281.98</v>
      </c>
      <c r="CA85" s="2" t="n">
        <v>36807.38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1263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47373.61</v>
      </c>
      <c r="L86" s="2" t="n">
        <v>3943.414387962963</v>
      </c>
      <c r="M86" s="2" t="n">
        <v>43864.4537037037</v>
      </c>
      <c r="N86" s="2" t="n">
        <v>6421.31</v>
      </c>
      <c r="O86" s="2" t="n">
        <v>39573.41</v>
      </c>
      <c r="P86" s="2" t="n">
        <v>1378.89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66336.45</v>
      </c>
      <c r="X86" s="2" t="n">
        <v>750</v>
      </c>
      <c r="Y86" s="2" t="n">
        <v>61422.63888888888</v>
      </c>
      <c r="Z86" s="2" t="n">
        <v>5794.92</v>
      </c>
      <c r="AA86" s="2" t="n">
        <v>59815.02</v>
      </c>
      <c r="AB86" s="2" t="n">
        <v>726.51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21565.42</v>
      </c>
      <c r="AP86" s="2" t="n">
        <v>1577.470537037037</v>
      </c>
      <c r="AQ86" s="2" t="n">
        <v>19967.98148148148</v>
      </c>
      <c r="AR86" s="2" t="n">
        <v>2514.02</v>
      </c>
      <c r="AS86" s="2" t="n">
        <v>18121.14</v>
      </c>
      <c r="AT86" s="2" t="n">
        <v>930.26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135275.48</v>
      </c>
      <c r="BB86" s="2" t="n">
        <v>120545.23</v>
      </c>
      <c r="BC86" s="2">
        <f>F86+L86+R86+X86+AD86+AJ86+AP86+AV86+IF(BE86="",0,BE86)</f>
        <v/>
      </c>
      <c r="BD86" s="2" t="n">
        <v>1741.367635</v>
      </c>
      <c r="BE86" s="2" t="n"/>
      <c r="BF86" s="2" t="n">
        <v>125255.0740740741</v>
      </c>
      <c r="BG86" s="2" t="n">
        <v>1380</v>
      </c>
      <c r="BH86" s="2" t="n">
        <v>0</v>
      </c>
      <c r="BI86" s="2" t="n">
        <v>2645.136666666667</v>
      </c>
      <c r="BJ86" s="2" t="n">
        <v>90.55917355371901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1627.360605</v>
      </c>
      <c r="BQ86" s="2" t="n">
        <v>0</v>
      </c>
      <c r="BR86" s="2" t="n">
        <v>5768.056445220385</v>
      </c>
      <c r="BS86" s="2" t="n">
        <v>855.6128099173553</v>
      </c>
      <c r="BT86" s="2" t="n">
        <v>396.6942148760331</v>
      </c>
      <c r="BU86" s="2" t="n">
        <v>1078.600573002755</v>
      </c>
      <c r="BV86" s="2" t="n">
        <v>2330.907597796143</v>
      </c>
      <c r="BW86" s="2" t="n">
        <v>8098.964043016528</v>
      </c>
      <c r="BX86" s="2" t="n">
        <v>117509.57</v>
      </c>
      <c r="BY86" s="2" t="n">
        <v>3035.66</v>
      </c>
      <c r="BZ86" s="2" t="n">
        <v>14730.25</v>
      </c>
      <c r="CA86" s="2" t="n">
        <v>120545.23</v>
      </c>
      <c r="CB86" s="2">
        <f>(BC86+IF(BD86="",0,BD86))-BW86</f>
        <v/>
      </c>
    </row>
    <row r="87">
      <c r="A87" t="n">
        <v>1264</v>
      </c>
      <c r="B87" t="inlineStr">
        <is>
          <t>Dworcowa 1, 66-400 Gorzów Wlkp</t>
        </is>
      </c>
      <c r="C87" t="inlineStr">
        <is>
          <t>Gorzów Wielkopolski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2518.07</v>
      </c>
      <c r="L87" s="2" t="n">
        <v>209.606012037037</v>
      </c>
      <c r="M87" s="2" t="n">
        <v>2331.546296296296</v>
      </c>
      <c r="N87" s="2" t="n">
        <v>715.27</v>
      </c>
      <c r="O87" s="2" t="n">
        <v>1792.09</v>
      </c>
      <c r="P87" s="2" t="n">
        <v>10.71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14519.15</v>
      </c>
      <c r="AP87" s="2" t="n">
        <v>1062.048935185185</v>
      </c>
      <c r="AQ87" s="2" t="n">
        <v>13443.65740740741</v>
      </c>
      <c r="AR87" s="2" t="n">
        <v>4513.14</v>
      </c>
      <c r="AS87" s="2" t="n">
        <v>8783.93</v>
      </c>
      <c r="AT87" s="2" t="n">
        <v>1222.08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17037.22</v>
      </c>
      <c r="BB87" s="2" t="n">
        <v>11808.81</v>
      </c>
      <c r="BC87" s="2">
        <f>F87+L87+R87+X87+AD87+AJ87+AP87+AV87+IF(BE87="",0,BE87)</f>
        <v/>
      </c>
      <c r="BD87" s="2" t="n">
        <v>181.855674</v>
      </c>
      <c r="BE87" s="2" t="n"/>
      <c r="BF87" s="2" t="n">
        <v>15775.2037037037</v>
      </c>
      <c r="BG87" s="2" t="n">
        <v>366.96</v>
      </c>
      <c r="BH87" s="2" t="n">
        <v>255</v>
      </c>
      <c r="BI87" s="2" t="n">
        <v>39677.05</v>
      </c>
      <c r="BJ87" s="2" t="n">
        <v>90.55917355371901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159.418935</v>
      </c>
      <c r="BQ87" s="2" t="n">
        <v>0</v>
      </c>
      <c r="BR87" s="2" t="n">
        <v>40573.98810855372</v>
      </c>
      <c r="BS87" s="2" t="n">
        <v>855.6128099173553</v>
      </c>
      <c r="BT87" s="2" t="n">
        <v>396.6942148760331</v>
      </c>
      <c r="BU87" s="2" t="n">
        <v>8333.375239669422</v>
      </c>
      <c r="BV87" s="2" t="n">
        <v>9585.68226446281</v>
      </c>
      <c r="BW87" s="2" t="n">
        <v>50159.67037301653</v>
      </c>
      <c r="BX87" s="2" t="n">
        <v>10576.02</v>
      </c>
      <c r="BY87" s="2" t="n">
        <v>1232.79</v>
      </c>
      <c r="BZ87" s="2" t="n">
        <v>5228.41</v>
      </c>
      <c r="CA87" s="2" t="n">
        <v>11808.81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1265</v>
      </c>
      <c r="B88" t="inlineStr">
        <is>
          <t>pl. Kolejarza 1, 65-024 Zielona Góra</t>
        </is>
      </c>
      <c r="C88" t="inlineStr">
        <is>
          <t>Zielona Góra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6019.860000000001</v>
      </c>
      <c r="L88" s="2" t="n">
        <v>501.0976055555556</v>
      </c>
      <c r="M88" s="2" t="n">
        <v>5573.944444444444</v>
      </c>
      <c r="N88" s="2" t="n">
        <v>2620.56</v>
      </c>
      <c r="O88" s="2" t="n">
        <v>2371.54</v>
      </c>
      <c r="P88" s="2" t="n">
        <v>1027.76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10546.28</v>
      </c>
      <c r="AP88" s="2" t="n">
        <v>771.4408518518519</v>
      </c>
      <c r="AQ88" s="2" t="n">
        <v>9765.074074074075</v>
      </c>
      <c r="AR88" s="2" t="n">
        <v>5152.73</v>
      </c>
      <c r="AS88" s="2" t="n">
        <v>3986.45</v>
      </c>
      <c r="AT88" s="2" t="n">
        <v>1407.1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16566.14</v>
      </c>
      <c r="BB88" s="2" t="n">
        <v>8792.849999999999</v>
      </c>
      <c r="BC88" s="2">
        <f>F88+L88+R88+X88+AD88+AJ88+AP88+AV88+IF(BE88="",0,BE88)</f>
        <v/>
      </c>
      <c r="BD88" s="2" t="n">
        <v>135.40989</v>
      </c>
      <c r="BE88" s="2" t="n"/>
      <c r="BF88" s="2" t="n">
        <v>15339.01851851852</v>
      </c>
      <c r="BG88" s="2" t="n">
        <v>366.96</v>
      </c>
      <c r="BH88" s="2" t="n">
        <v>155</v>
      </c>
      <c r="BI88" s="2" t="n">
        <v>39677.05</v>
      </c>
      <c r="BJ88" s="2" t="n">
        <v>90.55917355371901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118.703475</v>
      </c>
      <c r="BQ88" s="2" t="n">
        <v>0</v>
      </c>
      <c r="BR88" s="2" t="n">
        <v>40433.27264855372</v>
      </c>
      <c r="BS88" s="2" t="n">
        <v>855.6128099173553</v>
      </c>
      <c r="BT88" s="2" t="n">
        <v>396.6942148760331</v>
      </c>
      <c r="BU88" s="2" t="n">
        <v>8313.375239669422</v>
      </c>
      <c r="BV88" s="2" t="n">
        <v>9565.68226446281</v>
      </c>
      <c r="BW88" s="2" t="n">
        <v>49998.95491301653</v>
      </c>
      <c r="BX88" s="2" t="n">
        <v>6357.99</v>
      </c>
      <c r="BY88" s="2" t="n">
        <v>2434.86</v>
      </c>
      <c r="BZ88" s="2" t="n">
        <v>7773.289999999999</v>
      </c>
      <c r="CA88" s="2" t="n">
        <v>8792.849999999999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1266</v>
      </c>
      <c r="B89" t="inlineStr">
        <is>
          <t>Dworcowa 1, 64-100 Leszno</t>
        </is>
      </c>
      <c r="C89" t="inlineStr">
        <is>
          <t>Leszno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14556.08</v>
      </c>
      <c r="L89" s="2" t="n">
        <v>1211.658881481482</v>
      </c>
      <c r="M89" s="2" t="n">
        <v>13477.85185185185</v>
      </c>
      <c r="N89" s="2" t="n">
        <v>2511.63</v>
      </c>
      <c r="O89" s="2" t="n">
        <v>12044.45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10147.56</v>
      </c>
      <c r="AD89" s="2" t="n">
        <v>648.3163333333333</v>
      </c>
      <c r="AE89" s="2" t="n">
        <v>9395.888888888889</v>
      </c>
      <c r="AF89" s="2" t="n">
        <v>3222.46</v>
      </c>
      <c r="AG89" s="2" t="n">
        <v>6925.1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8589.91</v>
      </c>
      <c r="AP89" s="2" t="n">
        <v>628.3360092592592</v>
      </c>
      <c r="AQ89" s="2" t="n">
        <v>7953.62037037037</v>
      </c>
      <c r="AR89" s="2" t="n">
        <v>2280.13</v>
      </c>
      <c r="AS89" s="2" t="n">
        <v>6309.78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33293.55</v>
      </c>
      <c r="BB89" s="2" t="n">
        <v>25279.33</v>
      </c>
      <c r="BC89" s="2">
        <f>F89+L89+R89+X89+AD89+AJ89+AP89+AV89+IF(BE89="",0,BE89)</f>
        <v/>
      </c>
      <c r="BD89" s="2" t="n">
        <v>389.301682</v>
      </c>
      <c r="BE89" s="2" t="n"/>
      <c r="BF89" s="2" t="n">
        <v>30827.36111111111</v>
      </c>
      <c r="BG89" s="2" t="n">
        <v>0</v>
      </c>
      <c r="BH89" s="2" t="n">
        <v>121.8</v>
      </c>
      <c r="BI89" s="2" t="n">
        <v>39677.05</v>
      </c>
      <c r="BJ89" s="2" t="n">
        <v>90.55917355371901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341.270955</v>
      </c>
      <c r="BQ89" s="2" t="n">
        <v>0</v>
      </c>
      <c r="BR89" s="2" t="n">
        <v>40255.68012855372</v>
      </c>
      <c r="BS89" s="2" t="n">
        <v>855.6128099173553</v>
      </c>
      <c r="BT89" s="2" t="n">
        <v>396.6942148760331</v>
      </c>
      <c r="BU89" s="2" t="n">
        <v>8233.343239669422</v>
      </c>
      <c r="BV89" s="2" t="n">
        <v>9485.650264462811</v>
      </c>
      <c r="BW89" s="2" t="n">
        <v>49741.33039301653</v>
      </c>
      <c r="BX89" s="2" t="n">
        <v>25279.33</v>
      </c>
      <c r="BY89" s="2" t="n">
        <v>0</v>
      </c>
      <c r="BZ89" s="2" t="n">
        <v>8014.22</v>
      </c>
      <c r="CA89" s="2" t="n">
        <v>25279.33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1267</v>
      </c>
      <c r="B90" t="inlineStr">
        <is>
          <t>Pawia 5a, 31-154 Kraków</t>
        </is>
      </c>
      <c r="C90" t="inlineStr">
        <is>
          <t>Kraków Główny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19028.66</v>
      </c>
      <c r="L90" s="2" t="n">
        <v>1583.959753703704</v>
      </c>
      <c r="M90" s="2" t="n">
        <v>17619.12962962963</v>
      </c>
      <c r="N90" s="2" t="n">
        <v>3863.37</v>
      </c>
      <c r="O90" s="2" t="n">
        <v>14284.27</v>
      </c>
      <c r="P90" s="2" t="n">
        <v>881.02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32617.23</v>
      </c>
      <c r="X90" s="2" t="n">
        <v>750</v>
      </c>
      <c r="Y90" s="2" t="n">
        <v>30201.13888888889</v>
      </c>
      <c r="Z90" s="2" t="n">
        <v>2963.74</v>
      </c>
      <c r="AA90" s="2" t="n">
        <v>28867.36</v>
      </c>
      <c r="AB90" s="2" t="n">
        <v>786.13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6369.58</v>
      </c>
      <c r="AP90" s="2" t="n">
        <v>465.9229814814815</v>
      </c>
      <c r="AQ90" s="2" t="n">
        <v>5897.759259259259</v>
      </c>
      <c r="AR90" s="2" t="n">
        <v>1257.94</v>
      </c>
      <c r="AS90" s="2" t="n">
        <v>4761.04</v>
      </c>
      <c r="AT90" s="2" t="n">
        <v>350.6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58015.47</v>
      </c>
      <c r="BB90" s="2" t="n">
        <v>49930.42</v>
      </c>
      <c r="BC90" s="2">
        <f>F90+L90+R90+X90+AD90+AJ90+AP90+AV90+IF(BE90="",0,BE90)</f>
        <v/>
      </c>
      <c r="BD90" s="2" t="n">
        <v>712.5868369999999</v>
      </c>
      <c r="BE90" s="2" t="n"/>
      <c r="BF90" s="2" t="n">
        <v>53718.02777777777</v>
      </c>
      <c r="BG90" s="2" t="n">
        <v>0</v>
      </c>
      <c r="BH90" s="2" t="n">
        <v>0</v>
      </c>
      <c r="BI90" s="2" t="n">
        <v>39677.05</v>
      </c>
      <c r="BJ90" s="2" t="n">
        <v>90.55917355371901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674.0606700000001</v>
      </c>
      <c r="BQ90" s="2" t="n">
        <v>0</v>
      </c>
      <c r="BR90" s="2" t="n">
        <v>40466.66984355372</v>
      </c>
      <c r="BS90" s="2" t="n">
        <v>855.6128099173553</v>
      </c>
      <c r="BT90" s="2" t="n">
        <v>396.6942148760331</v>
      </c>
      <c r="BU90" s="2" t="n">
        <v>8208.983239669422</v>
      </c>
      <c r="BV90" s="2" t="n">
        <v>9461.29026446281</v>
      </c>
      <c r="BW90" s="2" t="n">
        <v>49927.96010801653</v>
      </c>
      <c r="BX90" s="2" t="n">
        <v>47912.67000000001</v>
      </c>
      <c r="BY90" s="2" t="n">
        <v>2017.75</v>
      </c>
      <c r="BZ90" s="2" t="n">
        <v>8085.049999999999</v>
      </c>
      <c r="CA90" s="2" t="n">
        <v>49930.42000000001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1268</v>
      </c>
      <c r="B91" t="inlineStr">
        <is>
          <t>Kolejowa 5, 83-200 Starogard Gdański</t>
        </is>
      </c>
      <c r="C91" t="inlineStr">
        <is>
          <t>Starogard Gdański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25452.54</v>
      </c>
      <c r="AP91" s="2" t="n">
        <v>4177</v>
      </c>
      <c r="AQ91" s="2" t="n">
        <v>23567.16666666666</v>
      </c>
      <c r="AR91" s="2" t="n">
        <v>9600.870000000001</v>
      </c>
      <c r="AS91" s="2" t="n">
        <v>14889.64</v>
      </c>
      <c r="AT91" s="2" t="n">
        <v>962.03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25452.54</v>
      </c>
      <c r="BB91" s="2" t="n">
        <v>15851.67</v>
      </c>
      <c r="BC91" s="2">
        <f>F91+L91+R91+X91+AD91+AJ91+AP91+AV91+IF(BE91="",0,BE91)</f>
        <v/>
      </c>
      <c r="BD91" s="2" t="n">
        <v>244.115718</v>
      </c>
      <c r="BE91" s="2" t="n"/>
      <c r="BF91" s="2" t="n">
        <v>23567.16666666666</v>
      </c>
      <c r="BG91" s="2" t="n">
        <v>0</v>
      </c>
      <c r="BH91" s="2" t="n">
        <v>0</v>
      </c>
      <c r="BI91" s="2" t="n">
        <v>39677.05</v>
      </c>
      <c r="BJ91" s="2" t="n">
        <v>90.55917355371901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213.997545</v>
      </c>
      <c r="BQ91" s="2" t="n">
        <v>0</v>
      </c>
      <c r="BR91" s="2" t="n">
        <v>40006.60671855372</v>
      </c>
      <c r="BS91" s="2" t="n">
        <v>855.6128099173553</v>
      </c>
      <c r="BT91" s="2" t="n">
        <v>396.6942148760331</v>
      </c>
      <c r="BU91" s="2" t="n">
        <v>8208.983239669422</v>
      </c>
      <c r="BV91" s="2" t="n">
        <v>9461.29026446281</v>
      </c>
      <c r="BW91" s="2" t="n">
        <v>49467.89698301653</v>
      </c>
      <c r="BX91" s="2" t="n">
        <v>14889.64</v>
      </c>
      <c r="BY91" s="2" t="n">
        <v>962.03</v>
      </c>
      <c r="BZ91" s="2" t="n">
        <v>9600.870000000001</v>
      </c>
      <c r="CA91" s="2" t="n">
        <v>15851.67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1269</v>
      </c>
      <c r="B92" t="inlineStr">
        <is>
          <t>Podwale Grodzkie 1, 80-895 Gdańsk</t>
        </is>
      </c>
      <c r="C92" t="inlineStr">
        <is>
          <t>Gdańsk Główny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18811.26</v>
      </c>
      <c r="L92" s="2" t="n">
        <v>1565.863216666667</v>
      </c>
      <c r="M92" s="2" t="n">
        <v>17417.83333333333</v>
      </c>
      <c r="N92" s="2" t="n">
        <v>4706.83</v>
      </c>
      <c r="O92" s="2" t="n">
        <v>13540.98</v>
      </c>
      <c r="P92" s="2" t="n">
        <v>563.45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10359.56</v>
      </c>
      <c r="AP92" s="2" t="n">
        <v>757.7826296296296</v>
      </c>
      <c r="AQ92" s="2" t="n">
        <v>9592.185185185184</v>
      </c>
      <c r="AR92" s="2" t="n">
        <v>2607.16</v>
      </c>
      <c r="AS92" s="2" t="n">
        <v>7465.55</v>
      </c>
      <c r="AT92" s="2" t="n">
        <v>286.85</v>
      </c>
      <c r="AU92" s="2" t="n">
        <v>5252.150000000001</v>
      </c>
      <c r="AV92" s="2" t="n">
        <v>209.1133796296296</v>
      </c>
      <c r="AW92" s="2" t="n">
        <v>4863.101851851852</v>
      </c>
      <c r="AX92" s="2" t="n">
        <v>1028.4</v>
      </c>
      <c r="AY92" s="2" t="n">
        <v>3947.05</v>
      </c>
      <c r="AZ92" s="2" t="n">
        <v>276.7</v>
      </c>
      <c r="BA92" s="2" t="n">
        <v>34422.97</v>
      </c>
      <c r="BB92" s="2" t="n">
        <v>26080.58</v>
      </c>
      <c r="BC92" s="2">
        <f>F92+L92+R92+X92+AD92+AJ92+AP92+AV92+IF(BE92="",0,BE92)</f>
        <v/>
      </c>
      <c r="BD92" s="2" t="n">
        <v>401.640932</v>
      </c>
      <c r="BE92" s="2" t="n"/>
      <c r="BF92" s="2" t="n">
        <v>31873.12037037037</v>
      </c>
      <c r="BG92" s="2" t="n">
        <v>0</v>
      </c>
      <c r="BH92" s="2" t="n">
        <v>0</v>
      </c>
      <c r="BI92" s="2" t="n">
        <v>39677.05</v>
      </c>
      <c r="BJ92" s="2" t="n">
        <v>90.55917355371901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352.08783</v>
      </c>
      <c r="BQ92" s="2" t="n">
        <v>0</v>
      </c>
      <c r="BR92" s="2" t="n">
        <v>40144.69700355372</v>
      </c>
      <c r="BS92" s="2" t="n">
        <v>855.6128099173553</v>
      </c>
      <c r="BT92" s="2" t="n">
        <v>396.6942148760331</v>
      </c>
      <c r="BU92" s="2" t="n">
        <v>8208.983239669422</v>
      </c>
      <c r="BV92" s="2" t="n">
        <v>9461.29026446281</v>
      </c>
      <c r="BW92" s="2" t="n">
        <v>49605.98726801653</v>
      </c>
      <c r="BX92" s="2" t="n">
        <v>24953.58</v>
      </c>
      <c r="BY92" s="2" t="n">
        <v>1127</v>
      </c>
      <c r="BZ92" s="2" t="n">
        <v>8342.389999999999</v>
      </c>
      <c r="CA92" s="2" t="n">
        <v>26080.58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1270</v>
      </c>
      <c r="B93" t="inlineStr">
        <is>
          <t>Marii Konopnickiej 10, 10-168 Olsztyn</t>
        </is>
      </c>
      <c r="C93" t="inlineStr">
        <is>
          <t>Olsztyn Zachodni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15413.36</v>
      </c>
      <c r="L93" s="2" t="n">
        <v>1283.019503703704</v>
      </c>
      <c r="M93" s="2" t="n">
        <v>14271.62962962963</v>
      </c>
      <c r="N93" s="2" t="n">
        <v>3780.53</v>
      </c>
      <c r="O93" s="2" t="n">
        <v>11125.54</v>
      </c>
      <c r="P93" s="2" t="n">
        <v>507.29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9997.139999999999</v>
      </c>
      <c r="AP93" s="2" t="n">
        <v>731.2722777777776</v>
      </c>
      <c r="AQ93" s="2" t="n">
        <v>9256.611111111109</v>
      </c>
      <c r="AR93" s="2" t="n">
        <v>2064.29</v>
      </c>
      <c r="AS93" s="2" t="n">
        <v>7362.1</v>
      </c>
      <c r="AT93" s="2" t="n">
        <v>570.75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25410.5</v>
      </c>
      <c r="BB93" s="2" t="n">
        <v>19565.68</v>
      </c>
      <c r="BC93" s="2">
        <f>F93+L93+R93+X93+AD93+AJ93+AP93+AV93+IF(BE93="",0,BE93)</f>
        <v/>
      </c>
      <c r="BD93" s="2" t="n">
        <v>301.311472</v>
      </c>
      <c r="BE93" s="2" t="n"/>
      <c r="BF93" s="2" t="n">
        <v>23528.24074074074</v>
      </c>
      <c r="BG93" s="2" t="n">
        <v>343</v>
      </c>
      <c r="BH93" s="2" t="n">
        <v>0</v>
      </c>
      <c r="BI93" s="2" t="n">
        <v>39677.05</v>
      </c>
      <c r="BJ93" s="2" t="n">
        <v>90.55917355371901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264.13668</v>
      </c>
      <c r="BQ93" s="2" t="n">
        <v>0</v>
      </c>
      <c r="BR93" s="2" t="n">
        <v>40399.74585355372</v>
      </c>
      <c r="BS93" s="2" t="n">
        <v>855.6128099173553</v>
      </c>
      <c r="BT93" s="2" t="n">
        <v>396.6942148760331</v>
      </c>
      <c r="BU93" s="2" t="n">
        <v>8277.583239669422</v>
      </c>
      <c r="BV93" s="2" t="n">
        <v>9529.890264462811</v>
      </c>
      <c r="BW93" s="2" t="n">
        <v>49929.63611801653</v>
      </c>
      <c r="BX93" s="2" t="n">
        <v>18487.64</v>
      </c>
      <c r="BY93" s="2" t="n">
        <v>1078.04</v>
      </c>
      <c r="BZ93" s="2" t="n">
        <v>5844.82</v>
      </c>
      <c r="CA93" s="2" t="n">
        <v>19565.68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1271</v>
      </c>
      <c r="B94" t="inlineStr">
        <is>
          <t>Zygmunta Augusta 7, 85-082 Bydgoszcz</t>
        </is>
      </c>
      <c r="C94" t="inlineStr">
        <is>
          <t>Bydgoszcz</t>
        </is>
      </c>
      <c r="D94" t="inlineStr">
        <is>
          <t>FAA2000</t>
        </is>
      </c>
      <c r="E94" s="2" t="n">
        <v>7935.139999999999</v>
      </c>
      <c r="F94" s="2" t="n">
        <v>1000</v>
      </c>
      <c r="G94" s="2" t="n">
        <v>7347.351851851851</v>
      </c>
      <c r="H94" s="2" t="n">
        <v>1847.49</v>
      </c>
      <c r="I94" s="2" t="n">
        <v>5246.29</v>
      </c>
      <c r="J94" s="2" t="n">
        <v>841.36</v>
      </c>
      <c r="K94" s="2" t="n">
        <v>16033.34</v>
      </c>
      <c r="L94" s="2" t="n">
        <v>1334.627098148148</v>
      </c>
      <c r="M94" s="2" t="n">
        <v>14845.68518518518</v>
      </c>
      <c r="N94" s="2" t="n">
        <v>3878.64</v>
      </c>
      <c r="O94" s="2" t="n">
        <v>11303.53</v>
      </c>
      <c r="P94" s="2" t="n">
        <v>851.17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18076.68</v>
      </c>
      <c r="AP94" s="2" t="n">
        <v>1322.275666666666</v>
      </c>
      <c r="AQ94" s="2" t="n">
        <v>16737.66666666666</v>
      </c>
      <c r="AR94" s="2" t="n">
        <v>4573.16</v>
      </c>
      <c r="AS94" s="2" t="n">
        <v>12608.15</v>
      </c>
      <c r="AT94" s="2" t="n">
        <v>895.37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42045.16</v>
      </c>
      <c r="BB94" s="2" t="n">
        <v>31745.87</v>
      </c>
      <c r="BC94" s="2">
        <f>F94+L94+R94+X94+AD94+AJ94+AP94+AV94+IF(BE94="",0,BE94)</f>
        <v/>
      </c>
      <c r="BD94" s="2" t="n">
        <v>488.886398</v>
      </c>
      <c r="BE94" s="2" t="n"/>
      <c r="BF94" s="2" t="n">
        <v>38930.7037037037</v>
      </c>
      <c r="BG94" s="2" t="n">
        <v>381.38</v>
      </c>
      <c r="BH94" s="2" t="n">
        <v>148.23</v>
      </c>
      <c r="BI94" s="2" t="n">
        <v>39677.05</v>
      </c>
      <c r="BJ94" s="2" t="n">
        <v>90.55917355371901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428.569245</v>
      </c>
      <c r="BQ94" s="2" t="n">
        <v>0</v>
      </c>
      <c r="BR94" s="2" t="n">
        <v>40750.78841855372</v>
      </c>
      <c r="BS94" s="2" t="n">
        <v>855.6128099173553</v>
      </c>
      <c r="BT94" s="2" t="n">
        <v>396.6942148760331</v>
      </c>
      <c r="BU94" s="2" t="n">
        <v>8314.905239669422</v>
      </c>
      <c r="BV94" s="2" t="n">
        <v>9567.212264462811</v>
      </c>
      <c r="BW94" s="2" t="n">
        <v>50318.00068301653</v>
      </c>
      <c r="BX94" s="2" t="n">
        <v>29157.97</v>
      </c>
      <c r="BY94" s="2" t="n">
        <v>2587.9</v>
      </c>
      <c r="BZ94" s="2" t="n">
        <v>10299.29</v>
      </c>
      <c r="CA94" s="2" t="n">
        <v>31745.87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1272</v>
      </c>
      <c r="B95" t="inlineStr">
        <is>
          <t>Dworcowa 115, 88-110 Inowrocław</t>
        </is>
      </c>
      <c r="C95" t="inlineStr">
        <is>
          <t>Inowrocław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8051.41</v>
      </c>
      <c r="L95" s="2" t="n">
        <v>670.2053324074074</v>
      </c>
      <c r="M95" s="2" t="n">
        <v>7455.009259259258</v>
      </c>
      <c r="N95" s="2" t="n">
        <v>2317.77</v>
      </c>
      <c r="O95" s="2" t="n">
        <v>5217.23</v>
      </c>
      <c r="P95" s="2" t="n">
        <v>516.41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8117.670000000001</v>
      </c>
      <c r="AP95" s="2" t="n">
        <v>593.7925277777778</v>
      </c>
      <c r="AQ95" s="2" t="n">
        <v>7516.361111111111</v>
      </c>
      <c r="AR95" s="2" t="n">
        <v>2752.53</v>
      </c>
      <c r="AS95" s="2" t="n">
        <v>5063.84</v>
      </c>
      <c r="AT95" s="2" t="n">
        <v>301.3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16169.08</v>
      </c>
      <c r="BB95" s="2" t="n">
        <v>11098.78</v>
      </c>
      <c r="BC95" s="2">
        <f>F95+L95+R95+X95+AD95+AJ95+AP95+AV95+IF(BE95="",0,BE95)</f>
        <v/>
      </c>
      <c r="BD95" s="2" t="n">
        <v>170.921212</v>
      </c>
      <c r="BE95" s="2" t="n"/>
      <c r="BF95" s="2" t="n">
        <v>14971.37037037037</v>
      </c>
      <c r="BG95" s="2" t="n">
        <v>382</v>
      </c>
      <c r="BH95" s="2" t="n">
        <v>146.3</v>
      </c>
      <c r="BI95" s="2" t="n">
        <v>39677.05</v>
      </c>
      <c r="BJ95" s="2" t="n">
        <v>90.55917355371901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149.83353</v>
      </c>
      <c r="BQ95" s="2" t="n">
        <v>0</v>
      </c>
      <c r="BR95" s="2" t="n">
        <v>40470.74270355373</v>
      </c>
      <c r="BS95" s="2" t="n">
        <v>855.6128099173553</v>
      </c>
      <c r="BT95" s="2" t="n">
        <v>396.6942148760331</v>
      </c>
      <c r="BU95" s="2" t="n">
        <v>8314.643239669422</v>
      </c>
      <c r="BV95" s="2" t="n">
        <v>9566.95026446281</v>
      </c>
      <c r="BW95" s="2" t="n">
        <v>50037.69296801653</v>
      </c>
      <c r="BX95" s="2" t="n">
        <v>10281.07</v>
      </c>
      <c r="BY95" s="2" t="n">
        <v>817.71</v>
      </c>
      <c r="BZ95" s="2" t="n">
        <v>5070.3</v>
      </c>
      <c r="CA95" s="2" t="n">
        <v>11098.78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1273</v>
      </c>
      <c r="B96" t="inlineStr">
        <is>
          <t>Towarowa 5, 84-120 Władysławowo</t>
        </is>
      </c>
      <c r="C96" t="inlineStr">
        <is>
          <t>Władysławowo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2211.98</v>
      </c>
      <c r="L96" s="2" t="n">
        <v>184.1268537037037</v>
      </c>
      <c r="M96" s="2" t="n">
        <v>2048.12962962963</v>
      </c>
      <c r="N96" s="2" t="n">
        <v>0</v>
      </c>
      <c r="O96" s="2" t="n">
        <v>2093.68</v>
      </c>
      <c r="P96" s="2" t="n">
        <v>118.3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38453.37</v>
      </c>
      <c r="AP96" s="2" t="n">
        <v>5475</v>
      </c>
      <c r="AQ96" s="2" t="n">
        <v>35604.97222222222</v>
      </c>
      <c r="AR96" s="2" t="n">
        <v>0</v>
      </c>
      <c r="AS96" s="2" t="n">
        <v>32794.37</v>
      </c>
      <c r="AT96" s="2" t="n">
        <v>5659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40665.35000000001</v>
      </c>
      <c r="BB96" s="2" t="n">
        <v>40665.35000000001</v>
      </c>
      <c r="BC96" s="2">
        <f>F96+L96+R96+X96+AD96+AJ96+AP96+AV96+IF(BE96="",0,BE96)</f>
        <v/>
      </c>
      <c r="BD96" s="2" t="n">
        <v>626.24639</v>
      </c>
      <c r="BE96" s="2" t="n"/>
      <c r="BF96" s="2" t="n">
        <v>37653.10185185185</v>
      </c>
      <c r="BG96" s="2" t="n">
        <v>0</v>
      </c>
      <c r="BH96" s="2" t="n">
        <v>0</v>
      </c>
      <c r="BI96" s="2" t="n">
        <v>39677.05</v>
      </c>
      <c r="BJ96" s="2" t="n">
        <v>90.55917355371901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548.982225</v>
      </c>
      <c r="BQ96" s="2" t="n">
        <v>0</v>
      </c>
      <c r="BR96" s="2" t="n">
        <v>40341.59139855372</v>
      </c>
      <c r="BS96" s="2" t="n">
        <v>855.6128099173553</v>
      </c>
      <c r="BT96" s="2" t="n">
        <v>396.6942148760331</v>
      </c>
      <c r="BU96" s="2" t="n">
        <v>8208.983239669422</v>
      </c>
      <c r="BV96" s="2" t="n">
        <v>9461.29026446281</v>
      </c>
      <c r="BW96" s="2" t="n">
        <v>49802.88166301653</v>
      </c>
      <c r="BX96" s="2" t="n">
        <v>34888.05</v>
      </c>
      <c r="BY96" s="2" t="n">
        <v>5777.3</v>
      </c>
      <c r="BZ96" s="2" t="n">
        <v>0</v>
      </c>
      <c r="CA96" s="2" t="n">
        <v>40665.35000000001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1274</v>
      </c>
      <c r="B97" t="inlineStr">
        <is>
          <t>Czersk</t>
        </is>
      </c>
      <c r="C97" t="inlineStr">
        <is>
          <t>Czersk</t>
        </is>
      </c>
      <c r="D97" t="inlineStr">
        <is>
          <t>FAA2000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3670.97</v>
      </c>
      <c r="AP97" s="2" t="n">
        <v>3900</v>
      </c>
      <c r="AQ97" s="2" t="n">
        <v>3399.046296296297</v>
      </c>
      <c r="AR97" s="2" t="n">
        <v>0</v>
      </c>
      <c r="AS97" s="2" t="n">
        <v>3151.78</v>
      </c>
      <c r="AT97" s="2" t="n">
        <v>519.1900000000001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3670.97</v>
      </c>
      <c r="BB97" s="2" t="n">
        <v>3670.97</v>
      </c>
      <c r="BC97" s="2">
        <f>F97+L97+R97+X97+AD97+AJ97+AP97+AV97+IF(BE97="",0,BE97)</f>
        <v/>
      </c>
      <c r="BD97" s="2" t="n">
        <v>56.53293800000001</v>
      </c>
      <c r="BE97" s="2" t="n"/>
      <c r="BF97" s="2" t="n">
        <v>3399.046296296297</v>
      </c>
      <c r="BG97" s="2" t="n">
        <v>0</v>
      </c>
      <c r="BH97" s="2" t="n">
        <v>0</v>
      </c>
      <c r="BI97" s="2" t="n">
        <v>39677.05</v>
      </c>
      <c r="BJ97" s="2" t="n">
        <v>90.55917355371901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49.558095</v>
      </c>
      <c r="BQ97" s="2" t="n">
        <v>0</v>
      </c>
      <c r="BR97" s="2" t="n">
        <v>39842.16726855372</v>
      </c>
      <c r="BS97" s="2" t="n">
        <v>855.6128099173553</v>
      </c>
      <c r="BT97" s="2" t="n">
        <v>396.6942148760331</v>
      </c>
      <c r="BU97" s="2" t="n">
        <v>8208.983239669422</v>
      </c>
      <c r="BV97" s="2" t="n">
        <v>9461.29026446281</v>
      </c>
      <c r="BW97" s="2" t="n">
        <v>49303.45753301653</v>
      </c>
      <c r="BX97" s="2" t="n">
        <v>3151.78</v>
      </c>
      <c r="BY97" s="2" t="n">
        <v>519.1900000000001</v>
      </c>
      <c r="BZ97" s="2" t="n">
        <v>0</v>
      </c>
      <c r="CA97" s="2" t="n">
        <v>3670.97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1275</v>
      </c>
      <c r="B98" t="inlineStr">
        <is>
          <t>Rzeszow Glowny</t>
        </is>
      </c>
      <c r="C98" t="inlineStr">
        <is>
          <t>Poznań Dębiec</t>
        </is>
      </c>
      <c r="D98" t="inlineStr">
        <is>
          <t>FAA2000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17264.92</v>
      </c>
      <c r="L98" s="2" t="n">
        <v>1437.14472962963</v>
      </c>
      <c r="M98" s="2" t="n">
        <v>15986.03703703704</v>
      </c>
      <c r="N98" s="2" t="n">
        <v>2110.49</v>
      </c>
      <c r="O98" s="2" t="n">
        <v>14313.77</v>
      </c>
      <c r="P98" s="2" t="n">
        <v>840.66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27303.77</v>
      </c>
      <c r="AP98" s="2" t="n">
        <v>1997.220212962963</v>
      </c>
      <c r="AQ98" s="2" t="n">
        <v>25281.26851851852</v>
      </c>
      <c r="AR98" s="2" t="n">
        <v>4358.7</v>
      </c>
      <c r="AS98" s="2" t="n">
        <v>22395.6</v>
      </c>
      <c r="AT98" s="2" t="n">
        <v>549.47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44568.69</v>
      </c>
      <c r="BB98" s="2" t="n">
        <v>38099.5</v>
      </c>
      <c r="BC98" s="2">
        <f>F98+L98+R98+X98+AD98+AJ98+AP98+AV98+IF(BE98="",0,BE98)</f>
        <v/>
      </c>
      <c r="BD98" s="2" t="n">
        <v>586.7323</v>
      </c>
      <c r="BE98" s="2" t="n"/>
      <c r="BF98" s="2" t="n">
        <v>41267.30555555555</v>
      </c>
      <c r="BG98" s="2" t="n">
        <v>0</v>
      </c>
      <c r="BH98" s="2" t="n">
        <v>0</v>
      </c>
      <c r="BI98" s="2" t="n">
        <v>39677.05</v>
      </c>
      <c r="BJ98" s="2" t="n">
        <v>90.55917355371901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514.34325</v>
      </c>
      <c r="BQ98" s="2" t="n">
        <v>0</v>
      </c>
      <c r="BR98" s="2" t="n">
        <v>40306.95242355372</v>
      </c>
      <c r="BS98" s="2" t="n">
        <v>855.6128099173553</v>
      </c>
      <c r="BT98" s="2" t="n">
        <v>396.6942148760331</v>
      </c>
      <c r="BU98" s="2" t="n">
        <v>8208.983239669422</v>
      </c>
      <c r="BV98" s="2" t="n">
        <v>9461.29026446281</v>
      </c>
      <c r="BW98" s="2" t="n">
        <v>49768.24268801653</v>
      </c>
      <c r="BX98" s="2" t="n">
        <v>36709.37</v>
      </c>
      <c r="BY98" s="2" t="n">
        <v>1390.13</v>
      </c>
      <c r="BZ98" s="2" t="n">
        <v>6469.19</v>
      </c>
      <c r="CA98" s="2" t="n">
        <v>38099.49999999999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1276</v>
      </c>
      <c r="B99" t="inlineStr">
        <is>
          <t>GDA-STR</t>
        </is>
      </c>
      <c r="C99" t="inlineStr">
        <is>
          <t>Gdańsk Strzyża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10675.14</v>
      </c>
      <c r="AP99" s="2" t="n">
        <v>0</v>
      </c>
      <c r="AQ99" s="2" t="n">
        <v>9884.388888888887</v>
      </c>
      <c r="AR99" s="2" t="n">
        <v>1712.33</v>
      </c>
      <c r="AS99" s="2" t="n">
        <v>8837.23</v>
      </c>
      <c r="AT99" s="2" t="n">
        <v>125.58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10675.14</v>
      </c>
      <c r="BB99" s="2" t="n">
        <v>8962.809999999999</v>
      </c>
      <c r="BC99" s="2">
        <f>F99+L99+R99+X99+AD99+AJ99+AP99+AV99+IF(BE99="",0,BE99)</f>
        <v/>
      </c>
      <c r="BD99" s="2" t="n">
        <v>138.027274</v>
      </c>
      <c r="BE99" s="2" t="n"/>
      <c r="BF99" s="2" t="n">
        <v>9884.388888888887</v>
      </c>
      <c r="BG99" s="2" t="n">
        <v>0</v>
      </c>
      <c r="BH99" s="2" t="n">
        <v>0</v>
      </c>
      <c r="BI99" s="2" t="n">
        <v>39677.05</v>
      </c>
      <c r="BJ99" s="2" t="n">
        <v>90.55917355371901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120.997935</v>
      </c>
      <c r="BQ99" s="2" t="n">
        <v>0</v>
      </c>
      <c r="BR99" s="2" t="n">
        <v>39913.60710855372</v>
      </c>
      <c r="BS99" s="2" t="n">
        <v>855.6128099173553</v>
      </c>
      <c r="BT99" s="2" t="n">
        <v>396.6942148760331</v>
      </c>
      <c r="BU99" s="2" t="n">
        <v>8208.983239669422</v>
      </c>
      <c r="BV99" s="2" t="n">
        <v>9461.29026446281</v>
      </c>
      <c r="BW99" s="2" t="n">
        <v>49374.89737301653</v>
      </c>
      <c r="BX99" s="2" t="n">
        <v>8837.23</v>
      </c>
      <c r="BY99" s="2" t="n">
        <v>125.58</v>
      </c>
      <c r="BZ99" s="2" t="n">
        <v>1712.33</v>
      </c>
      <c r="CA99" s="2" t="n">
        <v>8962.809999999999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1277</v>
      </c>
      <c r="B100" t="inlineStr">
        <is>
          <t>Plac Konstytucji 1, 81-354 Gdynia</t>
        </is>
      </c>
      <c r="C100" t="inlineStr">
        <is>
          <t>Gdynia Główna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17096.41</v>
      </c>
      <c r="L100" s="2" t="n">
        <v>1423.117832407407</v>
      </c>
      <c r="M100" s="2" t="n">
        <v>15830.00925925926</v>
      </c>
      <c r="N100" s="2" t="n">
        <v>4437.84</v>
      </c>
      <c r="O100" s="2" t="n">
        <v>11732.52</v>
      </c>
      <c r="P100" s="2" t="n">
        <v>926.05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29413.32</v>
      </c>
      <c r="AP100" s="2" t="n">
        <v>2151.529888888889</v>
      </c>
      <c r="AQ100" s="2" t="n">
        <v>27234.55555555555</v>
      </c>
      <c r="AR100" s="2" t="n">
        <v>7227.5</v>
      </c>
      <c r="AS100" s="2" t="n">
        <v>20487.47</v>
      </c>
      <c r="AT100" s="2" t="n">
        <v>1698.35</v>
      </c>
      <c r="AU100" s="2" t="n">
        <v>26446.25</v>
      </c>
      <c r="AV100" s="2" t="n">
        <v>1052.952546296296</v>
      </c>
      <c r="AW100" s="2" t="n">
        <v>24487.26851851852</v>
      </c>
      <c r="AX100" s="2" t="n">
        <v>4771.65</v>
      </c>
      <c r="AY100" s="2" t="n">
        <v>20587.65</v>
      </c>
      <c r="AZ100" s="2" t="n">
        <v>1086.95</v>
      </c>
      <c r="BA100" s="2" t="n">
        <v>72955.98</v>
      </c>
      <c r="BB100" s="2" t="n">
        <v>56518.99000000001</v>
      </c>
      <c r="BC100" s="2">
        <f>F100+L100+R100+X100+AD100+AJ100+AP100+AV100+IF(BE100="",0,BE100)</f>
        <v/>
      </c>
      <c r="BD100" s="2" t="n">
        <v>870.3924460000001</v>
      </c>
      <c r="BE100" s="2" t="n"/>
      <c r="BF100" s="2" t="n">
        <v>67551.83333333333</v>
      </c>
      <c r="BG100" s="2" t="n">
        <v>971.34</v>
      </c>
      <c r="BH100" s="2" t="n">
        <v>93.59999999999999</v>
      </c>
      <c r="BI100" s="2" t="n">
        <v>39677.05</v>
      </c>
      <c r="BJ100" s="2" t="n">
        <v>90.55917355371901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763.006365</v>
      </c>
      <c r="BQ100" s="2" t="n">
        <v>0</v>
      </c>
      <c r="BR100" s="2" t="n">
        <v>41620.55553855372</v>
      </c>
      <c r="BS100" s="2" t="n">
        <v>855.6128099173553</v>
      </c>
      <c r="BT100" s="2" t="n">
        <v>396.6942148760331</v>
      </c>
      <c r="BU100" s="2" t="n">
        <v>8421.971239669421</v>
      </c>
      <c r="BV100" s="2" t="n">
        <v>9674.27826446281</v>
      </c>
      <c r="BW100" s="2" t="n">
        <v>51294.83380301653</v>
      </c>
      <c r="BX100" s="2" t="n">
        <v>52807.64</v>
      </c>
      <c r="BY100" s="2" t="n">
        <v>3711.349999999999</v>
      </c>
      <c r="BZ100" s="2" t="n">
        <v>16436.99</v>
      </c>
      <c r="CA100" s="2" t="n">
        <v>56518.99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1278</v>
      </c>
      <c r="B101" t="inlineStr">
        <is>
          <t>Plac Konstytucji 1, 81-354 Gdynia</t>
        </is>
      </c>
      <c r="C101" t="inlineStr">
        <is>
          <t>Gdynia Główna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11244.48</v>
      </c>
      <c r="L101" s="2" t="n">
        <v>935.9988444444444</v>
      </c>
      <c r="M101" s="2" t="n">
        <v>10411.55555555555</v>
      </c>
      <c r="N101" s="2" t="n">
        <v>2955.97</v>
      </c>
      <c r="O101" s="2" t="n">
        <v>7369.07</v>
      </c>
      <c r="P101" s="2" t="n">
        <v>919.4400000000001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21753.25</v>
      </c>
      <c r="AP101" s="2" t="n">
        <v>1591.209953703704</v>
      </c>
      <c r="AQ101" s="2" t="n">
        <v>20141.89814814815</v>
      </c>
      <c r="AR101" s="2" t="n">
        <v>4919.85</v>
      </c>
      <c r="AS101" s="2" t="n">
        <v>15134.01</v>
      </c>
      <c r="AT101" s="2" t="n">
        <v>1699.39</v>
      </c>
      <c r="AU101" s="2" t="n">
        <v>22003.85</v>
      </c>
      <c r="AV101" s="2" t="n">
        <v>876.0792129629627</v>
      </c>
      <c r="AW101" s="2" t="n">
        <v>20373.93518518518</v>
      </c>
      <c r="AX101" s="2" t="n">
        <v>4899.8</v>
      </c>
      <c r="AY101" s="2" t="n">
        <v>15755.45</v>
      </c>
      <c r="AZ101" s="2" t="n">
        <v>1348.6</v>
      </c>
      <c r="BA101" s="2" t="n">
        <v>55001.57999999999</v>
      </c>
      <c r="BB101" s="2" t="n">
        <v>42225.96000000001</v>
      </c>
      <c r="BC101" s="2">
        <f>F101+L101+R101+X101+AD101+AJ101+AP101+AV101+IF(BE101="",0,BE101)</f>
        <v/>
      </c>
      <c r="BD101" s="2" t="n">
        <v>650.2797840000001</v>
      </c>
      <c r="BE101" s="2" t="n"/>
      <c r="BF101" s="2" t="n">
        <v>50927.38888888888</v>
      </c>
      <c r="BG101" s="2" t="n">
        <v>1216.91</v>
      </c>
      <c r="BH101" s="2" t="n">
        <v>117</v>
      </c>
      <c r="BI101" s="2" t="n">
        <v>39677.05</v>
      </c>
      <c r="BJ101" s="2" t="n">
        <v>90.55917355371901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570.05046</v>
      </c>
      <c r="BQ101" s="2" t="n">
        <v>0</v>
      </c>
      <c r="BR101" s="2" t="n">
        <v>41696.56963355372</v>
      </c>
      <c r="BS101" s="2" t="n">
        <v>855.6128099173553</v>
      </c>
      <c r="BT101" s="2" t="n">
        <v>396.6942148760331</v>
      </c>
      <c r="BU101" s="2" t="n">
        <v>8475.765239669423</v>
      </c>
      <c r="BV101" s="2" t="n">
        <v>9728.072264462811</v>
      </c>
      <c r="BW101" s="2" t="n">
        <v>51424.64189801653</v>
      </c>
      <c r="BX101" s="2" t="n">
        <v>38258.53</v>
      </c>
      <c r="BY101" s="2" t="n">
        <v>3967.43</v>
      </c>
      <c r="BZ101" s="2" t="n">
        <v>12775.62</v>
      </c>
      <c r="CA101" s="2" t="n">
        <v>42225.96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1279</v>
      </c>
      <c r="B102" t="inlineStr">
        <is>
          <t>GDA-GL</t>
        </is>
      </c>
      <c r="C102" t="inlineStr">
        <is>
          <t>Gdańsk Brętowo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5437.98</v>
      </c>
      <c r="AP102" s="2" t="n">
        <v>0</v>
      </c>
      <c r="AQ102" s="2" t="n">
        <v>5035.166666666667</v>
      </c>
      <c r="AR102" s="2" t="n">
        <v>824.73</v>
      </c>
      <c r="AS102" s="2" t="n">
        <v>4435.12</v>
      </c>
      <c r="AT102" s="2" t="n">
        <v>178.13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5437.98</v>
      </c>
      <c r="BB102" s="2" t="n">
        <v>4613.25</v>
      </c>
      <c r="BC102" s="2">
        <f>F102+L102+R102+X102+AD102+AJ102+AP102+AV102+IF(BE102="",0,BE102)</f>
        <v/>
      </c>
      <c r="BD102" s="2" t="n">
        <v>71.04405</v>
      </c>
      <c r="BE102" s="2" t="n"/>
      <c r="BF102" s="2" t="n">
        <v>5035.166666666667</v>
      </c>
      <c r="BG102" s="2" t="n">
        <v>0</v>
      </c>
      <c r="BH102" s="2" t="n">
        <v>0</v>
      </c>
      <c r="BI102" s="2" t="n">
        <v>39677.05</v>
      </c>
      <c r="BJ102" s="2" t="n">
        <v>90.55917355371901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62.278875</v>
      </c>
      <c r="BQ102" s="2" t="n">
        <v>0</v>
      </c>
      <c r="BR102" s="2" t="n">
        <v>39854.88804855372</v>
      </c>
      <c r="BS102" s="2" t="n">
        <v>855.6128099173553</v>
      </c>
      <c r="BT102" s="2" t="n">
        <v>396.6942148760331</v>
      </c>
      <c r="BU102" s="2" t="n">
        <v>8208.983239669422</v>
      </c>
      <c r="BV102" s="2" t="n">
        <v>9461.29026446281</v>
      </c>
      <c r="BW102" s="2" t="n">
        <v>49316.17831301653</v>
      </c>
      <c r="BX102" s="2" t="n">
        <v>4435.12</v>
      </c>
      <c r="BY102" s="2" t="n">
        <v>178.13</v>
      </c>
      <c r="BZ102" s="2" t="n">
        <v>824.73</v>
      </c>
      <c r="CA102" s="2" t="n">
        <v>4613.25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1280</v>
      </c>
      <c r="B103" t="inlineStr">
        <is>
          <t>GRODZW</t>
        </is>
      </c>
      <c r="C103" t="inlineStr">
        <is>
          <t>Gdańsk Jasień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10281.21</v>
      </c>
      <c r="AP103" s="2" t="n">
        <v>0</v>
      </c>
      <c r="AQ103" s="2" t="n">
        <v>9519.638888888887</v>
      </c>
      <c r="AR103" s="2" t="n">
        <v>1791.14</v>
      </c>
      <c r="AS103" s="2" t="n">
        <v>8137.77</v>
      </c>
      <c r="AT103" s="2" t="n">
        <v>352.3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10281.21</v>
      </c>
      <c r="BB103" s="2" t="n">
        <v>8490.07</v>
      </c>
      <c r="BC103" s="2">
        <f>F103+L103+R103+X103+AD103+AJ103+AP103+AV103+IF(BE103="",0,BE103)</f>
        <v/>
      </c>
      <c r="BD103" s="2" t="n">
        <v>130.747078</v>
      </c>
      <c r="BE103" s="2" t="n"/>
      <c r="BF103" s="2" t="n">
        <v>9519.638888888887</v>
      </c>
      <c r="BG103" s="2" t="n">
        <v>0</v>
      </c>
      <c r="BH103" s="2" t="n">
        <v>0</v>
      </c>
      <c r="BI103" s="2" t="n">
        <v>39677.05</v>
      </c>
      <c r="BJ103" s="2" t="n">
        <v>90.55917355371901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114.615945</v>
      </c>
      <c r="BQ103" s="2" t="n">
        <v>0</v>
      </c>
      <c r="BR103" s="2" t="n">
        <v>39907.22511855372</v>
      </c>
      <c r="BS103" s="2" t="n">
        <v>855.6128099173553</v>
      </c>
      <c r="BT103" s="2" t="n">
        <v>396.6942148760331</v>
      </c>
      <c r="BU103" s="2" t="n">
        <v>8208.983239669422</v>
      </c>
      <c r="BV103" s="2" t="n">
        <v>9461.29026446281</v>
      </c>
      <c r="BW103" s="2" t="n">
        <v>49368.51538301653</v>
      </c>
      <c r="BX103" s="2" t="n">
        <v>8137.77</v>
      </c>
      <c r="BY103" s="2" t="n">
        <v>352.3</v>
      </c>
      <c r="BZ103" s="2" t="n">
        <v>1791.14</v>
      </c>
      <c r="CA103" s="2" t="n">
        <v>8490.07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1281</v>
      </c>
      <c r="B104" t="inlineStr">
        <is>
          <t>GRANOW</t>
        </is>
      </c>
      <c r="C104" t="inlineStr">
        <is>
          <t>Gdańsk Kiełpinek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11634.48</v>
      </c>
      <c r="AP104" s="2" t="n">
        <v>0</v>
      </c>
      <c r="AQ104" s="2" t="n">
        <v>10772.66666666667</v>
      </c>
      <c r="AR104" s="2" t="n">
        <v>1502.71</v>
      </c>
      <c r="AS104" s="2" t="n">
        <v>9722.309999999999</v>
      </c>
      <c r="AT104" s="2" t="n">
        <v>409.46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11634.48</v>
      </c>
      <c r="BB104" s="2" t="n">
        <v>10131.77</v>
      </c>
      <c r="BC104" s="2">
        <f>F104+L104+R104+X104+AD104+AJ104+AP104+AV104+IF(BE104="",0,BE104)</f>
        <v/>
      </c>
      <c r="BD104" s="2" t="n">
        <v>156.029258</v>
      </c>
      <c r="BE104" s="2" t="n"/>
      <c r="BF104" s="2" t="n">
        <v>10772.66666666667</v>
      </c>
      <c r="BG104" s="2" t="n">
        <v>0</v>
      </c>
      <c r="BH104" s="2" t="n">
        <v>0</v>
      </c>
      <c r="BI104" s="2" t="n">
        <v>39677.05</v>
      </c>
      <c r="BJ104" s="2" t="n">
        <v>90.55917355371901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136.778895</v>
      </c>
      <c r="BQ104" s="2" t="n">
        <v>0</v>
      </c>
      <c r="BR104" s="2" t="n">
        <v>39929.38806855372</v>
      </c>
      <c r="BS104" s="2" t="n">
        <v>855.6128099173553</v>
      </c>
      <c r="BT104" s="2" t="n">
        <v>396.6942148760331</v>
      </c>
      <c r="BU104" s="2" t="n">
        <v>8208.983239669422</v>
      </c>
      <c r="BV104" s="2" t="n">
        <v>9461.29026446281</v>
      </c>
      <c r="BW104" s="2" t="n">
        <v>49390.67833301653</v>
      </c>
      <c r="BX104" s="2" t="n">
        <v>9722.309999999999</v>
      </c>
      <c r="BY104" s="2" t="n">
        <v>409.46</v>
      </c>
      <c r="BZ104" s="2" t="n">
        <v>1502.71</v>
      </c>
      <c r="CA104" s="2" t="n">
        <v>10131.77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1282</v>
      </c>
      <c r="B105" t="inlineStr">
        <is>
          <t>STESZEW</t>
        </is>
      </c>
      <c r="C105" t="inlineStr">
        <is>
          <t>Gdańsk Port Lotniczy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40706.18</v>
      </c>
      <c r="AP105" s="2" t="n">
        <v>0</v>
      </c>
      <c r="AQ105" s="2" t="n">
        <v>37690.90740740741</v>
      </c>
      <c r="AR105" s="2" t="n">
        <v>6276.67</v>
      </c>
      <c r="AS105" s="2" t="n">
        <v>32557.18</v>
      </c>
      <c r="AT105" s="2" t="n">
        <v>1872.33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40706.18</v>
      </c>
      <c r="BB105" s="2" t="n">
        <v>34429.51</v>
      </c>
      <c r="BC105" s="2">
        <f>F105+L105+R105+X105+AD105+AJ105+AP105+AV105+IF(BE105="",0,BE105)</f>
        <v/>
      </c>
      <c r="BD105" s="2" t="n">
        <v>530.214454</v>
      </c>
      <c r="BE105" s="2" t="n"/>
      <c r="BF105" s="2" t="n">
        <v>37690.90740740741</v>
      </c>
      <c r="BG105" s="2" t="n">
        <v>0</v>
      </c>
      <c r="BH105" s="2" t="n">
        <v>0</v>
      </c>
      <c r="BI105" s="2" t="n">
        <v>39677.05</v>
      </c>
      <c r="BJ105" s="2" t="n">
        <v>90.55917355371901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464.798385</v>
      </c>
      <c r="BQ105" s="2" t="n">
        <v>0</v>
      </c>
      <c r="BR105" s="2" t="n">
        <v>40257.40755855372</v>
      </c>
      <c r="BS105" s="2" t="n">
        <v>855.6128099173553</v>
      </c>
      <c r="BT105" s="2" t="n">
        <v>396.6942148760331</v>
      </c>
      <c r="BU105" s="2" t="n">
        <v>8208.983239669422</v>
      </c>
      <c r="BV105" s="2" t="n">
        <v>9461.29026446281</v>
      </c>
      <c r="BW105" s="2" t="n">
        <v>49718.69782301653</v>
      </c>
      <c r="BX105" s="2" t="n">
        <v>32557.18</v>
      </c>
      <c r="BY105" s="2" t="n">
        <v>1872.33</v>
      </c>
      <c r="BZ105" s="2" t="n">
        <v>6276.67</v>
      </c>
      <c r="CA105" s="2" t="n">
        <v>34429.51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1283</v>
      </c>
      <c r="B106" t="inlineStr">
        <is>
          <t>CZERWO</t>
        </is>
      </c>
      <c r="C106" t="inlineStr">
        <is>
          <t>Gdańsk Port Lotniczy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27761.87</v>
      </c>
      <c r="AP106" s="2" t="n">
        <v>0</v>
      </c>
      <c r="AQ106" s="2" t="n">
        <v>25705.43518518518</v>
      </c>
      <c r="AR106" s="2" t="n">
        <v>5127.47</v>
      </c>
      <c r="AS106" s="2" t="n">
        <v>21839.55</v>
      </c>
      <c r="AT106" s="2" t="n">
        <v>794.85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27761.87</v>
      </c>
      <c r="BB106" s="2" t="n">
        <v>22634.4</v>
      </c>
      <c r="BC106" s="2">
        <f>F106+L106+R106+X106+AD106+AJ106+AP106+AV106+IF(BE106="",0,BE106)</f>
        <v/>
      </c>
      <c r="BD106" s="2" t="n">
        <v>348.56976</v>
      </c>
      <c r="BE106" s="2" t="n"/>
      <c r="BF106" s="2" t="n">
        <v>25705.43518518518</v>
      </c>
      <c r="BG106" s="2" t="n">
        <v>0</v>
      </c>
      <c r="BH106" s="2" t="n">
        <v>0</v>
      </c>
      <c r="BI106" s="2" t="n">
        <v>39677.05</v>
      </c>
      <c r="BJ106" s="2" t="n">
        <v>90.55917355371901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305.5644</v>
      </c>
      <c r="BQ106" s="2" t="n">
        <v>0</v>
      </c>
      <c r="BR106" s="2" t="n">
        <v>40098.17357355372</v>
      </c>
      <c r="BS106" s="2" t="n">
        <v>855.6128099173553</v>
      </c>
      <c r="BT106" s="2" t="n">
        <v>396.6942148760331</v>
      </c>
      <c r="BU106" s="2" t="n">
        <v>8208.983239669422</v>
      </c>
      <c r="BV106" s="2" t="n">
        <v>9461.29026446281</v>
      </c>
      <c r="BW106" s="2" t="n">
        <v>49559.46383801653</v>
      </c>
      <c r="BX106" s="2" t="n">
        <v>21839.55</v>
      </c>
      <c r="BY106" s="2" t="n">
        <v>794.85</v>
      </c>
      <c r="BZ106" s="2" t="n">
        <v>5127.47</v>
      </c>
      <c r="CA106" s="2" t="n">
        <v>22634.4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1284</v>
      </c>
      <c r="B107" t="inlineStr">
        <is>
          <t>OWINSK</t>
        </is>
      </c>
      <c r="C107" t="inlineStr">
        <is>
          <t>Gdańsk Rębiechowo</t>
        </is>
      </c>
      <c r="D107" t="inlineStr">
        <is>
          <t>ST|40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5205.420000000001</v>
      </c>
      <c r="AP107" s="2" t="n">
        <v>0</v>
      </c>
      <c r="AQ107" s="2" t="n">
        <v>4819.833333333334</v>
      </c>
      <c r="AR107" s="2" t="n">
        <v>654.85</v>
      </c>
      <c r="AS107" s="2" t="n">
        <v>4474.76</v>
      </c>
      <c r="AT107" s="2" t="n">
        <v>75.81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5205.420000000001</v>
      </c>
      <c r="BB107" s="2" t="n">
        <v>4550.570000000001</v>
      </c>
      <c r="BC107" s="2">
        <f>F107+L107+R107+X107+AD107+AJ107+AP107+AV107+IF(BE107="",0,BE107)</f>
        <v/>
      </c>
      <c r="BD107" s="2" t="n">
        <v>70.07877800000001</v>
      </c>
      <c r="BE107" s="2" t="n"/>
      <c r="BF107" s="2" t="n">
        <v>4819.833333333334</v>
      </c>
      <c r="BG107" s="2" t="n">
        <v>0</v>
      </c>
      <c r="BH107" s="2" t="n">
        <v>0</v>
      </c>
      <c r="BI107" s="2" t="n">
        <v>39677.05</v>
      </c>
      <c r="BJ107" s="2" t="n">
        <v>90.55917355371901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61.43269500000001</v>
      </c>
      <c r="BQ107" s="2" t="n">
        <v>0</v>
      </c>
      <c r="BR107" s="2" t="n">
        <v>39854.04186855372</v>
      </c>
      <c r="BS107" s="2" t="n">
        <v>855.6128099173553</v>
      </c>
      <c r="BT107" s="2" t="n">
        <v>396.6942148760331</v>
      </c>
      <c r="BU107" s="2" t="n">
        <v>8208.983239669422</v>
      </c>
      <c r="BV107" s="2" t="n">
        <v>9461.29026446281</v>
      </c>
      <c r="BW107" s="2" t="n">
        <v>49315.33213301653</v>
      </c>
      <c r="BX107" s="2" t="n">
        <v>4474.76</v>
      </c>
      <c r="BY107" s="2" t="n">
        <v>75.81</v>
      </c>
      <c r="BZ107" s="2" t="n">
        <v>654.85</v>
      </c>
      <c r="CA107" s="2" t="n">
        <v>4550.570000000001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1285</v>
      </c>
      <c r="B108" t="inlineStr">
        <is>
          <t>ZIELWZG</t>
        </is>
      </c>
      <c r="C108" t="inlineStr">
        <is>
          <t>Gdańsk Osowa</t>
        </is>
      </c>
      <c r="D108" t="inlineStr">
        <is>
          <t>ST|40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6980.75</v>
      </c>
      <c r="AP108" s="2" t="n">
        <v>0</v>
      </c>
      <c r="AQ108" s="2" t="n">
        <v>6463.657407407407</v>
      </c>
      <c r="AR108" s="2" t="n">
        <v>1917.48</v>
      </c>
      <c r="AS108" s="2" t="n">
        <v>4736.67</v>
      </c>
      <c r="AT108" s="2" t="n">
        <v>326.6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6980.75</v>
      </c>
      <c r="BB108" s="2" t="n">
        <v>5063.27</v>
      </c>
      <c r="BC108" s="2">
        <f>F108+L108+R108+X108+AD108+AJ108+AP108+AV108+IF(BE108="",0,BE108)</f>
        <v/>
      </c>
      <c r="BD108" s="2" t="n">
        <v>77.97435800000001</v>
      </c>
      <c r="BE108" s="2" t="n"/>
      <c r="BF108" s="2" t="n">
        <v>6463.657407407407</v>
      </c>
      <c r="BG108" s="2" t="n">
        <v>0</v>
      </c>
      <c r="BH108" s="2" t="n">
        <v>0</v>
      </c>
      <c r="BI108" s="2" t="n">
        <v>39677.05</v>
      </c>
      <c r="BJ108" s="2" t="n">
        <v>90.55917355371901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68.354145</v>
      </c>
      <c r="BQ108" s="2" t="n">
        <v>0</v>
      </c>
      <c r="BR108" s="2" t="n">
        <v>39860.96331855372</v>
      </c>
      <c r="BS108" s="2" t="n">
        <v>855.6128099173553</v>
      </c>
      <c r="BT108" s="2" t="n">
        <v>396.6942148760331</v>
      </c>
      <c r="BU108" s="2" t="n">
        <v>8208.983239669422</v>
      </c>
      <c r="BV108" s="2" t="n">
        <v>9461.29026446281</v>
      </c>
      <c r="BW108" s="2" t="n">
        <v>49322.25358301653</v>
      </c>
      <c r="BX108" s="2" t="n">
        <v>4736.67</v>
      </c>
      <c r="BY108" s="2" t="n">
        <v>326.6</v>
      </c>
      <c r="BZ108" s="2" t="n">
        <v>1917.48</v>
      </c>
      <c r="CA108" s="2" t="n">
        <v>5063.27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1286</v>
      </c>
      <c r="B109" t="inlineStr">
        <is>
          <t>Dworcowa 2, 61-801 Poznań</t>
        </is>
      </c>
      <c r="C109" t="inlineStr">
        <is>
          <t>Poznań Główny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7622.53</v>
      </c>
      <c r="L109" s="2" t="n">
        <v>634.5050435185185</v>
      </c>
      <c r="M109" s="2" t="n">
        <v>7057.898148148148</v>
      </c>
      <c r="N109" s="2" t="n">
        <v>1161.55</v>
      </c>
      <c r="O109" s="2" t="n">
        <v>5899.49</v>
      </c>
      <c r="P109" s="2" t="n">
        <v>561.49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11596.2</v>
      </c>
      <c r="AD109" s="2" t="n">
        <v>740.8683333333335</v>
      </c>
      <c r="AE109" s="2" t="n">
        <v>10737.22222222222</v>
      </c>
      <c r="AF109" s="2" t="n">
        <v>1290.78</v>
      </c>
      <c r="AG109" s="2" t="n">
        <v>9484.049999999999</v>
      </c>
      <c r="AH109" s="2" t="n">
        <v>821.37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4333.75</v>
      </c>
      <c r="AP109" s="2" t="n">
        <v>317.005787037037</v>
      </c>
      <c r="AQ109" s="2" t="n">
        <v>4012.731481481481</v>
      </c>
      <c r="AR109" s="2" t="n">
        <v>380.45</v>
      </c>
      <c r="AS109" s="2" t="n">
        <v>3716</v>
      </c>
      <c r="AT109" s="2" t="n">
        <v>237.3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23552.48</v>
      </c>
      <c r="BB109" s="2" t="n">
        <v>20719.7</v>
      </c>
      <c r="BC109" s="2">
        <f>F109+L109+R109+X109+AD109+AJ109+AP109+AV109+IF(BE109="",0,BE109)</f>
        <v/>
      </c>
      <c r="BD109" s="2" t="n">
        <v>319.08338</v>
      </c>
      <c r="BE109" s="2" t="n"/>
      <c r="BF109" s="2" t="n">
        <v>21807.85185185185</v>
      </c>
      <c r="BG109" s="2" t="n">
        <v>458.58</v>
      </c>
      <c r="BH109" s="2" t="n">
        <v>0</v>
      </c>
      <c r="BI109" s="2" t="n">
        <v>39677.05</v>
      </c>
      <c r="BJ109" s="2" t="n">
        <v>90.55917355371901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279.71595</v>
      </c>
      <c r="BQ109" s="2" t="n">
        <v>0</v>
      </c>
      <c r="BR109" s="2" t="n">
        <v>40530.90512355372</v>
      </c>
      <c r="BS109" s="2" t="n">
        <v>855.6128099173553</v>
      </c>
      <c r="BT109" s="2" t="n">
        <v>396.6942148760331</v>
      </c>
      <c r="BU109" s="2" t="n">
        <v>8300.699239669422</v>
      </c>
      <c r="BV109" s="2" t="n">
        <v>9553.006264462811</v>
      </c>
      <c r="BW109" s="2" t="n">
        <v>50083.91138801653</v>
      </c>
      <c r="BX109" s="2" t="n">
        <v>19099.54</v>
      </c>
      <c r="BY109" s="2" t="n">
        <v>1620.16</v>
      </c>
      <c r="BZ109" s="2" t="n">
        <v>2832.78</v>
      </c>
      <c r="CA109" s="2" t="n">
        <v>20719.7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1287</v>
      </c>
      <c r="B110" t="inlineStr">
        <is>
          <t>Kościuszki 54, 82-500 Kwidzyn</t>
        </is>
      </c>
      <c r="C110" t="inlineStr">
        <is>
          <t>Kwidzyn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4919.84</v>
      </c>
      <c r="AP110" s="2" t="n">
        <v>4060</v>
      </c>
      <c r="AQ110" s="2" t="n">
        <v>4555.407407407407</v>
      </c>
      <c r="AR110" s="2" t="n">
        <v>0</v>
      </c>
      <c r="AS110" s="2" t="n">
        <v>4479.41</v>
      </c>
      <c r="AT110" s="2" t="n">
        <v>440.43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4919.84</v>
      </c>
      <c r="BB110" s="2" t="n">
        <v>4919.84</v>
      </c>
      <c r="BC110" s="2">
        <f>F110+L110+R110+X110+AD110+AJ110+AP110+AV110+IF(BE110="",0,BE110)</f>
        <v/>
      </c>
      <c r="BD110" s="2" t="n">
        <v>75.76553600000001</v>
      </c>
      <c r="BE110" s="2" t="n"/>
      <c r="BF110" s="2" t="n">
        <v>4555.407407407407</v>
      </c>
      <c r="BG110" s="2" t="n">
        <v>0</v>
      </c>
      <c r="BH110" s="2" t="n">
        <v>0</v>
      </c>
      <c r="BI110" s="2" t="n">
        <v>39677.05</v>
      </c>
      <c r="BJ110" s="2" t="n">
        <v>90.55917355371901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66.41784</v>
      </c>
      <c r="BQ110" s="2" t="n">
        <v>0</v>
      </c>
      <c r="BR110" s="2" t="n">
        <v>39859.02701355372</v>
      </c>
      <c r="BS110" s="2" t="n">
        <v>855.6128099173553</v>
      </c>
      <c r="BT110" s="2" t="n">
        <v>396.6942148760331</v>
      </c>
      <c r="BU110" s="2" t="n">
        <v>8208.983239669422</v>
      </c>
      <c r="BV110" s="2" t="n">
        <v>9461.29026446281</v>
      </c>
      <c r="BW110" s="2" t="n">
        <v>49320.31727801653</v>
      </c>
      <c r="BX110" s="2" t="n">
        <v>4479.41</v>
      </c>
      <c r="BY110" s="2" t="n">
        <v>440.43</v>
      </c>
      <c r="BZ110" s="2" t="n">
        <v>0</v>
      </c>
      <c r="CA110" s="2" t="n">
        <v>4919.84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1288</v>
      </c>
      <c r="B111" t="inlineStr">
        <is>
          <t>Ks. Stefańskiego 6, 84-140 Jastarnia</t>
        </is>
      </c>
      <c r="C111" t="inlineStr">
        <is>
          <t>Jastania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52760.29</v>
      </c>
      <c r="AP111" s="2" t="n">
        <v>4494</v>
      </c>
      <c r="AQ111" s="2" t="n">
        <v>48852.12037037036</v>
      </c>
      <c r="AR111" s="2" t="n">
        <v>0</v>
      </c>
      <c r="AS111" s="2" t="n">
        <v>44200.39</v>
      </c>
      <c r="AT111" s="2" t="n">
        <v>8559.9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52760.29</v>
      </c>
      <c r="BB111" s="2" t="n">
        <v>52760.29</v>
      </c>
      <c r="BC111" s="2">
        <f>F111+L111+R111+X111+AD111+AJ111+AP111+AV111+IF(BE111="",0,BE111)</f>
        <v/>
      </c>
      <c r="BD111" s="2" t="n">
        <v>812.508466</v>
      </c>
      <c r="BE111" s="2" t="n"/>
      <c r="BF111" s="2" t="n">
        <v>48852.12037037036</v>
      </c>
      <c r="BG111" s="2" t="n">
        <v>0</v>
      </c>
      <c r="BH111" s="2" t="n">
        <v>0</v>
      </c>
      <c r="BI111" s="2" t="n">
        <v>39677.05</v>
      </c>
      <c r="BJ111" s="2" t="n">
        <v>90.55917355371901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712.263915</v>
      </c>
      <c r="BQ111" s="2" t="n">
        <v>0</v>
      </c>
      <c r="BR111" s="2" t="n">
        <v>40504.87308855372</v>
      </c>
      <c r="BS111" s="2" t="n">
        <v>855.6128099173553</v>
      </c>
      <c r="BT111" s="2" t="n">
        <v>396.6942148760331</v>
      </c>
      <c r="BU111" s="2" t="n">
        <v>8208.983239669422</v>
      </c>
      <c r="BV111" s="2" t="n">
        <v>9461.29026446281</v>
      </c>
      <c r="BW111" s="2" t="n">
        <v>49966.16335301653</v>
      </c>
      <c r="BX111" s="2" t="n">
        <v>44200.39</v>
      </c>
      <c r="BY111" s="2" t="n">
        <v>8559.9</v>
      </c>
      <c r="BZ111" s="2" t="n">
        <v>0</v>
      </c>
      <c r="CA111" s="2" t="n">
        <v>52760.29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1289</v>
      </c>
      <c r="B112" t="inlineStr">
        <is>
          <t>Dworcowa 1, 84-150 Hel</t>
        </is>
      </c>
      <c r="C112" t="inlineStr">
        <is>
          <t>Hel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49335.72</v>
      </c>
      <c r="AP112" s="2" t="n">
        <v>4494</v>
      </c>
      <c r="AQ112" s="2" t="n">
        <v>45681.22222222222</v>
      </c>
      <c r="AR112" s="2" t="n">
        <v>0</v>
      </c>
      <c r="AS112" s="2" t="n">
        <v>42809.61</v>
      </c>
      <c r="AT112" s="2" t="n">
        <v>6526.11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49335.72</v>
      </c>
      <c r="BB112" s="2" t="n">
        <v>49335.72</v>
      </c>
      <c r="BC112" s="2">
        <f>F112+L112+R112+X112+AD112+AJ112+AP112+AV112+IF(BE112="",0,BE112)</f>
        <v/>
      </c>
      <c r="BD112" s="2" t="n">
        <v>759.770088</v>
      </c>
      <c r="BE112" s="2" t="n"/>
      <c r="BF112" s="2" t="n">
        <v>45681.22222222222</v>
      </c>
      <c r="BG112" s="2" t="n">
        <v>0</v>
      </c>
      <c r="BH112" s="2" t="n">
        <v>0</v>
      </c>
      <c r="BI112" s="2" t="n">
        <v>39677.05</v>
      </c>
      <c r="BJ112" s="2" t="n">
        <v>90.55917355371901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666.0322200000001</v>
      </c>
      <c r="BQ112" s="2" t="n">
        <v>0</v>
      </c>
      <c r="BR112" s="2" t="n">
        <v>40458.64139355372</v>
      </c>
      <c r="BS112" s="2" t="n">
        <v>855.6128099173553</v>
      </c>
      <c r="BT112" s="2" t="n">
        <v>396.6942148760331</v>
      </c>
      <c r="BU112" s="2" t="n">
        <v>8208.983239669422</v>
      </c>
      <c r="BV112" s="2" t="n">
        <v>9461.29026446281</v>
      </c>
      <c r="BW112" s="2" t="n">
        <v>49919.93165801653</v>
      </c>
      <c r="BX112" s="2" t="n">
        <v>42809.61</v>
      </c>
      <c r="BY112" s="2" t="n">
        <v>6526.11</v>
      </c>
      <c r="BZ112" s="2" t="n">
        <v>0</v>
      </c>
      <c r="CA112" s="2" t="n">
        <v>49335.72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1290</v>
      </c>
      <c r="B113" t="inlineStr">
        <is>
          <t>Kolumba 2, 70-035 Szczecin</t>
        </is>
      </c>
      <c r="C113" t="inlineStr">
        <is>
          <t>Szczecin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17392.46</v>
      </c>
      <c r="L113" s="2" t="n">
        <v>1447.761253703704</v>
      </c>
      <c r="M113" s="2" t="n">
        <v>16104.12962962963</v>
      </c>
      <c r="N113" s="2" t="n">
        <v>5161.94</v>
      </c>
      <c r="O113" s="2" t="n">
        <v>10036.83</v>
      </c>
      <c r="P113" s="2" t="n">
        <v>2193.69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41718.74999999999</v>
      </c>
      <c r="AP113" s="2" t="n">
        <v>3051.649305555555</v>
      </c>
      <c r="AQ113" s="2" t="n">
        <v>38628.47222222221</v>
      </c>
      <c r="AR113" s="2" t="n">
        <v>13159.95</v>
      </c>
      <c r="AS113" s="2" t="n">
        <v>26150.53</v>
      </c>
      <c r="AT113" s="2" t="n">
        <v>2408.27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59111.20999999999</v>
      </c>
      <c r="BB113" s="2" t="n">
        <v>40789.32</v>
      </c>
      <c r="BC113" s="2">
        <f>F113+L113+R113+X113+AD113+AJ113+AP113+AV113+IF(BE113="",0,BE113)</f>
        <v/>
      </c>
      <c r="BD113" s="2" t="n">
        <v>628.155528</v>
      </c>
      <c r="BE113" s="2" t="n"/>
      <c r="BF113" s="2" t="n">
        <v>54732.60185185184</v>
      </c>
      <c r="BG113" s="2" t="n">
        <v>1387.63</v>
      </c>
      <c r="BH113" s="2" t="n">
        <v>177.6</v>
      </c>
      <c r="BI113" s="2" t="n">
        <v>39677.05</v>
      </c>
      <c r="BJ113" s="2" t="n">
        <v>90.55917355371901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550.6558199999999</v>
      </c>
      <c r="BQ113" s="2" t="n">
        <v>0</v>
      </c>
      <c r="BR113" s="2" t="n">
        <v>41908.49499355372</v>
      </c>
      <c r="BS113" s="2" t="n">
        <v>855.6128099173553</v>
      </c>
      <c r="BT113" s="2" t="n">
        <v>396.6942148760331</v>
      </c>
      <c r="BU113" s="2" t="n">
        <v>8522.029239669422</v>
      </c>
      <c r="BV113" s="2" t="n">
        <v>9774.336264462811</v>
      </c>
      <c r="BW113" s="2" t="n">
        <v>51682.83125801654</v>
      </c>
      <c r="BX113" s="2" t="n">
        <v>36187.36</v>
      </c>
      <c r="BY113" s="2" t="n">
        <v>4601.96</v>
      </c>
      <c r="BZ113" s="2" t="n">
        <v>18321.89</v>
      </c>
      <c r="CA113" s="2" t="n">
        <v>40789.32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1291</v>
      </c>
      <c r="B114" t="inlineStr">
        <is>
          <t>pl. Dworcowy 1, 82-300 Elbląg</t>
        </is>
      </c>
      <c r="C114" t="inlineStr">
        <is>
          <t>Elbląg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9375.68</v>
      </c>
      <c r="L114" s="2" t="n">
        <v>780.4385481481481</v>
      </c>
      <c r="M114" s="2" t="n">
        <v>8681.185185185184</v>
      </c>
      <c r="N114" s="2" t="n">
        <v>2254.37</v>
      </c>
      <c r="O114" s="2" t="n">
        <v>6994.11</v>
      </c>
      <c r="P114" s="2" t="n">
        <v>127.2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23771.61</v>
      </c>
      <c r="AP114" s="2" t="n">
        <v>1738.84925</v>
      </c>
      <c r="AQ114" s="2" t="n">
        <v>22010.75</v>
      </c>
      <c r="AR114" s="2" t="n">
        <v>6438.46</v>
      </c>
      <c r="AS114" s="2" t="n">
        <v>16477.42</v>
      </c>
      <c r="AT114" s="2" t="n">
        <v>855.73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33147.28999999999</v>
      </c>
      <c r="BB114" s="2" t="n">
        <v>24454.46</v>
      </c>
      <c r="BC114" s="2">
        <f>F114+L114+R114+X114+AD114+AJ114+AP114+AV114+IF(BE114="",0,BE114)</f>
        <v/>
      </c>
      <c r="BD114" s="2" t="n">
        <v>376.5986839999999</v>
      </c>
      <c r="BE114" s="2" t="n"/>
      <c r="BF114" s="2" t="n">
        <v>30691.93518518518</v>
      </c>
      <c r="BG114" s="2" t="n">
        <v>372.81</v>
      </c>
      <c r="BH114" s="2" t="n">
        <v>345</v>
      </c>
      <c r="BI114" s="2" t="n">
        <v>39677.05</v>
      </c>
      <c r="BJ114" s="2" t="n">
        <v>90.55917355371901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330.13521</v>
      </c>
      <c r="BQ114" s="2" t="n">
        <v>0</v>
      </c>
      <c r="BR114" s="2" t="n">
        <v>40840.55438355372</v>
      </c>
      <c r="BS114" s="2" t="n">
        <v>855.6128099173553</v>
      </c>
      <c r="BT114" s="2" t="n">
        <v>396.6942148760331</v>
      </c>
      <c r="BU114" s="2" t="n">
        <v>8352.545239669422</v>
      </c>
      <c r="BV114" s="2" t="n">
        <v>9604.85226446281</v>
      </c>
      <c r="BW114" s="2" t="n">
        <v>50445.40664801653</v>
      </c>
      <c r="BX114" s="2" t="n">
        <v>23471.53</v>
      </c>
      <c r="BY114" s="2" t="n">
        <v>982.9300000000001</v>
      </c>
      <c r="BZ114" s="2" t="n">
        <v>8692.83</v>
      </c>
      <c r="CA114" s="2" t="n">
        <v>24454.46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1292</v>
      </c>
      <c r="B115" t="inlineStr">
        <is>
          <t>Dworcowa 8A, 84-310 Lębork</t>
        </is>
      </c>
      <c r="C115" t="inlineStr">
        <is>
          <t>Lębork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7157.880000000001</v>
      </c>
      <c r="L115" s="2" t="n">
        <v>595.8272333333334</v>
      </c>
      <c r="M115" s="2" t="n">
        <v>6627.666666666667</v>
      </c>
      <c r="N115" s="2" t="n">
        <v>3346.26</v>
      </c>
      <c r="O115" s="2" t="n">
        <v>3469.03</v>
      </c>
      <c r="P115" s="2" t="n">
        <v>342.59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10086.55</v>
      </c>
      <c r="AP115" s="2" t="n">
        <v>4127</v>
      </c>
      <c r="AQ115" s="2" t="n">
        <v>9339.398148148148</v>
      </c>
      <c r="AR115" s="2" t="n">
        <v>4496.84</v>
      </c>
      <c r="AS115" s="2" t="n">
        <v>5062.86</v>
      </c>
      <c r="AT115" s="2" t="n">
        <v>526.85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17244.43</v>
      </c>
      <c r="BB115" s="2" t="n">
        <v>9401.33</v>
      </c>
      <c r="BC115" s="2">
        <f>F115+L115+R115+X115+AD115+AJ115+AP115+AV115+IF(BE115="",0,BE115)</f>
        <v/>
      </c>
      <c r="BD115" s="2" t="n">
        <v>144.780482</v>
      </c>
      <c r="BE115" s="2" t="n"/>
      <c r="BF115" s="2" t="n">
        <v>15967.06481481481</v>
      </c>
      <c r="BG115" s="2" t="n">
        <v>0</v>
      </c>
      <c r="BH115" s="2" t="n">
        <v>0</v>
      </c>
      <c r="BI115" s="2" t="n">
        <v>39677.05</v>
      </c>
      <c r="BJ115" s="2" t="n">
        <v>90.55917355371901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126.917955</v>
      </c>
      <c r="BQ115" s="2" t="n">
        <v>0</v>
      </c>
      <c r="BR115" s="2" t="n">
        <v>39919.52712855372</v>
      </c>
      <c r="BS115" s="2" t="n">
        <v>855.6128099173553</v>
      </c>
      <c r="BT115" s="2" t="n">
        <v>396.6942148760331</v>
      </c>
      <c r="BU115" s="2" t="n">
        <v>8208.983239669422</v>
      </c>
      <c r="BV115" s="2" t="n">
        <v>9461.29026446281</v>
      </c>
      <c r="BW115" s="2" t="n">
        <v>49380.81739301653</v>
      </c>
      <c r="BX115" s="2" t="n">
        <v>8531.889999999999</v>
      </c>
      <c r="BY115" s="2" t="n">
        <v>869.4400000000001</v>
      </c>
      <c r="BZ115" s="2" t="n">
        <v>7843.1</v>
      </c>
      <c r="CA115" s="2" t="n">
        <v>9401.33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1293</v>
      </c>
      <c r="B116" t="inlineStr">
        <is>
          <t>Dworcowa 10, 84-100 Puck</t>
        </is>
      </c>
      <c r="C116" t="inlineStr">
        <is>
          <t>Puck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430.4</v>
      </c>
      <c r="L116" s="2" t="n">
        <v>35.82681481481482</v>
      </c>
      <c r="M116" s="2" t="n">
        <v>398.5185185185185</v>
      </c>
      <c r="N116" s="2" t="n">
        <v>284.95</v>
      </c>
      <c r="O116" s="2" t="n">
        <v>145.45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10190.45</v>
      </c>
      <c r="AP116" s="2" t="n">
        <v>4227</v>
      </c>
      <c r="AQ116" s="2" t="n">
        <v>9435.60185185185</v>
      </c>
      <c r="AR116" s="2" t="n">
        <v>2571.74</v>
      </c>
      <c r="AS116" s="2" t="n">
        <v>6527.11</v>
      </c>
      <c r="AT116" s="2" t="n">
        <v>1091.6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10620.85</v>
      </c>
      <c r="BB116" s="2" t="n">
        <v>7764.159999999999</v>
      </c>
      <c r="BC116" s="2">
        <f>F116+L116+R116+X116+AD116+AJ116+AP116+AV116+IF(BE116="",0,BE116)</f>
        <v/>
      </c>
      <c r="BD116" s="2" t="n">
        <v>119.568064</v>
      </c>
      <c r="BE116" s="2" t="n"/>
      <c r="BF116" s="2" t="n">
        <v>9834.120370370369</v>
      </c>
      <c r="BG116" s="2" t="n">
        <v>0</v>
      </c>
      <c r="BH116" s="2" t="n">
        <v>0</v>
      </c>
      <c r="BI116" s="2" t="n">
        <v>39677.05</v>
      </c>
      <c r="BJ116" s="2" t="n">
        <v>90.55917355371901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104.81616</v>
      </c>
      <c r="BQ116" s="2" t="n">
        <v>0</v>
      </c>
      <c r="BR116" s="2" t="n">
        <v>39897.42533355372</v>
      </c>
      <c r="BS116" s="2" t="n">
        <v>855.6128099173553</v>
      </c>
      <c r="BT116" s="2" t="n">
        <v>396.6942148760331</v>
      </c>
      <c r="BU116" s="2" t="n">
        <v>8208.983239669422</v>
      </c>
      <c r="BV116" s="2" t="n">
        <v>9461.29026446281</v>
      </c>
      <c r="BW116" s="2" t="n">
        <v>49358.71559801653</v>
      </c>
      <c r="BX116" s="2" t="n">
        <v>6672.559999999999</v>
      </c>
      <c r="BY116" s="2" t="n">
        <v>1091.6</v>
      </c>
      <c r="BZ116" s="2" t="n">
        <v>2856.69</v>
      </c>
      <c r="CA116" s="2" t="n">
        <v>7764.16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1294</v>
      </c>
      <c r="B117" t="inlineStr">
        <is>
          <t>Plac Dworcowy 3, 49-300 Brzeg</t>
        </is>
      </c>
      <c r="C117" t="inlineStr">
        <is>
          <t>Brzeg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12955.36</v>
      </c>
      <c r="L117" s="2" t="n">
        <v>1078.413762962963</v>
      </c>
      <c r="M117" s="2" t="n">
        <v>11995.7037037037</v>
      </c>
      <c r="N117" s="2" t="n">
        <v>2088.07</v>
      </c>
      <c r="O117" s="2" t="n">
        <v>10467.04</v>
      </c>
      <c r="P117" s="2" t="n">
        <v>400.25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21626.53</v>
      </c>
      <c r="AP117" s="2" t="n">
        <v>1581.94062037037</v>
      </c>
      <c r="AQ117" s="2" t="n">
        <v>20024.56481481481</v>
      </c>
      <c r="AR117" s="2" t="n">
        <v>3707.51</v>
      </c>
      <c r="AS117" s="2" t="n">
        <v>17129.85</v>
      </c>
      <c r="AT117" s="2" t="n">
        <v>789.17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34581.89</v>
      </c>
      <c r="BB117" s="2" t="n">
        <v>28786.31</v>
      </c>
      <c r="BC117" s="2">
        <f>F117+L117+R117+X117+AD117+AJ117+AP117+AV117+IF(BE117="",0,BE117)</f>
        <v/>
      </c>
      <c r="BD117" s="2" t="n">
        <v>443.309174</v>
      </c>
      <c r="BE117" s="2" t="n"/>
      <c r="BF117" s="2" t="n">
        <v>32020.26851851852</v>
      </c>
      <c r="BG117" s="2" t="n">
        <v>0</v>
      </c>
      <c r="BH117" s="2" t="n">
        <v>219.2</v>
      </c>
      <c r="BI117" s="2" t="n">
        <v>1322.568333333333</v>
      </c>
      <c r="BJ117" s="2" t="n">
        <v>90.55917355371901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388.615185</v>
      </c>
      <c r="BQ117" s="2" t="n">
        <v>0</v>
      </c>
      <c r="BR117" s="2" t="n">
        <v>2045.942691887053</v>
      </c>
      <c r="BS117" s="2" t="n">
        <v>855.6128099173553</v>
      </c>
      <c r="BT117" s="2" t="n">
        <v>396.6942148760331</v>
      </c>
      <c r="BU117" s="2" t="n">
        <v>581.9269063360882</v>
      </c>
      <c r="BV117" s="2" t="n">
        <v>1834.233931129477</v>
      </c>
      <c r="BW117" s="2" t="n">
        <v>3880.176623016529</v>
      </c>
      <c r="BX117" s="2" t="n">
        <v>27596.89</v>
      </c>
      <c r="BY117" s="2" t="n">
        <v>1189.42</v>
      </c>
      <c r="BZ117" s="2" t="n">
        <v>5795.58</v>
      </c>
      <c r="CA117" s="2" t="n">
        <v>28786.31</v>
      </c>
      <c r="CB117" s="2">
        <f>(BC117+IF(BD117="",0,BD117))-BW117</f>
        <v/>
      </c>
    </row>
    <row r="118">
      <c r="A118" t="n">
        <v>1295</v>
      </c>
      <c r="B118" t="inlineStr">
        <is>
          <t>Zygmunta Starego 1, 64-920 Piła</t>
        </is>
      </c>
      <c r="C118" t="inlineStr">
        <is>
          <t>Piła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6668.7</v>
      </c>
      <c r="L118" s="2" t="n">
        <v>555.1075277777778</v>
      </c>
      <c r="M118" s="2" t="n">
        <v>6174.722222222222</v>
      </c>
      <c r="N118" s="2" t="n">
        <v>1806.21</v>
      </c>
      <c r="O118" s="2" t="n">
        <v>4547.69</v>
      </c>
      <c r="P118" s="2" t="n">
        <v>314.8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5687.530000000001</v>
      </c>
      <c r="AD118" s="2" t="n">
        <v>363.3699722222223</v>
      </c>
      <c r="AE118" s="2" t="n">
        <v>5266.231481481482</v>
      </c>
      <c r="AF118" s="2" t="n">
        <v>1260.94</v>
      </c>
      <c r="AG118" s="2" t="n">
        <v>4080.86</v>
      </c>
      <c r="AH118" s="2" t="n">
        <v>345.73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16249.18</v>
      </c>
      <c r="AP118" s="2" t="n">
        <v>1188.597425925926</v>
      </c>
      <c r="AQ118" s="2" t="n">
        <v>15045.53703703704</v>
      </c>
      <c r="AR118" s="2" t="n">
        <v>4168.91</v>
      </c>
      <c r="AS118" s="2" t="n">
        <v>11144.99</v>
      </c>
      <c r="AT118" s="2" t="n">
        <v>935.28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28605.41</v>
      </c>
      <c r="BB118" s="2" t="n">
        <v>21369.35</v>
      </c>
      <c r="BC118" s="2">
        <f>F118+L118+R118+X118+AD118+AJ118+AP118+AV118+IF(BE118="",0,BE118)</f>
        <v/>
      </c>
      <c r="BD118" s="2" t="n">
        <v>329.08799</v>
      </c>
      <c r="BE118" s="2" t="n"/>
      <c r="BF118" s="2" t="n">
        <v>26486.49074074074</v>
      </c>
      <c r="BG118" s="2" t="n">
        <v>0</v>
      </c>
      <c r="BH118" s="2" t="n">
        <v>0</v>
      </c>
      <c r="BI118" s="2" t="n">
        <v>39677.05</v>
      </c>
      <c r="BJ118" s="2" t="n">
        <v>90.55917355371901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288.486225</v>
      </c>
      <c r="BQ118" s="2" t="n">
        <v>0</v>
      </c>
      <c r="BR118" s="2" t="n">
        <v>40081.09539855372</v>
      </c>
      <c r="BS118" s="2" t="n">
        <v>855.6128099173553</v>
      </c>
      <c r="BT118" s="2" t="n">
        <v>396.6942148760331</v>
      </c>
      <c r="BU118" s="2" t="n">
        <v>8208.983239669422</v>
      </c>
      <c r="BV118" s="2" t="n">
        <v>9461.29026446281</v>
      </c>
      <c r="BW118" s="2" t="n">
        <v>49542.38566301653</v>
      </c>
      <c r="BX118" s="2" t="n">
        <v>19773.54</v>
      </c>
      <c r="BY118" s="2" t="n">
        <v>1595.81</v>
      </c>
      <c r="BZ118" s="2" t="n">
        <v>7236.059999999999</v>
      </c>
      <c r="CA118" s="2" t="n">
        <v>21369.35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1296</v>
      </c>
      <c r="B119" t="inlineStr">
        <is>
          <t>Dworcowa 2, 61-801 Poznań</t>
        </is>
      </c>
      <c r="C119" t="inlineStr">
        <is>
          <t>Poznań Główny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15556.38</v>
      </c>
      <c r="L119" s="2" t="n">
        <v>1294.924594444444</v>
      </c>
      <c r="M119" s="2" t="n">
        <v>14404.05555555555</v>
      </c>
      <c r="N119" s="2" t="n">
        <v>3333.61</v>
      </c>
      <c r="O119" s="2" t="n">
        <v>10933.79</v>
      </c>
      <c r="P119" s="2" t="n">
        <v>1288.98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23127.28</v>
      </c>
      <c r="AD119" s="2" t="n">
        <v>1477.576222222222</v>
      </c>
      <c r="AE119" s="2" t="n">
        <v>21414.14814814815</v>
      </c>
      <c r="AF119" s="2" t="n">
        <v>4969.11</v>
      </c>
      <c r="AG119" s="2" t="n">
        <v>17231.56</v>
      </c>
      <c r="AH119" s="2" t="n">
        <v>926.61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8311.630000000001</v>
      </c>
      <c r="AP119" s="2" t="n">
        <v>607.9803425925927</v>
      </c>
      <c r="AQ119" s="2" t="n">
        <v>7695.953703703704</v>
      </c>
      <c r="AR119" s="2" t="n">
        <v>1730.71</v>
      </c>
      <c r="AS119" s="2" t="n">
        <v>6128.26</v>
      </c>
      <c r="AT119" s="2" t="n">
        <v>452.66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46995.29000000001</v>
      </c>
      <c r="BB119" s="2" t="n">
        <v>36961.86</v>
      </c>
      <c r="BC119" s="2">
        <f>F119+L119+R119+X119+AD119+AJ119+AP119+AV119+IF(BE119="",0,BE119)</f>
        <v/>
      </c>
      <c r="BD119" s="2" t="n">
        <v>569.2126440000001</v>
      </c>
      <c r="BE119" s="2" t="n"/>
      <c r="BF119" s="2" t="n">
        <v>43514.15740740742</v>
      </c>
      <c r="BG119" s="2" t="n">
        <v>458.58</v>
      </c>
      <c r="BH119" s="2" t="n">
        <v>0</v>
      </c>
      <c r="BI119" s="2" t="n">
        <v>39677.05</v>
      </c>
      <c r="BJ119" s="2" t="n">
        <v>90.55917355371901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498.98511</v>
      </c>
      <c r="BQ119" s="2" t="n">
        <v>0</v>
      </c>
      <c r="BR119" s="2" t="n">
        <v>40750.17428355372</v>
      </c>
      <c r="BS119" s="2" t="n">
        <v>855.6128099173553</v>
      </c>
      <c r="BT119" s="2" t="n">
        <v>396.6942148760331</v>
      </c>
      <c r="BU119" s="2" t="n">
        <v>8300.699239669422</v>
      </c>
      <c r="BV119" s="2" t="n">
        <v>9553.006264462811</v>
      </c>
      <c r="BW119" s="2" t="n">
        <v>50303.18054801653</v>
      </c>
      <c r="BX119" s="2" t="n">
        <v>34293.61</v>
      </c>
      <c r="BY119" s="2" t="n">
        <v>2668.25</v>
      </c>
      <c r="BZ119" s="2" t="n">
        <v>10033.43</v>
      </c>
      <c r="CA119" s="2" t="n">
        <v>36961.86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1297</v>
      </c>
      <c r="B120" t="inlineStr">
        <is>
          <t>Dworcowa 2, 61-801 Poznań</t>
        </is>
      </c>
      <c r="C120" t="inlineStr">
        <is>
          <t>Poznań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11933.25</v>
      </c>
      <c r="L120" s="2" t="n">
        <v>993.3325694444444</v>
      </c>
      <c r="M120" s="2" t="n">
        <v>11049.30555555555</v>
      </c>
      <c r="N120" s="2" t="n">
        <v>2771.39</v>
      </c>
      <c r="O120" s="2" t="n">
        <v>8327.190000000001</v>
      </c>
      <c r="P120" s="2" t="n">
        <v>834.67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15809.82</v>
      </c>
      <c r="AD120" s="2" t="n">
        <v>1010.071833333333</v>
      </c>
      <c r="AE120" s="2" t="n">
        <v>14638.72222222222</v>
      </c>
      <c r="AF120" s="2" t="n">
        <v>2216.19</v>
      </c>
      <c r="AG120" s="2" t="n">
        <v>12346.69</v>
      </c>
      <c r="AH120" s="2" t="n">
        <v>1246.94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6733.87</v>
      </c>
      <c r="AP120" s="2" t="n">
        <v>492.5701203703703</v>
      </c>
      <c r="AQ120" s="2" t="n">
        <v>6235.064814814814</v>
      </c>
      <c r="AR120" s="2" t="n">
        <v>1266.02</v>
      </c>
      <c r="AS120" s="2" t="n">
        <v>4916.46</v>
      </c>
      <c r="AT120" s="2" t="n">
        <v>551.39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34476.94</v>
      </c>
      <c r="BB120" s="2" t="n">
        <v>28223.34</v>
      </c>
      <c r="BC120" s="2">
        <f>F120+L120+R120+X120+AD120+AJ120+AP120+AV120+IF(BE120="",0,BE120)</f>
        <v/>
      </c>
      <c r="BD120" s="2" t="n">
        <v>434.639436</v>
      </c>
      <c r="BE120" s="2" t="n"/>
      <c r="BF120" s="2" t="n">
        <v>31923.09259259259</v>
      </c>
      <c r="BG120" s="2" t="n">
        <v>458.58</v>
      </c>
      <c r="BH120" s="2" t="n">
        <v>0</v>
      </c>
      <c r="BI120" s="2" t="n">
        <v>39677.05</v>
      </c>
      <c r="BJ120" s="2" t="n">
        <v>90.55917355371901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381.01509</v>
      </c>
      <c r="BQ120" s="2" t="n">
        <v>0</v>
      </c>
      <c r="BR120" s="2" t="n">
        <v>40632.20426355372</v>
      </c>
      <c r="BS120" s="2" t="n">
        <v>855.6128099173553</v>
      </c>
      <c r="BT120" s="2" t="n">
        <v>396.6942148760331</v>
      </c>
      <c r="BU120" s="2" t="n">
        <v>8300.699239669422</v>
      </c>
      <c r="BV120" s="2" t="n">
        <v>9553.006264462811</v>
      </c>
      <c r="BW120" s="2" t="n">
        <v>50185.21052801653</v>
      </c>
      <c r="BX120" s="2" t="n">
        <v>25590.34</v>
      </c>
      <c r="BY120" s="2" t="n">
        <v>2633</v>
      </c>
      <c r="BZ120" s="2" t="n">
        <v>6253.6</v>
      </c>
      <c r="CA120" s="2" t="n">
        <v>28223.34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t="n">
        <v>1298</v>
      </c>
      <c r="B121" t="inlineStr">
        <is>
          <t>Kolumba 2, 70-035 Szczecin</t>
        </is>
      </c>
      <c r="C121" t="inlineStr">
        <is>
          <t>Szczecin</t>
        </is>
      </c>
      <c r="D121" t="inlineStr">
        <is>
          <t>FAA2000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17635.3</v>
      </c>
      <c r="L121" s="2" t="n">
        <v>1467.975435185185</v>
      </c>
      <c r="M121" s="2" t="n">
        <v>16328.98148148148</v>
      </c>
      <c r="N121" s="2" t="n">
        <v>6369.54</v>
      </c>
      <c r="O121" s="2" t="n">
        <v>10500.56</v>
      </c>
      <c r="P121" s="2" t="n">
        <v>765.2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32336.57</v>
      </c>
      <c r="AP121" s="2" t="n">
        <v>2365.360212962963</v>
      </c>
      <c r="AQ121" s="2" t="n">
        <v>29941.26851851851</v>
      </c>
      <c r="AR121" s="2" t="n">
        <v>10516</v>
      </c>
      <c r="AS121" s="2" t="n">
        <v>19164.02</v>
      </c>
      <c r="AT121" s="2" t="n">
        <v>2656.55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49971.87</v>
      </c>
      <c r="BB121" s="2" t="n">
        <v>33086.33</v>
      </c>
      <c r="BC121" s="2">
        <f>F121+L121+R121+X121+AD121+AJ121+AP121+AV121+IF(BE121="",0,BE121)</f>
        <v/>
      </c>
      <c r="BD121" s="2" t="n">
        <v>509.529482</v>
      </c>
      <c r="BE121" s="2" t="n"/>
      <c r="BF121" s="2" t="n">
        <v>46270.24999999999</v>
      </c>
      <c r="BG121" s="2" t="n">
        <v>1387.63</v>
      </c>
      <c r="BH121" s="2" t="n">
        <v>177.6</v>
      </c>
      <c r="BI121" s="2" t="n">
        <v>39677.05</v>
      </c>
      <c r="BJ121" s="2" t="n">
        <v>90.55917355371901</v>
      </c>
      <c r="BK121" s="2" t="n">
        <v>0</v>
      </c>
      <c r="BL121" s="2" t="n">
        <v>20</v>
      </c>
      <c r="BM121" s="2" t="n">
        <v>0</v>
      </c>
      <c r="BN121" s="2" t="n">
        <v>5</v>
      </c>
      <c r="BO121" s="2" t="n">
        <v>0</v>
      </c>
      <c r="BP121" s="2" t="n">
        <v>446.665455</v>
      </c>
      <c r="BQ121" s="2" t="n">
        <v>0</v>
      </c>
      <c r="BR121" s="2" t="n">
        <v>41804.50462855372</v>
      </c>
      <c r="BS121" s="2" t="n">
        <v>855.6128099173553</v>
      </c>
      <c r="BT121" s="2" t="n">
        <v>396.6942148760331</v>
      </c>
      <c r="BU121" s="2" t="n">
        <v>8522.029239669422</v>
      </c>
      <c r="BV121" s="2" t="n">
        <v>9774.336264462811</v>
      </c>
      <c r="BW121" s="2" t="n">
        <v>51578.84089301653</v>
      </c>
      <c r="BX121" s="2" t="n">
        <v>29664.58</v>
      </c>
      <c r="BY121" s="2" t="n">
        <v>3421.75</v>
      </c>
      <c r="BZ121" s="2" t="n">
        <v>16885.54</v>
      </c>
      <c r="CA121" s="2" t="n">
        <v>33086.33</v>
      </c>
      <c r="CB121" s="2">
        <f>(BC121+IF(BD121="",0,BD121))-BW121</f>
        <v/>
      </c>
      <c r="CC121" t="inlineStr">
        <is>
          <t>ALERT: profit/loss &lt;= -5000</t>
        </is>
      </c>
    </row>
    <row r="122">
      <c r="A122" t="n">
        <v>1299</v>
      </c>
      <c r="B122" t="inlineStr">
        <is>
          <t>Pawia 5a, 31-154 Kraków</t>
        </is>
      </c>
      <c r="C122" t="inlineStr">
        <is>
          <t>Kraków Główny</t>
        </is>
      </c>
      <c r="D122" t="inlineStr">
        <is>
          <t>FAA2000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22387.33</v>
      </c>
      <c r="L122" s="2" t="n">
        <v>1863.537932407408</v>
      </c>
      <c r="M122" s="2" t="n">
        <v>20729.00925925926</v>
      </c>
      <c r="N122" s="2" t="n">
        <v>5615.51</v>
      </c>
      <c r="O122" s="2" t="n">
        <v>16036.67</v>
      </c>
      <c r="P122" s="2" t="n">
        <v>735.15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16588.95</v>
      </c>
      <c r="X122" s="2" t="n">
        <v>750</v>
      </c>
      <c r="Y122" s="2" t="n">
        <v>15360.13888888889</v>
      </c>
      <c r="Z122" s="2" t="n">
        <v>2056.23</v>
      </c>
      <c r="AA122" s="2" t="n">
        <v>14280.3</v>
      </c>
      <c r="AB122" s="2" t="n">
        <v>252.42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9689.320000000002</v>
      </c>
      <c r="AP122" s="2" t="n">
        <v>708.7558148148148</v>
      </c>
      <c r="AQ122" s="2" t="n">
        <v>8971.592592592593</v>
      </c>
      <c r="AR122" s="2" t="n">
        <v>1859.32</v>
      </c>
      <c r="AS122" s="2" t="n">
        <v>7697.96</v>
      </c>
      <c r="AT122" s="2" t="n">
        <v>132.04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48665.6</v>
      </c>
      <c r="BB122" s="2" t="n">
        <v>39134.54</v>
      </c>
      <c r="BC122" s="2">
        <f>F122+L122+R122+X122+AD122+AJ122+AP122+AV122+IF(BE122="",0,BE122)</f>
        <v/>
      </c>
      <c r="BD122" s="2" t="n">
        <v>575.059748</v>
      </c>
      <c r="BE122" s="2" t="n"/>
      <c r="BF122" s="2" t="n">
        <v>45060.74074074074</v>
      </c>
      <c r="BG122" s="2" t="n">
        <v>600</v>
      </c>
      <c r="BH122" s="2" t="n">
        <v>100</v>
      </c>
      <c r="BI122" s="2" t="n">
        <v>2645.136666666667</v>
      </c>
      <c r="BJ122" s="2" t="n">
        <v>90.55917355371901</v>
      </c>
      <c r="BK122" s="2" t="n">
        <v>0</v>
      </c>
      <c r="BL122" s="2" t="n">
        <v>20</v>
      </c>
      <c r="BM122" s="2" t="n">
        <v>0</v>
      </c>
      <c r="BN122" s="2" t="n">
        <v>5</v>
      </c>
      <c r="BO122" s="2" t="n">
        <v>0</v>
      </c>
      <c r="BP122" s="2" t="n">
        <v>528.31629</v>
      </c>
      <c r="BQ122" s="2" t="n">
        <v>0</v>
      </c>
      <c r="BR122" s="2" t="n">
        <v>3989.012130220386</v>
      </c>
      <c r="BS122" s="2" t="n">
        <v>855.6128099173553</v>
      </c>
      <c r="BT122" s="2" t="n">
        <v>396.6942148760331</v>
      </c>
      <c r="BU122" s="2" t="n">
        <v>942.6005730027548</v>
      </c>
      <c r="BV122" s="2" t="n">
        <v>2194.907597796143</v>
      </c>
      <c r="BW122" s="2" t="n">
        <v>6183.919728016529</v>
      </c>
      <c r="BX122" s="2" t="n">
        <v>38014.93</v>
      </c>
      <c r="BY122" s="2" t="n">
        <v>1119.61</v>
      </c>
      <c r="BZ122" s="2" t="n">
        <v>9531.059999999999</v>
      </c>
      <c r="CA122" s="2" t="n">
        <v>39134.54</v>
      </c>
      <c r="CB122" s="2">
        <f>(BC122+IF(BD122="",0,BD122))-BW122</f>
        <v/>
      </c>
    </row>
    <row r="123">
      <c r="A123" s="3" t="inlineStr">
        <is>
          <t>PODSUMOWANIE</t>
        </is>
      </c>
      <c r="B123" s="3" t="n"/>
      <c r="C123" s="3" t="n"/>
      <c r="D123" s="3" t="n"/>
      <c r="E123" s="4">
        <f>SUM(E2:E122)</f>
        <v/>
      </c>
      <c r="F123" s="4">
        <f>SUM(F2:F122)</f>
        <v/>
      </c>
      <c r="G123" s="4">
        <f>SUM(G2:G122)</f>
        <v/>
      </c>
      <c r="H123" s="4">
        <f>SUM(H2:H122)</f>
        <v/>
      </c>
      <c r="I123" s="4">
        <f>SUM(I2:I122)</f>
        <v/>
      </c>
      <c r="J123" s="4">
        <f>SUM(J2:J122)</f>
        <v/>
      </c>
      <c r="K123" s="4">
        <f>SUM(K2:K122)</f>
        <v/>
      </c>
      <c r="L123" s="4">
        <f>SUM(L2:L122)</f>
        <v/>
      </c>
      <c r="M123" s="4">
        <f>SUM(M2:M122)</f>
        <v/>
      </c>
      <c r="N123" s="4">
        <f>SUM(N2:N122)</f>
        <v/>
      </c>
      <c r="O123" s="4">
        <f>SUM(O2:O122)</f>
        <v/>
      </c>
      <c r="P123" s="4">
        <f>SUM(P2:P122)</f>
        <v/>
      </c>
      <c r="Q123" s="4">
        <f>SUM(Q2:Q122)</f>
        <v/>
      </c>
      <c r="R123" s="4">
        <f>SUM(R2:R122)</f>
        <v/>
      </c>
      <c r="S123" s="4">
        <f>SUM(S2:S122)</f>
        <v/>
      </c>
      <c r="T123" s="4">
        <f>SUM(T2:T122)</f>
        <v/>
      </c>
      <c r="U123" s="4">
        <f>SUM(U2:U122)</f>
        <v/>
      </c>
      <c r="V123" s="4">
        <f>SUM(V2:V122)</f>
        <v/>
      </c>
      <c r="W123" s="4">
        <f>SUM(W2:W122)</f>
        <v/>
      </c>
      <c r="X123" s="4">
        <f>SUM(X2:X122)</f>
        <v/>
      </c>
      <c r="Y123" s="4">
        <f>SUM(Y2:Y122)</f>
        <v/>
      </c>
      <c r="Z123" s="4">
        <f>SUM(Z2:Z122)</f>
        <v/>
      </c>
      <c r="AA123" s="4">
        <f>SUM(AA2:AA122)</f>
        <v/>
      </c>
      <c r="AB123" s="4">
        <f>SUM(AB2:AB122)</f>
        <v/>
      </c>
      <c r="AC123" s="4">
        <f>SUM(AC2:AC122)</f>
        <v/>
      </c>
      <c r="AD123" s="4">
        <f>SUM(AD2:AD122)</f>
        <v/>
      </c>
      <c r="AE123" s="4">
        <f>SUM(AE2:AE122)</f>
        <v/>
      </c>
      <c r="AF123" s="4">
        <f>SUM(AF2:AF122)</f>
        <v/>
      </c>
      <c r="AG123" s="4">
        <f>SUM(AG2:AG122)</f>
        <v/>
      </c>
      <c r="AH123" s="4">
        <f>SUM(AH2:AH122)</f>
        <v/>
      </c>
      <c r="AI123" s="4">
        <f>SUM(AI2:AI122)</f>
        <v/>
      </c>
      <c r="AJ123" s="4">
        <f>SUM(AJ2:AJ122)</f>
        <v/>
      </c>
      <c r="AK123" s="4">
        <f>SUM(AK2:AK122)</f>
        <v/>
      </c>
      <c r="AL123" s="4">
        <f>SUM(AL2:AL122)</f>
        <v/>
      </c>
      <c r="AM123" s="4">
        <f>SUM(AM2:AM122)</f>
        <v/>
      </c>
      <c r="AN123" s="4">
        <f>SUM(AN2:AN122)</f>
        <v/>
      </c>
      <c r="AO123" s="4">
        <f>SUM(AO2:AO122)</f>
        <v/>
      </c>
      <c r="AP123" s="4">
        <f>SUM(AP2:AP122)</f>
        <v/>
      </c>
      <c r="AQ123" s="4">
        <f>SUM(AQ2:AQ122)</f>
        <v/>
      </c>
      <c r="AR123" s="4">
        <f>SUM(AR2:AR122)</f>
        <v/>
      </c>
      <c r="AS123" s="4">
        <f>SUM(AS2:AS122)</f>
        <v/>
      </c>
      <c r="AT123" s="4">
        <f>SUM(AT2:AT122)</f>
        <v/>
      </c>
      <c r="AU123" s="4">
        <f>SUM(AU2:AU122)</f>
        <v/>
      </c>
      <c r="AV123" s="4">
        <f>SUM(AV2:AV122)</f>
        <v/>
      </c>
      <c r="AW123" s="4">
        <f>SUM(AW2:AW122)</f>
        <v/>
      </c>
      <c r="AX123" s="4">
        <f>SUM(AX2:AX122)</f>
        <v/>
      </c>
      <c r="AY123" s="4">
        <f>SUM(AY2:AY122)</f>
        <v/>
      </c>
      <c r="AZ123" s="4">
        <f>SUM(AZ2:AZ122)</f>
        <v/>
      </c>
      <c r="BA123" s="4">
        <f>SUM(BA2:BA122)</f>
        <v/>
      </c>
      <c r="BB123" s="4">
        <f>SUM(BB2:BB122)</f>
        <v/>
      </c>
      <c r="BC123" s="4">
        <f>SUM(BC2:BC122)</f>
        <v/>
      </c>
      <c r="BD123" s="4">
        <f>SUM(BD2:BD122)</f>
        <v/>
      </c>
      <c r="BE123" s="4">
        <f>SUM(BE2:BE122)</f>
        <v/>
      </c>
      <c r="BF123" s="4">
        <f>SUM(BF2:BF122)</f>
        <v/>
      </c>
      <c r="BG123" s="4">
        <f>SUM(BG2:BG122)</f>
        <v/>
      </c>
      <c r="BH123" s="4">
        <f>SUM(BH2:BH122)</f>
        <v/>
      </c>
      <c r="BI123" s="4">
        <f>SUM(BI2:BI122)</f>
        <v/>
      </c>
      <c r="BJ123" s="4">
        <f>SUM(BJ2:BJ122)</f>
        <v/>
      </c>
      <c r="BK123" s="4">
        <f>SUM(BK2:BK122)</f>
        <v/>
      </c>
      <c r="BL123" s="4">
        <f>SUM(BL2:BL122)</f>
        <v/>
      </c>
      <c r="BM123" s="4">
        <f>SUM(BM2:BM122)</f>
        <v/>
      </c>
      <c r="BN123" s="4">
        <f>SUM(BN2:BN122)</f>
        <v/>
      </c>
      <c r="BO123" s="4">
        <f>SUM(BO2:BO122)</f>
        <v/>
      </c>
      <c r="BP123" s="4">
        <f>SUM(BP2:BP122)</f>
        <v/>
      </c>
      <c r="BQ123" s="4">
        <f>SUM(BQ2:BQ122)</f>
        <v/>
      </c>
      <c r="BR123" s="4">
        <f>SUM(BR2:BR122)</f>
        <v/>
      </c>
      <c r="BS123" s="4">
        <f>SUM(BS2:BS122)</f>
        <v/>
      </c>
      <c r="BT123" s="4">
        <f>SUM(BT2:BT122)</f>
        <v/>
      </c>
      <c r="BU123" s="4">
        <f>SUM(BU2:BU122)</f>
        <v/>
      </c>
      <c r="BV123" s="4">
        <f>SUM(BV2:BV122)</f>
        <v/>
      </c>
      <c r="BW123" s="4">
        <f>SUM(BW2:BW122)</f>
        <v/>
      </c>
      <c r="BX123" s="4">
        <f>SUM(BX2:BX122)</f>
        <v/>
      </c>
      <c r="BY123" s="4">
        <f>SUM(BY2:BY122)</f>
        <v/>
      </c>
      <c r="BZ123" s="4">
        <f>SUM(BZ2:BZ122)</f>
        <v/>
      </c>
      <c r="CA123" s="4">
        <f>SUM(CA2:CA122)</f>
        <v/>
      </c>
      <c r="CB123" s="4">
        <f>SUM(CB2:CB122)</f>
        <v/>
      </c>
      <c r="CC123" s="3" t="n"/>
    </row>
  </sheetData>
  <conditionalFormatting sqref="CB2:CB122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2" customWidth="1" min="36" max="36"/>
    <col width="21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19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20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24074.81</v>
      </c>
      <c r="L2" s="2" t="n">
        <v>2004.005017592592</v>
      </c>
      <c r="M2" s="2" t="n">
        <v>22291.49074074074</v>
      </c>
      <c r="N2" s="2" t="n">
        <v>0</v>
      </c>
      <c r="O2" s="2" t="n">
        <v>23245.26</v>
      </c>
      <c r="P2" s="2" t="n">
        <v>829.55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33515.87</v>
      </c>
      <c r="X2" s="2" t="n">
        <v>750</v>
      </c>
      <c r="Y2" s="2" t="n">
        <v>31033.21296296296</v>
      </c>
      <c r="Z2" s="2" t="n">
        <v>0</v>
      </c>
      <c r="AA2" s="2" t="n">
        <v>32700.72</v>
      </c>
      <c r="AB2" s="2" t="n">
        <v>815.15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17492.61</v>
      </c>
      <c r="AP2" s="2" t="n">
        <v>809.8430555555556</v>
      </c>
      <c r="AQ2" s="2" t="n">
        <v>16196.86111111111</v>
      </c>
      <c r="AR2" s="2" t="n">
        <v>0</v>
      </c>
      <c r="AS2" s="2" t="n">
        <v>16703.73</v>
      </c>
      <c r="AT2" s="2" t="n">
        <v>788.88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75083.29000000001</v>
      </c>
      <c r="BB2" s="2" t="n">
        <v>75083.29000000001</v>
      </c>
      <c r="BC2" s="2">
        <f>F2+L2+R2+X2+AD2+AJ2+AP2+AV2+IF(BE2="",0,BE2)</f>
        <v/>
      </c>
      <c r="BD2" s="2" t="n">
        <v>1092.602513</v>
      </c>
      <c r="BE2" s="2" t="n"/>
      <c r="BF2" s="2" t="n">
        <v>69521.56481481482</v>
      </c>
      <c r="BG2" s="2" t="n">
        <v>1175.06</v>
      </c>
      <c r="BH2" s="2" t="n">
        <v>264</v>
      </c>
      <c r="BI2" s="2" t="n">
        <v>48703.25</v>
      </c>
      <c r="BJ2" s="2" t="n">
        <v>99.91589743589743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1013.624415</v>
      </c>
      <c r="BQ2" s="2" t="n">
        <v>451.034188034188</v>
      </c>
      <c r="BR2" s="2" t="n">
        <v>51731.88450047008</v>
      </c>
      <c r="BS2" s="2" t="n">
        <v>869.1994017094017</v>
      </c>
      <c r="BT2" s="2" t="n">
        <v>0</v>
      </c>
      <c r="BU2" s="2" t="n">
        <v>10317.4918974359</v>
      </c>
      <c r="BV2" s="2" t="n">
        <v>11186.6912991453</v>
      </c>
      <c r="BW2" s="2" t="n">
        <v>62918.57579961538</v>
      </c>
      <c r="BX2" s="2" t="n">
        <v>72649.70999999999</v>
      </c>
      <c r="BY2" s="2" t="n">
        <v>2433.58</v>
      </c>
      <c r="BZ2" s="2" t="n">
        <v>0</v>
      </c>
      <c r="CA2" s="2" t="n">
        <v>75083.28999999999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3083.83</v>
      </c>
      <c r="L3" s="2" t="n">
        <v>256.7002935185185</v>
      </c>
      <c r="M3" s="2" t="n">
        <v>2855.398148148148</v>
      </c>
      <c r="N3" s="2" t="n">
        <v>0</v>
      </c>
      <c r="O3" s="2" t="n">
        <v>2708.13</v>
      </c>
      <c r="P3" s="2" t="n">
        <v>375.7</v>
      </c>
      <c r="Q3" s="2" t="n">
        <v>2239.61</v>
      </c>
      <c r="R3" s="2" t="n">
        <v>155.5284722222222</v>
      </c>
      <c r="S3" s="2" t="n">
        <v>2073.712962962963</v>
      </c>
      <c r="T3" s="2" t="n">
        <v>0</v>
      </c>
      <c r="U3" s="2" t="n">
        <v>2055.71</v>
      </c>
      <c r="V3" s="2" t="n">
        <v>183.9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5596.599999999999</v>
      </c>
      <c r="AP3" s="2" t="n">
        <v>259.1018518518518</v>
      </c>
      <c r="AQ3" s="2" t="n">
        <v>5182.037037037036</v>
      </c>
      <c r="AR3" s="2" t="n">
        <v>0</v>
      </c>
      <c r="AS3" s="2" t="n">
        <v>5317.94</v>
      </c>
      <c r="AT3" s="2" t="n">
        <v>278.66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10920.04</v>
      </c>
      <c r="BB3" s="2" t="n">
        <v>10920.04</v>
      </c>
      <c r="BC3" s="2">
        <f>F3+L3+R3+X3+AD3+AJ3+AP3+AV3+IF(BE3="",0,BE3)</f>
        <v/>
      </c>
      <c r="BD3" s="2" t="n">
        <v>168.168616</v>
      </c>
      <c r="BE3" s="2" t="n"/>
      <c r="BF3" s="2" t="n">
        <v>10111.14814814815</v>
      </c>
      <c r="BG3" s="2" t="n">
        <v>0</v>
      </c>
      <c r="BH3" s="2" t="n">
        <v>0</v>
      </c>
      <c r="BI3" s="2" t="n">
        <v>48703.25</v>
      </c>
      <c r="BJ3" s="2" t="n">
        <v>99.91589743589743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147.42054</v>
      </c>
      <c r="BQ3" s="2" t="n">
        <v>451.034188034188</v>
      </c>
      <c r="BR3" s="2" t="n">
        <v>49426.62062547008</v>
      </c>
      <c r="BS3" s="2" t="n">
        <v>869.1994017094017</v>
      </c>
      <c r="BT3" s="2" t="n">
        <v>0</v>
      </c>
      <c r="BU3" s="2" t="n">
        <v>10029.6798974359</v>
      </c>
      <c r="BV3" s="2" t="n">
        <v>10898.8792991453</v>
      </c>
      <c r="BW3" s="2" t="n">
        <v>60325.49992461538</v>
      </c>
      <c r="BX3" s="2" t="n">
        <v>10081.78</v>
      </c>
      <c r="BY3" s="2" t="n">
        <v>838.26</v>
      </c>
      <c r="BZ3" s="2" t="n">
        <v>0</v>
      </c>
      <c r="CA3" s="2" t="n">
        <v>10920.04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6827.12</v>
      </c>
      <c r="L4" s="2" t="n">
        <v>568.2945259259259</v>
      </c>
      <c r="M4" s="2" t="n">
        <v>6321.407407407407</v>
      </c>
      <c r="N4" s="2" t="n">
        <v>0</v>
      </c>
      <c r="O4" s="2" t="n">
        <v>6255.32</v>
      </c>
      <c r="P4" s="2" t="n">
        <v>571.8</v>
      </c>
      <c r="Q4" s="2" t="n">
        <v>20900.1</v>
      </c>
      <c r="R4" s="2" t="n">
        <v>500</v>
      </c>
      <c r="S4" s="2" t="n">
        <v>19351.94444444444</v>
      </c>
      <c r="T4" s="2" t="n">
        <v>0</v>
      </c>
      <c r="U4" s="2" t="n">
        <v>20057.82</v>
      </c>
      <c r="V4" s="2" t="n">
        <v>842.28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7147.98</v>
      </c>
      <c r="AP4" s="2" t="n">
        <v>330.925</v>
      </c>
      <c r="AQ4" s="2" t="n">
        <v>6618.5</v>
      </c>
      <c r="AR4" s="2" t="n">
        <v>0</v>
      </c>
      <c r="AS4" s="2" t="n">
        <v>6921.47</v>
      </c>
      <c r="AT4" s="2" t="n">
        <v>226.51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34875.2</v>
      </c>
      <c r="BB4" s="2" t="n">
        <v>34875.2</v>
      </c>
      <c r="BC4" s="2">
        <f>F4+L4+R4+X4+AD4+AJ4+AP4+AV4+IF(BE4="",0,BE4)</f>
        <v/>
      </c>
      <c r="BD4" s="2" t="n">
        <v>537.07808</v>
      </c>
      <c r="BE4" s="2" t="n"/>
      <c r="BF4" s="2" t="n">
        <v>32291.85185185185</v>
      </c>
      <c r="BG4" s="2" t="n">
        <v>0</v>
      </c>
      <c r="BH4" s="2" t="n">
        <v>0</v>
      </c>
      <c r="BI4" s="2" t="n">
        <v>48703.25</v>
      </c>
      <c r="BJ4" s="2" t="n">
        <v>99.91589743589743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470.8151999999999</v>
      </c>
      <c r="BQ4" s="2" t="n">
        <v>451.034188034188</v>
      </c>
      <c r="BR4" s="2" t="n">
        <v>49750.01528547008</v>
      </c>
      <c r="BS4" s="2" t="n">
        <v>869.1994017094017</v>
      </c>
      <c r="BT4" s="2" t="n">
        <v>0</v>
      </c>
      <c r="BU4" s="2" t="n">
        <v>10029.6798974359</v>
      </c>
      <c r="BV4" s="2" t="n">
        <v>10898.8792991453</v>
      </c>
      <c r="BW4" s="2" t="n">
        <v>60648.89458461538</v>
      </c>
      <c r="BX4" s="2" t="n">
        <v>33234.61</v>
      </c>
      <c r="BY4" s="2" t="n">
        <v>1640.59</v>
      </c>
      <c r="BZ4" s="2" t="n">
        <v>0</v>
      </c>
      <c r="CA4" s="2" t="n">
        <v>34875.2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30938.35</v>
      </c>
      <c r="L5" s="2" t="n">
        <v>2575.331171296296</v>
      </c>
      <c r="M5" s="2" t="n">
        <v>28646.62037037037</v>
      </c>
      <c r="N5" s="2" t="n">
        <v>0</v>
      </c>
      <c r="O5" s="2" t="n">
        <v>28219.59</v>
      </c>
      <c r="P5" s="2" t="n">
        <v>2718.76</v>
      </c>
      <c r="Q5" s="2" t="n">
        <v>47.5</v>
      </c>
      <c r="R5" s="2" t="n">
        <v>3.298611111111111</v>
      </c>
      <c r="S5" s="2" t="n">
        <v>43.98148148148148</v>
      </c>
      <c r="T5" s="2" t="n">
        <v>0</v>
      </c>
      <c r="U5" s="2" t="n">
        <v>47.5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45323.24000000001</v>
      </c>
      <c r="AD5" s="2" t="n">
        <v>2895.651444444445</v>
      </c>
      <c r="AE5" s="2" t="n">
        <v>41965.96296296296</v>
      </c>
      <c r="AF5" s="2" t="n">
        <v>0</v>
      </c>
      <c r="AG5" s="2" t="n">
        <v>41164.9</v>
      </c>
      <c r="AH5" s="2" t="n">
        <v>4158.34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18756.17</v>
      </c>
      <c r="AP5" s="2" t="n">
        <v>868.3412037037037</v>
      </c>
      <c r="AQ5" s="2" t="n">
        <v>17366.82407407407</v>
      </c>
      <c r="AR5" s="2" t="n">
        <v>0</v>
      </c>
      <c r="AS5" s="2" t="n">
        <v>17312.26</v>
      </c>
      <c r="AT5" s="2" t="n">
        <v>1443.91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95065.25999999999</v>
      </c>
      <c r="BB5" s="2" t="n">
        <v>95065.25999999999</v>
      </c>
      <c r="BC5" s="2">
        <f>F5+L5+R5+X5+AD5+AJ5+AP5+AV5+IF(BE5="",0,BE5)</f>
        <v/>
      </c>
      <c r="BD5" s="2" t="n">
        <v>1464.005004</v>
      </c>
      <c r="BE5" s="2" t="n"/>
      <c r="BF5" s="2" t="n">
        <v>88023.38888888889</v>
      </c>
      <c r="BG5" s="2" t="n">
        <v>0</v>
      </c>
      <c r="BH5" s="2" t="n">
        <v>0</v>
      </c>
      <c r="BI5" s="2" t="n">
        <v>48703.25</v>
      </c>
      <c r="BJ5" s="2" t="n">
        <v>99.91589743589743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1283.38101</v>
      </c>
      <c r="BQ5" s="2" t="n">
        <v>451.034188034188</v>
      </c>
      <c r="BR5" s="2" t="n">
        <v>50562.58109547008</v>
      </c>
      <c r="BS5" s="2" t="n">
        <v>869.1994017094017</v>
      </c>
      <c r="BT5" s="2" t="n">
        <v>0</v>
      </c>
      <c r="BU5" s="2" t="n">
        <v>10029.6798974359</v>
      </c>
      <c r="BV5" s="2" t="n">
        <v>10898.8792991453</v>
      </c>
      <c r="BW5" s="2" t="n">
        <v>61461.46039461538</v>
      </c>
      <c r="BX5" s="2" t="n">
        <v>86744.25</v>
      </c>
      <c r="BY5" s="2" t="n">
        <v>8321.01</v>
      </c>
      <c r="BZ5" s="2" t="n">
        <v>0</v>
      </c>
      <c r="CA5" s="2" t="n">
        <v>95065.25999999999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6354.43</v>
      </c>
      <c r="L6" s="2" t="n">
        <v>528.9474601851853</v>
      </c>
      <c r="M6" s="2" t="n">
        <v>5883.731481481482</v>
      </c>
      <c r="N6" s="2" t="n">
        <v>0</v>
      </c>
      <c r="O6" s="2" t="n">
        <v>5808.85</v>
      </c>
      <c r="P6" s="2" t="n">
        <v>545.58</v>
      </c>
      <c r="Q6" s="2" t="n">
        <v>29.7</v>
      </c>
      <c r="R6" s="2" t="n">
        <v>2.0625</v>
      </c>
      <c r="S6" s="2" t="n">
        <v>27.5</v>
      </c>
      <c r="T6" s="2" t="n">
        <v>0</v>
      </c>
      <c r="U6" s="2" t="n">
        <v>29.7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22.67</v>
      </c>
      <c r="AD6" s="2" t="n">
        <v>1.448361111111111</v>
      </c>
      <c r="AE6" s="2" t="n">
        <v>20.99074074074074</v>
      </c>
      <c r="AF6" s="2" t="n">
        <v>0</v>
      </c>
      <c r="AG6" s="2" t="n">
        <v>22.67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15199.12</v>
      </c>
      <c r="AP6" s="2" t="n">
        <v>703.662962962963</v>
      </c>
      <c r="AQ6" s="2" t="n">
        <v>14073.25925925926</v>
      </c>
      <c r="AR6" s="2" t="n">
        <v>0</v>
      </c>
      <c r="AS6" s="2" t="n">
        <v>13615.51</v>
      </c>
      <c r="AT6" s="2" t="n">
        <v>1583.61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21605.92</v>
      </c>
      <c r="BB6" s="2" t="n">
        <v>21605.92</v>
      </c>
      <c r="BC6" s="2">
        <f>F6+L6+R6+X6+AD6+AJ6+AP6+AV6+IF(BE6="",0,BE6)</f>
        <v/>
      </c>
      <c r="BD6" s="2" t="n">
        <v>332.731168</v>
      </c>
      <c r="BE6" s="2" t="n"/>
      <c r="BF6" s="2" t="n">
        <v>20005.48148148148</v>
      </c>
      <c r="BG6" s="2" t="n">
        <v>0</v>
      </c>
      <c r="BH6" s="2" t="n">
        <v>0</v>
      </c>
      <c r="BI6" s="2" t="n">
        <v>48703.25</v>
      </c>
      <c r="BJ6" s="2" t="n">
        <v>99.91589743589743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291.67992</v>
      </c>
      <c r="BQ6" s="2" t="n">
        <v>451.034188034188</v>
      </c>
      <c r="BR6" s="2" t="n">
        <v>49570.88000547008</v>
      </c>
      <c r="BS6" s="2" t="n">
        <v>869.1994017094017</v>
      </c>
      <c r="BT6" s="2" t="n">
        <v>0</v>
      </c>
      <c r="BU6" s="2" t="n">
        <v>10029.6798974359</v>
      </c>
      <c r="BV6" s="2" t="n">
        <v>10898.8792991453</v>
      </c>
      <c r="BW6" s="2" t="n">
        <v>60469.75930461539</v>
      </c>
      <c r="BX6" s="2" t="n">
        <v>19476.73</v>
      </c>
      <c r="BY6" s="2" t="n">
        <v>2129.19</v>
      </c>
      <c r="BZ6" s="2" t="n">
        <v>0</v>
      </c>
      <c r="CA6" s="2" t="n">
        <v>21605.92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18036.47</v>
      </c>
      <c r="L7" s="2" t="n">
        <v>1501.369123148148</v>
      </c>
      <c r="M7" s="2" t="n">
        <v>16700.43518518519</v>
      </c>
      <c r="N7" s="2" t="n">
        <v>0</v>
      </c>
      <c r="O7" s="2" t="n">
        <v>16717.9</v>
      </c>
      <c r="P7" s="2" t="n">
        <v>1318.57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8.199999999999999</v>
      </c>
      <c r="AD7" s="2" t="n">
        <v>0.5238888888888888</v>
      </c>
      <c r="AE7" s="2" t="n">
        <v>7.592592592592592</v>
      </c>
      <c r="AF7" s="2" t="n">
        <v>0</v>
      </c>
      <c r="AG7" s="2" t="n">
        <v>8.199999999999999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39658.3</v>
      </c>
      <c r="AP7" s="2" t="n">
        <v>1836.032407407407</v>
      </c>
      <c r="AQ7" s="2" t="n">
        <v>36720.64814814815</v>
      </c>
      <c r="AR7" s="2" t="n">
        <v>0</v>
      </c>
      <c r="AS7" s="2" t="n">
        <v>35858.15</v>
      </c>
      <c r="AT7" s="2" t="n">
        <v>3800.15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57702.97</v>
      </c>
      <c r="BB7" s="2" t="n">
        <v>57702.97</v>
      </c>
      <c r="BC7" s="2">
        <f>F7+L7+R7+X7+AD7+AJ7+AP7+AV7+IF(BE7="",0,BE7)</f>
        <v/>
      </c>
      <c r="BD7" s="2" t="n">
        <v>888.6257380000001</v>
      </c>
      <c r="BE7" s="2" t="n"/>
      <c r="BF7" s="2" t="n">
        <v>53428.67592592593</v>
      </c>
      <c r="BG7" s="2" t="n">
        <v>0</v>
      </c>
      <c r="BH7" s="2" t="n">
        <v>0</v>
      </c>
      <c r="BI7" s="2" t="n">
        <v>48703.25</v>
      </c>
      <c r="BJ7" s="2" t="n">
        <v>99.91589743589743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778.9900950000001</v>
      </c>
      <c r="BQ7" s="2" t="n">
        <v>451.034188034188</v>
      </c>
      <c r="BR7" s="2" t="n">
        <v>50058.19018047008</v>
      </c>
      <c r="BS7" s="2" t="n">
        <v>869.1994017094017</v>
      </c>
      <c r="BT7" s="2" t="n">
        <v>0</v>
      </c>
      <c r="BU7" s="2" t="n">
        <v>10029.6798974359</v>
      </c>
      <c r="BV7" s="2" t="n">
        <v>10898.8792991453</v>
      </c>
      <c r="BW7" s="2" t="n">
        <v>60957.06947961538</v>
      </c>
      <c r="BX7" s="2" t="n">
        <v>52584.25</v>
      </c>
      <c r="BY7" s="2" t="n">
        <v>5118.72</v>
      </c>
      <c r="BZ7" s="2" t="n">
        <v>0</v>
      </c>
      <c r="CA7" s="2" t="n">
        <v>57702.97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11021.03</v>
      </c>
      <c r="L8" s="2" t="n">
        <v>917.3987009259258</v>
      </c>
      <c r="M8" s="2" t="n">
        <v>10204.65740740741</v>
      </c>
      <c r="N8" s="2" t="n">
        <v>0</v>
      </c>
      <c r="O8" s="2" t="n">
        <v>9894.65</v>
      </c>
      <c r="P8" s="2" t="n">
        <v>1126.38</v>
      </c>
      <c r="Q8" s="2" t="n">
        <v>133.54</v>
      </c>
      <c r="R8" s="2" t="n">
        <v>9.27361111111111</v>
      </c>
      <c r="S8" s="2" t="n">
        <v>123.6481481481481</v>
      </c>
      <c r="T8" s="2" t="n">
        <v>0</v>
      </c>
      <c r="U8" s="2" t="n">
        <v>133.54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21294.41</v>
      </c>
      <c r="AP8" s="2" t="n">
        <v>985.8523148148148</v>
      </c>
      <c r="AQ8" s="2" t="n">
        <v>19717.0462962963</v>
      </c>
      <c r="AR8" s="2" t="n">
        <v>0</v>
      </c>
      <c r="AS8" s="2" t="n">
        <v>19984.94</v>
      </c>
      <c r="AT8" s="2" t="n">
        <v>1309.47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32448.98</v>
      </c>
      <c r="BB8" s="2" t="n">
        <v>32448.98</v>
      </c>
      <c r="BC8" s="2">
        <f>F8+L8+R8+X8+AD8+AJ8+AP8+AV8+IF(BE8="",0,BE8)</f>
        <v/>
      </c>
      <c r="BD8" s="2" t="n">
        <v>499.714292</v>
      </c>
      <c r="BE8" s="2" t="n"/>
      <c r="BF8" s="2" t="n">
        <v>30045.35185185185</v>
      </c>
      <c r="BG8" s="2" t="n">
        <v>0</v>
      </c>
      <c r="BH8" s="2" t="n">
        <v>0</v>
      </c>
      <c r="BI8" s="2" t="n">
        <v>48703.25</v>
      </c>
      <c r="BJ8" s="2" t="n">
        <v>99.91589743589743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438.06123</v>
      </c>
      <c r="BQ8" s="2" t="n">
        <v>451.034188034188</v>
      </c>
      <c r="BR8" s="2" t="n">
        <v>49717.26131547008</v>
      </c>
      <c r="BS8" s="2" t="n">
        <v>869.1994017094017</v>
      </c>
      <c r="BT8" s="2" t="n">
        <v>0</v>
      </c>
      <c r="BU8" s="2" t="n">
        <v>10029.6798974359</v>
      </c>
      <c r="BV8" s="2" t="n">
        <v>10898.8792991453</v>
      </c>
      <c r="BW8" s="2" t="n">
        <v>60616.14061461538</v>
      </c>
      <c r="BX8" s="2" t="n">
        <v>30013.13</v>
      </c>
      <c r="BY8" s="2" t="n">
        <v>2435.85</v>
      </c>
      <c r="BZ8" s="2" t="n">
        <v>0</v>
      </c>
      <c r="CA8" s="2" t="n">
        <v>32448.98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8082</v>
      </c>
      <c r="L9" s="2" t="n">
        <v>672.7516666666667</v>
      </c>
      <c r="M9" s="2" t="n">
        <v>7483.333333333333</v>
      </c>
      <c r="N9" s="2" t="n">
        <v>0</v>
      </c>
      <c r="O9" s="2" t="n">
        <v>7629.23</v>
      </c>
      <c r="P9" s="2" t="n">
        <v>452.77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22270.18</v>
      </c>
      <c r="AP9" s="2" t="n">
        <v>1031.026851851852</v>
      </c>
      <c r="AQ9" s="2" t="n">
        <v>20620.53703703704</v>
      </c>
      <c r="AR9" s="2" t="n">
        <v>0</v>
      </c>
      <c r="AS9" s="2" t="n">
        <v>20947.61</v>
      </c>
      <c r="AT9" s="2" t="n">
        <v>1322.57</v>
      </c>
      <c r="AU9" s="2" t="n">
        <v>293.85</v>
      </c>
      <c r="AV9" s="2" t="n">
        <v>11.69958333333333</v>
      </c>
      <c r="AW9" s="2" t="n">
        <v>272.0833333333333</v>
      </c>
      <c r="AX9" s="2" t="n">
        <v>0</v>
      </c>
      <c r="AY9" s="2" t="n">
        <v>270.75</v>
      </c>
      <c r="AZ9" s="2" t="n">
        <v>23.1</v>
      </c>
      <c r="BA9" s="2" t="n">
        <v>30646.03</v>
      </c>
      <c r="BB9" s="2" t="n">
        <v>30646.03</v>
      </c>
      <c r="BC9" s="2">
        <f>F9+L9+R9+X9+AD9+AJ9+AP9+AV9+IF(BE9="",0,BE9)</f>
        <v/>
      </c>
      <c r="BD9" s="2" t="n">
        <v>471.948862</v>
      </c>
      <c r="BE9" s="2" t="n"/>
      <c r="BF9" s="2" t="n">
        <v>28375.9537037037</v>
      </c>
      <c r="BG9" s="2" t="n">
        <v>0</v>
      </c>
      <c r="BH9" s="2" t="n">
        <v>0</v>
      </c>
      <c r="BI9" s="2" t="n">
        <v>48703.25</v>
      </c>
      <c r="BJ9" s="2" t="n">
        <v>99.91589743589743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413.7214049999999</v>
      </c>
      <c r="BQ9" s="2" t="n">
        <v>451.034188034188</v>
      </c>
      <c r="BR9" s="2" t="n">
        <v>49692.92149047008</v>
      </c>
      <c r="BS9" s="2" t="n">
        <v>869.1994017094017</v>
      </c>
      <c r="BT9" s="2" t="n">
        <v>0</v>
      </c>
      <c r="BU9" s="2" t="n">
        <v>10029.6798974359</v>
      </c>
      <c r="BV9" s="2" t="n">
        <v>10898.8792991453</v>
      </c>
      <c r="BW9" s="2" t="n">
        <v>60591.80078961538</v>
      </c>
      <c r="BX9" s="2" t="n">
        <v>28847.59</v>
      </c>
      <c r="BY9" s="2" t="n">
        <v>1798.44</v>
      </c>
      <c r="BZ9" s="2" t="n">
        <v>0</v>
      </c>
      <c r="CA9" s="2" t="n">
        <v>30646.03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2462.57</v>
      </c>
      <c r="L10" s="2" t="n">
        <v>204.986150925926</v>
      </c>
      <c r="M10" s="2" t="n">
        <v>2280.157407407407</v>
      </c>
      <c r="N10" s="2" t="n">
        <v>0</v>
      </c>
      <c r="O10" s="2" t="n">
        <v>2370.82</v>
      </c>
      <c r="P10" s="2" t="n">
        <v>91.75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4259.15</v>
      </c>
      <c r="AP10" s="2" t="n">
        <v>197.1828703703704</v>
      </c>
      <c r="AQ10" s="2" t="n">
        <v>3943.657407407407</v>
      </c>
      <c r="AR10" s="2" t="n">
        <v>0</v>
      </c>
      <c r="AS10" s="2" t="n">
        <v>4150.46</v>
      </c>
      <c r="AT10" s="2" t="n">
        <v>108.69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6721.719999999999</v>
      </c>
      <c r="BB10" s="2" t="n">
        <v>6721.719999999999</v>
      </c>
      <c r="BC10" s="2">
        <f>F10+L10+R10+X10+AD10+AJ10+AP10+AV10+IF(BE10="",0,BE10)</f>
        <v/>
      </c>
      <c r="BD10" s="2" t="n">
        <v>103.514488</v>
      </c>
      <c r="BE10" s="2" t="n"/>
      <c r="BF10" s="2" t="n">
        <v>6223.814814814814</v>
      </c>
      <c r="BG10" s="2" t="n">
        <v>0</v>
      </c>
      <c r="BH10" s="2" t="n">
        <v>0</v>
      </c>
      <c r="BI10" s="2" t="n">
        <v>48703.25</v>
      </c>
      <c r="BJ10" s="2" t="n">
        <v>99.91589743589743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90.74321999999999</v>
      </c>
      <c r="BQ10" s="2" t="n">
        <v>451.034188034188</v>
      </c>
      <c r="BR10" s="2" t="n">
        <v>49369.94330547008</v>
      </c>
      <c r="BS10" s="2" t="n">
        <v>869.1994017094017</v>
      </c>
      <c r="BT10" s="2" t="n">
        <v>0</v>
      </c>
      <c r="BU10" s="2" t="n">
        <v>10029.6798974359</v>
      </c>
      <c r="BV10" s="2" t="n">
        <v>10898.8792991453</v>
      </c>
      <c r="BW10" s="2" t="n">
        <v>60268.82260461538</v>
      </c>
      <c r="BX10" s="2" t="n">
        <v>6521.280000000001</v>
      </c>
      <c r="BY10" s="2" t="n">
        <v>200.44</v>
      </c>
      <c r="BZ10" s="2" t="n">
        <v>0</v>
      </c>
      <c r="CA10" s="2" t="n">
        <v>6721.72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3992.59</v>
      </c>
      <c r="L11" s="2" t="n">
        <v>332.3461490740741</v>
      </c>
      <c r="M11" s="2" t="n">
        <v>3696.842592592593</v>
      </c>
      <c r="N11" s="2" t="n">
        <v>0</v>
      </c>
      <c r="O11" s="2" t="n">
        <v>3667.26</v>
      </c>
      <c r="P11" s="2" t="n">
        <v>325.33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7039.059999999999</v>
      </c>
      <c r="AP11" s="2" t="n">
        <v>325.8824074074074</v>
      </c>
      <c r="AQ11" s="2" t="n">
        <v>6517.648148148147</v>
      </c>
      <c r="AR11" s="2" t="n">
        <v>0</v>
      </c>
      <c r="AS11" s="2" t="n">
        <v>6133.73</v>
      </c>
      <c r="AT11" s="2" t="n">
        <v>905.33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11031.65</v>
      </c>
      <c r="BB11" s="2" t="n">
        <v>11031.65</v>
      </c>
      <c r="BC11" s="2">
        <f>F11+L11+R11+X11+AD11+AJ11+AP11+AV11+IF(BE11="",0,BE11)</f>
        <v/>
      </c>
      <c r="BD11" s="2" t="n">
        <v>169.88741</v>
      </c>
      <c r="BE11" s="2" t="n"/>
      <c r="BF11" s="2" t="n">
        <v>10214.49074074074</v>
      </c>
      <c r="BG11" s="2" t="n">
        <v>0</v>
      </c>
      <c r="BH11" s="2" t="n">
        <v>0</v>
      </c>
      <c r="BI11" s="2" t="n">
        <v>48703.25</v>
      </c>
      <c r="BJ11" s="2" t="n">
        <v>99.91589743589743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148.927275</v>
      </c>
      <c r="BQ11" s="2" t="n">
        <v>451.034188034188</v>
      </c>
      <c r="BR11" s="2" t="n">
        <v>49428.12736047008</v>
      </c>
      <c r="BS11" s="2" t="n">
        <v>869.1994017094017</v>
      </c>
      <c r="BT11" s="2" t="n">
        <v>0</v>
      </c>
      <c r="BU11" s="2" t="n">
        <v>10029.6798974359</v>
      </c>
      <c r="BV11" s="2" t="n">
        <v>10898.8792991453</v>
      </c>
      <c r="BW11" s="2" t="n">
        <v>60327.00665961538</v>
      </c>
      <c r="BX11" s="2" t="n">
        <v>9800.99</v>
      </c>
      <c r="BY11" s="2" t="n">
        <v>1230.66</v>
      </c>
      <c r="BZ11" s="2" t="n">
        <v>0</v>
      </c>
      <c r="CA11" s="2" t="n">
        <v>11031.65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1679.38</v>
      </c>
      <c r="L12" s="2" t="n">
        <v>139.7928351851852</v>
      </c>
      <c r="M12" s="2" t="n">
        <v>1554.981481481482</v>
      </c>
      <c r="N12" s="2" t="n">
        <v>0</v>
      </c>
      <c r="O12" s="2" t="n">
        <v>1474.24</v>
      </c>
      <c r="P12" s="2" t="n">
        <v>205.14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11384.82</v>
      </c>
      <c r="AP12" s="2" t="n">
        <v>3500</v>
      </c>
      <c r="AQ12" s="2" t="n">
        <v>10541.5</v>
      </c>
      <c r="AR12" s="2" t="n">
        <v>0</v>
      </c>
      <c r="AS12" s="2" t="n">
        <v>10433.52</v>
      </c>
      <c r="AT12" s="2" t="n">
        <v>951.3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13064.2</v>
      </c>
      <c r="BB12" s="2" t="n">
        <v>13064.2</v>
      </c>
      <c r="BC12" s="2">
        <f>F12+L12+R12+X12+AD12+AJ12+AP12+AV12+IF(BE12="",0,BE12)</f>
        <v/>
      </c>
      <c r="BD12" s="2" t="n">
        <v>201.18868</v>
      </c>
      <c r="BE12" s="2" t="n"/>
      <c r="BF12" s="2" t="n">
        <v>12096.48148148148</v>
      </c>
      <c r="BG12" s="2" t="n">
        <v>0</v>
      </c>
      <c r="BH12" s="2" t="n">
        <v>0</v>
      </c>
      <c r="BI12" s="2" t="n">
        <v>48703.25</v>
      </c>
      <c r="BJ12" s="2" t="n">
        <v>99.91589743589743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176.3667</v>
      </c>
      <c r="BQ12" s="2" t="n">
        <v>451.034188034188</v>
      </c>
      <c r="BR12" s="2" t="n">
        <v>49455.56678547008</v>
      </c>
      <c r="BS12" s="2" t="n">
        <v>869.1994017094017</v>
      </c>
      <c r="BT12" s="2" t="n">
        <v>0</v>
      </c>
      <c r="BU12" s="2" t="n">
        <v>10029.6798974359</v>
      </c>
      <c r="BV12" s="2" t="n">
        <v>10898.8792991453</v>
      </c>
      <c r="BW12" s="2" t="n">
        <v>60354.44608461538</v>
      </c>
      <c r="BX12" s="2" t="n">
        <v>11907.76</v>
      </c>
      <c r="BY12" s="2" t="n">
        <v>1156.44</v>
      </c>
      <c r="BZ12" s="2" t="n">
        <v>0</v>
      </c>
      <c r="CA12" s="2" t="n">
        <v>13064.2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2936.3</v>
      </c>
      <c r="F13" s="2" t="n">
        <v>190.3157407407408</v>
      </c>
      <c r="G13" s="2" t="n">
        <v>2718.796296296296</v>
      </c>
      <c r="H13" s="2" t="n">
        <v>0</v>
      </c>
      <c r="I13" s="2" t="n">
        <v>2768.98</v>
      </c>
      <c r="J13" s="2" t="n">
        <v>167.32</v>
      </c>
      <c r="K13" s="2" t="n">
        <v>1573.2</v>
      </c>
      <c r="L13" s="2" t="n">
        <v>130.9543333333333</v>
      </c>
      <c r="M13" s="2" t="n">
        <v>1456.666666666667</v>
      </c>
      <c r="N13" s="2" t="n">
        <v>0</v>
      </c>
      <c r="O13" s="2" t="n">
        <v>1487.2</v>
      </c>
      <c r="P13" s="2" t="n">
        <v>86</v>
      </c>
      <c r="Q13" s="2" t="n">
        <v>19.66</v>
      </c>
      <c r="R13" s="2" t="n">
        <v>1.365277777777778</v>
      </c>
      <c r="S13" s="2" t="n">
        <v>18.2037037037037</v>
      </c>
      <c r="T13" s="2" t="n">
        <v>0</v>
      </c>
      <c r="U13" s="2" t="n">
        <v>19.66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29.7</v>
      </c>
      <c r="AD13" s="2" t="n">
        <v>1.8975</v>
      </c>
      <c r="AE13" s="2" t="n">
        <v>27.5</v>
      </c>
      <c r="AF13" s="2" t="n">
        <v>0</v>
      </c>
      <c r="AG13" s="2" t="n">
        <v>29.7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8763.25</v>
      </c>
      <c r="AP13" s="2" t="n">
        <v>3740</v>
      </c>
      <c r="AQ13" s="2" t="n">
        <v>8114.12037037037</v>
      </c>
      <c r="AR13" s="2" t="n">
        <v>0</v>
      </c>
      <c r="AS13" s="2" t="n">
        <v>8191.65</v>
      </c>
      <c r="AT13" s="2" t="n">
        <v>571.6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13322.11</v>
      </c>
      <c r="BB13" s="2" t="n">
        <v>13322.11</v>
      </c>
      <c r="BC13" s="2">
        <f>F13+L13+R13+X13+AD13+AJ13+AP13+AV13+IF(BE13="",0,BE13)</f>
        <v/>
      </c>
      <c r="BD13" s="2" t="n">
        <v>205.160494</v>
      </c>
      <c r="BE13" s="2" t="n"/>
      <c r="BF13" s="2" t="n">
        <v>12335.28703703704</v>
      </c>
      <c r="BG13" s="2" t="n">
        <v>0</v>
      </c>
      <c r="BH13" s="2" t="n">
        <v>0</v>
      </c>
      <c r="BI13" s="2" t="n">
        <v>48703.25</v>
      </c>
      <c r="BJ13" s="2" t="n">
        <v>99.91589743589743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179.848485</v>
      </c>
      <c r="BQ13" s="2" t="n">
        <v>451.034188034188</v>
      </c>
      <c r="BR13" s="2" t="n">
        <v>49459.04857047008</v>
      </c>
      <c r="BS13" s="2" t="n">
        <v>869.1994017094017</v>
      </c>
      <c r="BT13" s="2" t="n">
        <v>0</v>
      </c>
      <c r="BU13" s="2" t="n">
        <v>10029.6798974359</v>
      </c>
      <c r="BV13" s="2" t="n">
        <v>10898.8792991453</v>
      </c>
      <c r="BW13" s="2" t="n">
        <v>60357.92786961539</v>
      </c>
      <c r="BX13" s="2" t="n">
        <v>12497.19</v>
      </c>
      <c r="BY13" s="2" t="n">
        <v>824.9200000000001</v>
      </c>
      <c r="BZ13" s="2" t="n">
        <v>0</v>
      </c>
      <c r="CA13" s="2" t="n">
        <v>13322.11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11236.74</v>
      </c>
      <c r="L14" s="2" t="n">
        <v>935.3545611111111</v>
      </c>
      <c r="M14" s="2" t="n">
        <v>10404.38888888889</v>
      </c>
      <c r="N14" s="2" t="n">
        <v>0</v>
      </c>
      <c r="O14" s="2" t="n">
        <v>10121.43</v>
      </c>
      <c r="P14" s="2" t="n">
        <v>1115.31</v>
      </c>
      <c r="Q14" s="2" t="n">
        <v>113.36</v>
      </c>
      <c r="R14" s="2" t="n">
        <v>7.872222222222222</v>
      </c>
      <c r="S14" s="2" t="n">
        <v>104.962962962963</v>
      </c>
      <c r="T14" s="2" t="n">
        <v>0</v>
      </c>
      <c r="U14" s="2" t="n">
        <v>113.36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13593.28</v>
      </c>
      <c r="AP14" s="2" t="n">
        <v>4100</v>
      </c>
      <c r="AQ14" s="2" t="n">
        <v>12586.37037037037</v>
      </c>
      <c r="AR14" s="2" t="n">
        <v>0</v>
      </c>
      <c r="AS14" s="2" t="n">
        <v>12467.37</v>
      </c>
      <c r="AT14" s="2" t="n">
        <v>1125.91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24943.38</v>
      </c>
      <c r="BB14" s="2" t="n">
        <v>24943.38</v>
      </c>
      <c r="BC14" s="2">
        <f>F14+L14+R14+X14+AD14+AJ14+AP14+AV14+IF(BE14="",0,BE14)</f>
        <v/>
      </c>
      <c r="BD14" s="2" t="n">
        <v>384.128052</v>
      </c>
      <c r="BE14" s="2" t="n"/>
      <c r="BF14" s="2" t="n">
        <v>23095.72222222222</v>
      </c>
      <c r="BG14" s="2" t="n">
        <v>0</v>
      </c>
      <c r="BH14" s="2" t="n">
        <v>0</v>
      </c>
      <c r="BI14" s="2" t="n">
        <v>48703.25</v>
      </c>
      <c r="BJ14" s="2" t="n">
        <v>99.91589743589743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336.73563</v>
      </c>
      <c r="BQ14" s="2" t="n">
        <v>451.034188034188</v>
      </c>
      <c r="BR14" s="2" t="n">
        <v>49615.93571547008</v>
      </c>
      <c r="BS14" s="2" t="n">
        <v>869.1994017094017</v>
      </c>
      <c r="BT14" s="2" t="n">
        <v>0</v>
      </c>
      <c r="BU14" s="2" t="n">
        <v>10029.6798974359</v>
      </c>
      <c r="BV14" s="2" t="n">
        <v>10898.8792991453</v>
      </c>
      <c r="BW14" s="2" t="n">
        <v>60514.81501461539</v>
      </c>
      <c r="BX14" s="2" t="n">
        <v>22702.16</v>
      </c>
      <c r="BY14" s="2" t="n">
        <v>2241.22</v>
      </c>
      <c r="BZ14" s="2" t="n">
        <v>0</v>
      </c>
      <c r="CA14" s="2" t="n">
        <v>24943.38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36.1</v>
      </c>
      <c r="F15" s="2" t="n">
        <v>2.339814814814815</v>
      </c>
      <c r="G15" s="2" t="n">
        <v>33.42592592592592</v>
      </c>
      <c r="H15" s="2" t="n">
        <v>0</v>
      </c>
      <c r="I15" s="2" t="n">
        <v>36.1</v>
      </c>
      <c r="J15" s="2" t="n">
        <v>0</v>
      </c>
      <c r="K15" s="2" t="n">
        <v>68.34999999999999</v>
      </c>
      <c r="L15" s="2" t="n">
        <v>5.68950462962963</v>
      </c>
      <c r="M15" s="2" t="n">
        <v>63.28703703703703</v>
      </c>
      <c r="N15" s="2" t="n">
        <v>0</v>
      </c>
      <c r="O15" s="2" t="n">
        <v>40</v>
      </c>
      <c r="P15" s="2" t="n">
        <v>28.35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3378.8</v>
      </c>
      <c r="AP15" s="2" t="n">
        <v>3500</v>
      </c>
      <c r="AQ15" s="2" t="n">
        <v>3128.518518518519</v>
      </c>
      <c r="AR15" s="2" t="n">
        <v>0</v>
      </c>
      <c r="AS15" s="2" t="n">
        <v>3022.57</v>
      </c>
      <c r="AT15" s="2" t="n">
        <v>356.23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3483.25</v>
      </c>
      <c r="BB15" s="2" t="n">
        <v>3483.25</v>
      </c>
      <c r="BC15" s="2">
        <f>F15+L15+R15+X15+AD15+AJ15+AP15+AV15+IF(BE15="",0,BE15)</f>
        <v/>
      </c>
      <c r="BD15" s="2" t="n">
        <v>53.64205</v>
      </c>
      <c r="BE15" s="2" t="n"/>
      <c r="BF15" s="2" t="n">
        <v>3225.231481481482</v>
      </c>
      <c r="BG15" s="2" t="n">
        <v>0</v>
      </c>
      <c r="BH15" s="2" t="n">
        <v>0</v>
      </c>
      <c r="BI15" s="2" t="n">
        <v>48703.25</v>
      </c>
      <c r="BJ15" s="2" t="n">
        <v>99.91589743589743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47.023875</v>
      </c>
      <c r="BQ15" s="2" t="n">
        <v>451.034188034188</v>
      </c>
      <c r="BR15" s="2" t="n">
        <v>49326.22396047008</v>
      </c>
      <c r="BS15" s="2" t="n">
        <v>869.1994017094017</v>
      </c>
      <c r="BT15" s="2" t="n">
        <v>0</v>
      </c>
      <c r="BU15" s="2" t="n">
        <v>10029.6798974359</v>
      </c>
      <c r="BV15" s="2" t="n">
        <v>10898.8792991453</v>
      </c>
      <c r="BW15" s="2" t="n">
        <v>60225.10325961538</v>
      </c>
      <c r="BX15" s="2" t="n">
        <v>3098.67</v>
      </c>
      <c r="BY15" s="2" t="n">
        <v>384.58</v>
      </c>
      <c r="BZ15" s="2" t="n">
        <v>0</v>
      </c>
      <c r="CA15" s="2" t="n">
        <v>3483.25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11939.52</v>
      </c>
      <c r="L16" s="2" t="n">
        <v>993.854488888889</v>
      </c>
      <c r="M16" s="2" t="n">
        <v>11055.11111111111</v>
      </c>
      <c r="N16" s="2" t="n">
        <v>0</v>
      </c>
      <c r="O16" s="2" t="n">
        <v>11145.52</v>
      </c>
      <c r="P16" s="2" t="n">
        <v>794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45094.44</v>
      </c>
      <c r="X16" s="2" t="n">
        <v>750</v>
      </c>
      <c r="Y16" s="2" t="n">
        <v>41754.1111111111</v>
      </c>
      <c r="Z16" s="2" t="n">
        <v>0</v>
      </c>
      <c r="AA16" s="2" t="n">
        <v>44000.49</v>
      </c>
      <c r="AB16" s="2" t="n">
        <v>1093.95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7706.549999999999</v>
      </c>
      <c r="AP16" s="2" t="n">
        <v>4150</v>
      </c>
      <c r="AQ16" s="2" t="n">
        <v>7135.694444444443</v>
      </c>
      <c r="AR16" s="2" t="n">
        <v>0</v>
      </c>
      <c r="AS16" s="2" t="n">
        <v>7391.23</v>
      </c>
      <c r="AT16" s="2" t="n">
        <v>315.32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64740.50999999999</v>
      </c>
      <c r="BB16" s="2" t="n">
        <v>64740.50999999999</v>
      </c>
      <c r="BC16" s="2">
        <f>F16+L16+R16+X16+AD16+AJ16+AP16+AV16+IF(BE16="",0,BE16)</f>
        <v/>
      </c>
      <c r="BD16" s="2" t="n">
        <v>911.3244179999999</v>
      </c>
      <c r="BE16" s="2" t="n"/>
      <c r="BF16" s="2" t="n">
        <v>59944.91666666666</v>
      </c>
      <c r="BG16" s="2" t="n">
        <v>1056.72</v>
      </c>
      <c r="BH16" s="2" t="n">
        <v>317.4</v>
      </c>
      <c r="BI16" s="2" t="n">
        <v>48703.25</v>
      </c>
      <c r="BJ16" s="2" t="n">
        <v>99.91589743589743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873.9968849999999</v>
      </c>
      <c r="BQ16" s="2" t="n">
        <v>451.034188034188</v>
      </c>
      <c r="BR16" s="2" t="n">
        <v>51527.31697047008</v>
      </c>
      <c r="BS16" s="2" t="n">
        <v>869.1994017094017</v>
      </c>
      <c r="BT16" s="2" t="n">
        <v>0</v>
      </c>
      <c r="BU16" s="2" t="n">
        <v>10304.5038974359</v>
      </c>
      <c r="BV16" s="2" t="n">
        <v>11173.7032991453</v>
      </c>
      <c r="BW16" s="2" t="n">
        <v>62701.02026961539</v>
      </c>
      <c r="BX16" s="2" t="n">
        <v>62537.23999999999</v>
      </c>
      <c r="BY16" s="2" t="n">
        <v>2203.27</v>
      </c>
      <c r="BZ16" s="2" t="n">
        <v>0</v>
      </c>
      <c r="CA16" s="2" t="n">
        <v>64740.50999999999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2065.25</v>
      </c>
      <c r="AP17" s="2" t="n">
        <v>3500</v>
      </c>
      <c r="AQ17" s="2" t="n">
        <v>1912.268518518518</v>
      </c>
      <c r="AR17" s="2" t="n">
        <v>0</v>
      </c>
      <c r="AS17" s="2" t="n">
        <v>1998.82</v>
      </c>
      <c r="AT17" s="2" t="n">
        <v>66.43000000000001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2065.25</v>
      </c>
      <c r="BB17" s="2" t="n">
        <v>2065.25</v>
      </c>
      <c r="BC17" s="2">
        <f>F17+L17+R17+X17+AD17+AJ17+AP17+AV17+IF(BE17="",0,BE17)</f>
        <v/>
      </c>
      <c r="BD17" s="2" t="n">
        <v>31.80485</v>
      </c>
      <c r="BE17" s="2" t="n"/>
      <c r="BF17" s="2" t="n">
        <v>1912.268518518518</v>
      </c>
      <c r="BG17" s="2" t="n">
        <v>0</v>
      </c>
      <c r="BH17" s="2" t="n">
        <v>0</v>
      </c>
      <c r="BI17" s="2" t="n">
        <v>48703.25</v>
      </c>
      <c r="BJ17" s="2" t="n">
        <v>99.91589743589743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27.880875</v>
      </c>
      <c r="BQ17" s="2" t="n">
        <v>451.034188034188</v>
      </c>
      <c r="BR17" s="2" t="n">
        <v>49307.08096047008</v>
      </c>
      <c r="BS17" s="2" t="n">
        <v>869.1994017094017</v>
      </c>
      <c r="BT17" s="2" t="n">
        <v>0</v>
      </c>
      <c r="BU17" s="2" t="n">
        <v>10029.6798974359</v>
      </c>
      <c r="BV17" s="2" t="n">
        <v>10898.8792991453</v>
      </c>
      <c r="BW17" s="2" t="n">
        <v>60205.96025961539</v>
      </c>
      <c r="BX17" s="2" t="n">
        <v>1998.82</v>
      </c>
      <c r="BY17" s="2" t="n">
        <v>66.43000000000001</v>
      </c>
      <c r="BZ17" s="2" t="n">
        <v>0</v>
      </c>
      <c r="CA17" s="2" t="n">
        <v>2065.25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8750.459999999999</v>
      </c>
      <c r="L18" s="2" t="n">
        <v>728.3947722222222</v>
      </c>
      <c r="M18" s="2" t="n">
        <v>8102.277777777776</v>
      </c>
      <c r="N18" s="2" t="n">
        <v>0</v>
      </c>
      <c r="O18" s="2" t="n">
        <v>8347.16</v>
      </c>
      <c r="P18" s="2" t="n">
        <v>403.3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9.800000000000001</v>
      </c>
      <c r="AD18" s="2" t="n">
        <v>0.6261111111111112</v>
      </c>
      <c r="AE18" s="2" t="n">
        <v>9.074074074074074</v>
      </c>
      <c r="AF18" s="2" t="n">
        <v>0</v>
      </c>
      <c r="AG18" s="2" t="n">
        <v>9.800000000000001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3442.39</v>
      </c>
      <c r="AP18" s="2" t="n">
        <v>4150</v>
      </c>
      <c r="AQ18" s="2" t="n">
        <v>3187.398148148148</v>
      </c>
      <c r="AR18" s="2" t="n">
        <v>0</v>
      </c>
      <c r="AS18" s="2" t="n">
        <v>3020.19</v>
      </c>
      <c r="AT18" s="2" t="n">
        <v>422.2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12202.65</v>
      </c>
      <c r="BB18" s="2" t="n">
        <v>12202.65</v>
      </c>
      <c r="BC18" s="2">
        <f>F18+L18+R18+X18+AD18+AJ18+AP18+AV18+IF(BE18="",0,BE18)</f>
        <v/>
      </c>
      <c r="BD18" s="2" t="n">
        <v>187.92081</v>
      </c>
      <c r="BE18" s="2" t="n"/>
      <c r="BF18" s="2" t="n">
        <v>11298.75</v>
      </c>
      <c r="BG18" s="2" t="n">
        <v>0</v>
      </c>
      <c r="BH18" s="2" t="n">
        <v>0</v>
      </c>
      <c r="BI18" s="2" t="n">
        <v>48703.25</v>
      </c>
      <c r="BJ18" s="2" t="n">
        <v>99.91589743589743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164.735775</v>
      </c>
      <c r="BQ18" s="2" t="n">
        <v>451.034188034188</v>
      </c>
      <c r="BR18" s="2" t="n">
        <v>49443.93586047008</v>
      </c>
      <c r="BS18" s="2" t="n">
        <v>869.1994017094017</v>
      </c>
      <c r="BT18" s="2" t="n">
        <v>0</v>
      </c>
      <c r="BU18" s="2" t="n">
        <v>10029.6798974359</v>
      </c>
      <c r="BV18" s="2" t="n">
        <v>10898.8792991453</v>
      </c>
      <c r="BW18" s="2" t="n">
        <v>60342.81515961538</v>
      </c>
      <c r="BX18" s="2" t="n">
        <v>11377.15</v>
      </c>
      <c r="BY18" s="2" t="n">
        <v>825.5</v>
      </c>
      <c r="BZ18" s="2" t="n">
        <v>0</v>
      </c>
      <c r="CA18" s="2" t="n">
        <v>12202.65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5.29</v>
      </c>
      <c r="F19" s="2" t="n">
        <v>0.3428703703703704</v>
      </c>
      <c r="G19" s="2" t="n">
        <v>4.898148148148148</v>
      </c>
      <c r="H19" s="2" t="n">
        <v>0</v>
      </c>
      <c r="I19" s="2" t="n">
        <v>5.29</v>
      </c>
      <c r="J19" s="2" t="n">
        <v>0</v>
      </c>
      <c r="K19" s="2" t="n">
        <v>7864.29</v>
      </c>
      <c r="L19" s="2" t="n">
        <v>654.629325</v>
      </c>
      <c r="M19" s="2" t="n">
        <v>7281.749999999999</v>
      </c>
      <c r="N19" s="2" t="n">
        <v>0</v>
      </c>
      <c r="O19" s="2" t="n">
        <v>7714.84</v>
      </c>
      <c r="P19" s="2" t="n">
        <v>149.45</v>
      </c>
      <c r="Q19" s="2" t="n">
        <v>19266.48</v>
      </c>
      <c r="R19" s="2" t="n">
        <v>1337.95</v>
      </c>
      <c r="S19" s="2" t="n">
        <v>17839.33333333333</v>
      </c>
      <c r="T19" s="2" t="n">
        <v>0</v>
      </c>
      <c r="U19" s="2" t="n">
        <v>18539.04</v>
      </c>
      <c r="V19" s="2" t="n">
        <v>727.4400000000001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38.7</v>
      </c>
      <c r="AD19" s="2" t="n">
        <v>2.472500000000001</v>
      </c>
      <c r="AE19" s="2" t="n">
        <v>35.83333333333334</v>
      </c>
      <c r="AF19" s="2" t="n">
        <v>0</v>
      </c>
      <c r="AG19" s="2" t="n">
        <v>38.7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8074.72</v>
      </c>
      <c r="AP19" s="2" t="n">
        <v>4150</v>
      </c>
      <c r="AQ19" s="2" t="n">
        <v>7476.592592592592</v>
      </c>
      <c r="AR19" s="2" t="n">
        <v>0</v>
      </c>
      <c r="AS19" s="2" t="n">
        <v>7663.35</v>
      </c>
      <c r="AT19" s="2" t="n">
        <v>411.37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35249.48</v>
      </c>
      <c r="BB19" s="2" t="n">
        <v>35249.48</v>
      </c>
      <c r="BC19" s="2">
        <f>F19+L19+R19+X19+AD19+AJ19+AP19+AV19+IF(BE19="",0,BE19)</f>
        <v/>
      </c>
      <c r="BD19" s="2" t="n">
        <v>542.841992</v>
      </c>
      <c r="BE19" s="2" t="n"/>
      <c r="BF19" s="2" t="n">
        <v>32638.4074074074</v>
      </c>
      <c r="BG19" s="2" t="n">
        <v>0</v>
      </c>
      <c r="BH19" s="2" t="n">
        <v>0</v>
      </c>
      <c r="BI19" s="2" t="n">
        <v>48703.25</v>
      </c>
      <c r="BJ19" s="2" t="n">
        <v>99.91589743589743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475.86798</v>
      </c>
      <c r="BQ19" s="2" t="n">
        <v>451.034188034188</v>
      </c>
      <c r="BR19" s="2" t="n">
        <v>49755.06806547008</v>
      </c>
      <c r="BS19" s="2" t="n">
        <v>869.1994017094017</v>
      </c>
      <c r="BT19" s="2" t="n">
        <v>0</v>
      </c>
      <c r="BU19" s="2" t="n">
        <v>10029.6798974359</v>
      </c>
      <c r="BV19" s="2" t="n">
        <v>10898.8792991453</v>
      </c>
      <c r="BW19" s="2" t="n">
        <v>60653.94736461539</v>
      </c>
      <c r="BX19" s="2" t="n">
        <v>33961.22</v>
      </c>
      <c r="BY19" s="2" t="n">
        <v>1288.26</v>
      </c>
      <c r="BZ19" s="2" t="n">
        <v>0</v>
      </c>
      <c r="CA19" s="2" t="n">
        <v>35249.48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2613.17</v>
      </c>
      <c r="L20" s="2" t="n">
        <v>217.5222064814815</v>
      </c>
      <c r="M20" s="2" t="n">
        <v>2419.601851851852</v>
      </c>
      <c r="N20" s="2" t="n">
        <v>0</v>
      </c>
      <c r="O20" s="2" t="n">
        <v>2106.44</v>
      </c>
      <c r="P20" s="2" t="n">
        <v>506.73</v>
      </c>
      <c r="Q20" s="2" t="n">
        <v>11.8</v>
      </c>
      <c r="R20" s="2" t="n">
        <v>0.8194444444444444</v>
      </c>
      <c r="S20" s="2" t="n">
        <v>10.92592592592593</v>
      </c>
      <c r="T20" s="2" t="n">
        <v>0</v>
      </c>
      <c r="U20" s="2" t="n">
        <v>0</v>
      </c>
      <c r="V20" s="2" t="n">
        <v>11.8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4492.77</v>
      </c>
      <c r="AP20" s="2" t="n">
        <v>4150</v>
      </c>
      <c r="AQ20" s="2" t="n">
        <v>4159.972222222223</v>
      </c>
      <c r="AR20" s="2" t="n">
        <v>0</v>
      </c>
      <c r="AS20" s="2" t="n">
        <v>4277.55</v>
      </c>
      <c r="AT20" s="2" t="n">
        <v>215.22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7117.740000000001</v>
      </c>
      <c r="BB20" s="2" t="n">
        <v>7117.740000000001</v>
      </c>
      <c r="BC20" s="2">
        <f>F20+L20+R20+X20+AD20+AJ20+AP20+AV20+IF(BE20="",0,BE20)</f>
        <v/>
      </c>
      <c r="BD20" s="2" t="n">
        <v>109.613196</v>
      </c>
      <c r="BE20" s="2" t="n"/>
      <c r="BF20" s="2" t="n">
        <v>6590.5</v>
      </c>
      <c r="BG20" s="2" t="n">
        <v>0</v>
      </c>
      <c r="BH20" s="2" t="n">
        <v>0</v>
      </c>
      <c r="BI20" s="2" t="n">
        <v>48703.25</v>
      </c>
      <c r="BJ20" s="2" t="n">
        <v>99.91589743589743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96.08949000000001</v>
      </c>
      <c r="BQ20" s="2" t="n">
        <v>451.034188034188</v>
      </c>
      <c r="BR20" s="2" t="n">
        <v>49375.28957547008</v>
      </c>
      <c r="BS20" s="2" t="n">
        <v>869.1994017094017</v>
      </c>
      <c r="BT20" s="2" t="n">
        <v>0</v>
      </c>
      <c r="BU20" s="2" t="n">
        <v>10029.6798974359</v>
      </c>
      <c r="BV20" s="2" t="n">
        <v>10898.8792991453</v>
      </c>
      <c r="BW20" s="2" t="n">
        <v>60274.16887461538</v>
      </c>
      <c r="BX20" s="2" t="n">
        <v>6383.99</v>
      </c>
      <c r="BY20" s="2" t="n">
        <v>733.75</v>
      </c>
      <c r="BZ20" s="2" t="n">
        <v>0</v>
      </c>
      <c r="CA20" s="2" t="n">
        <v>7117.74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2180.98</v>
      </c>
      <c r="L21" s="2" t="n">
        <v>181.5463907407407</v>
      </c>
      <c r="M21" s="2" t="n">
        <v>2019.425925925926</v>
      </c>
      <c r="N21" s="2" t="n">
        <v>0</v>
      </c>
      <c r="O21" s="2" t="n">
        <v>2040.63</v>
      </c>
      <c r="P21" s="2" t="n">
        <v>140.35</v>
      </c>
      <c r="Q21" s="2" t="n">
        <v>109.5</v>
      </c>
      <c r="R21" s="2" t="n">
        <v>7.604166666666666</v>
      </c>
      <c r="S21" s="2" t="n">
        <v>101.3888888888889</v>
      </c>
      <c r="T21" s="2" t="n">
        <v>0</v>
      </c>
      <c r="U21" s="2" t="n">
        <v>109.5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10267.23</v>
      </c>
      <c r="AP21" s="2" t="n">
        <v>8300</v>
      </c>
      <c r="AQ21" s="2" t="n">
        <v>9506.694444444445</v>
      </c>
      <c r="AR21" s="2" t="n">
        <v>0</v>
      </c>
      <c r="AS21" s="2" t="n">
        <v>9191.700000000001</v>
      </c>
      <c r="AT21" s="2" t="n">
        <v>1075.53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12557.71</v>
      </c>
      <c r="BB21" s="2" t="n">
        <v>12557.71</v>
      </c>
      <c r="BC21" s="2">
        <f>F21+L21+R21+X21+AD21+AJ21+AP21+AV21+IF(BE21="",0,BE21)</f>
        <v/>
      </c>
      <c r="BD21" s="2" t="n">
        <v>193.388734</v>
      </c>
      <c r="BE21" s="2" t="n"/>
      <c r="BF21" s="2" t="n">
        <v>11627.50925925926</v>
      </c>
      <c r="BG21" s="2" t="n">
        <v>0</v>
      </c>
      <c r="BH21" s="2" t="n">
        <v>0</v>
      </c>
      <c r="BI21" s="2" t="n">
        <v>48703.25</v>
      </c>
      <c r="BJ21" s="2" t="n">
        <v>99.91589743589743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169.529085</v>
      </c>
      <c r="BQ21" s="2" t="n">
        <v>451.034188034188</v>
      </c>
      <c r="BR21" s="2" t="n">
        <v>49448.72917047008</v>
      </c>
      <c r="BS21" s="2" t="n">
        <v>869.1994017094017</v>
      </c>
      <c r="BT21" s="2" t="n">
        <v>0</v>
      </c>
      <c r="BU21" s="2" t="n">
        <v>10029.6798974359</v>
      </c>
      <c r="BV21" s="2" t="n">
        <v>10898.8792991453</v>
      </c>
      <c r="BW21" s="2" t="n">
        <v>60347.60846961538</v>
      </c>
      <c r="BX21" s="2" t="n">
        <v>11341.83</v>
      </c>
      <c r="BY21" s="2" t="n">
        <v>1215.88</v>
      </c>
      <c r="BZ21" s="2" t="n">
        <v>0</v>
      </c>
      <c r="CA21" s="2" t="n">
        <v>12557.71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600.53</v>
      </c>
      <c r="L22" s="2" t="n">
        <v>49.98856203703703</v>
      </c>
      <c r="M22" s="2" t="n">
        <v>556.0462962962962</v>
      </c>
      <c r="N22" s="2" t="n">
        <v>0</v>
      </c>
      <c r="O22" s="2" t="n">
        <v>531.8</v>
      </c>
      <c r="P22" s="2" t="n">
        <v>68.73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0.28</v>
      </c>
      <c r="AJ22" s="2" t="n">
        <v>0.01944444444444444</v>
      </c>
      <c r="AK22" s="2" t="n">
        <v>0.2592592592592592</v>
      </c>
      <c r="AL22" s="2" t="n">
        <v>0</v>
      </c>
      <c r="AM22" s="2" t="n">
        <v>0</v>
      </c>
      <c r="AN22" s="2" t="n">
        <v>0.28</v>
      </c>
      <c r="AO22" s="2" t="n">
        <v>2017.63</v>
      </c>
      <c r="AP22" s="2" t="n">
        <v>3500</v>
      </c>
      <c r="AQ22" s="2" t="n">
        <v>1868.175925925926</v>
      </c>
      <c r="AR22" s="2" t="n">
        <v>0</v>
      </c>
      <c r="AS22" s="2" t="n">
        <v>2006.63</v>
      </c>
      <c r="AT22" s="2" t="n">
        <v>11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2618.44</v>
      </c>
      <c r="BB22" s="2" t="n">
        <v>2618.44</v>
      </c>
      <c r="BC22" s="2">
        <f>F22+L22+R22+X22+AD22+AJ22+AP22+AV22+IF(BE22="",0,BE22)</f>
        <v/>
      </c>
      <c r="BD22" s="2" t="n">
        <v>40.323976</v>
      </c>
      <c r="BE22" s="2" t="n"/>
      <c r="BF22" s="2" t="n">
        <v>2424.481481481481</v>
      </c>
      <c r="BG22" s="2" t="n">
        <v>0</v>
      </c>
      <c r="BH22" s="2" t="n">
        <v>0</v>
      </c>
      <c r="BI22" s="2" t="n">
        <v>48703.25</v>
      </c>
      <c r="BJ22" s="2" t="n">
        <v>99.91589743589743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35.34894</v>
      </c>
      <c r="BQ22" s="2" t="n">
        <v>451.034188034188</v>
      </c>
      <c r="BR22" s="2" t="n">
        <v>49314.54902547009</v>
      </c>
      <c r="BS22" s="2" t="n">
        <v>869.1994017094017</v>
      </c>
      <c r="BT22" s="2" t="n">
        <v>0</v>
      </c>
      <c r="BU22" s="2" t="n">
        <v>10029.6798974359</v>
      </c>
      <c r="BV22" s="2" t="n">
        <v>10898.8792991453</v>
      </c>
      <c r="BW22" s="2" t="n">
        <v>60213.42832461539</v>
      </c>
      <c r="BX22" s="2" t="n">
        <v>2538.43</v>
      </c>
      <c r="BY22" s="2" t="n">
        <v>80.01000000000001</v>
      </c>
      <c r="BZ22" s="2" t="n">
        <v>0</v>
      </c>
      <c r="CA22" s="2" t="n">
        <v>2618.440000000001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15975.98</v>
      </c>
      <c r="L23" s="2" t="n">
        <v>1329.852409259259</v>
      </c>
      <c r="M23" s="2" t="n">
        <v>14792.57407407407</v>
      </c>
      <c r="N23" s="2" t="n">
        <v>0</v>
      </c>
      <c r="O23" s="2" t="n">
        <v>15158.63</v>
      </c>
      <c r="P23" s="2" t="n">
        <v>817.35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17815.9</v>
      </c>
      <c r="AP23" s="2" t="n">
        <v>3500</v>
      </c>
      <c r="AQ23" s="2" t="n">
        <v>16496.2037037037</v>
      </c>
      <c r="AR23" s="2" t="n">
        <v>0</v>
      </c>
      <c r="AS23" s="2" t="n">
        <v>16901.36</v>
      </c>
      <c r="AT23" s="2" t="n">
        <v>914.54</v>
      </c>
      <c r="AU23" s="2" t="n">
        <v>12371.9</v>
      </c>
      <c r="AV23" s="2" t="n">
        <v>985.1698148148146</v>
      </c>
      <c r="AW23" s="2" t="n">
        <v>11455.46296296296</v>
      </c>
      <c r="AX23" s="2" t="n">
        <v>0</v>
      </c>
      <c r="AY23" s="2" t="n">
        <v>11786.55</v>
      </c>
      <c r="AZ23" s="2" t="n">
        <v>585.35</v>
      </c>
      <c r="BA23" s="2" t="n">
        <v>46163.78000000001</v>
      </c>
      <c r="BB23" s="2" t="n">
        <v>46163.78000000001</v>
      </c>
      <c r="BC23" s="2">
        <f>F23+L23+R23+X23+AD23+AJ23+AP23+AV23+IF(BE23="",0,BE23)</f>
        <v/>
      </c>
      <c r="BD23" s="2" t="n">
        <v>710.9222119999999</v>
      </c>
      <c r="BE23" s="2" t="n"/>
      <c r="BF23" s="2" t="n">
        <v>42744.24074074074</v>
      </c>
      <c r="BG23" s="2" t="n">
        <v>0</v>
      </c>
      <c r="BH23" s="2" t="n">
        <v>0</v>
      </c>
      <c r="BI23" s="2" t="n">
        <v>48703.25</v>
      </c>
      <c r="BJ23" s="2" t="n">
        <v>99.91589743589743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623.2110299999999</v>
      </c>
      <c r="BQ23" s="2" t="n">
        <v>451.034188034188</v>
      </c>
      <c r="BR23" s="2" t="n">
        <v>49902.41111547008</v>
      </c>
      <c r="BS23" s="2" t="n">
        <v>869.1994017094017</v>
      </c>
      <c r="BT23" s="2" t="n">
        <v>0</v>
      </c>
      <c r="BU23" s="2" t="n">
        <v>10029.6798974359</v>
      </c>
      <c r="BV23" s="2" t="n">
        <v>10898.8792991453</v>
      </c>
      <c r="BW23" s="2" t="n">
        <v>60801.29041461538</v>
      </c>
      <c r="BX23" s="2" t="n">
        <v>43846.53999999999</v>
      </c>
      <c r="BY23" s="2" t="n">
        <v>2317.24</v>
      </c>
      <c r="BZ23" s="2" t="n">
        <v>0</v>
      </c>
      <c r="CA23" s="2" t="n">
        <v>46163.77999999999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1124</v>
      </c>
      <c r="B24" t="inlineStr">
        <is>
          <t>Zwierzyn (Strzelce Krajenskie)</t>
        </is>
      </c>
      <c r="C24" t="inlineStr"/>
      <c r="D24" t="inlineStr"/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65.45</v>
      </c>
      <c r="L24" s="2" t="n">
        <v>0</v>
      </c>
      <c r="M24" s="2" t="n">
        <v>60.60185185185185</v>
      </c>
      <c r="N24" s="2" t="n">
        <v>0</v>
      </c>
      <c r="O24" s="2" t="n">
        <v>65.45</v>
      </c>
      <c r="P24" s="2" t="n">
        <v>0</v>
      </c>
      <c r="Q24" s="2" t="n">
        <v>0.72</v>
      </c>
      <c r="R24" s="2" t="n">
        <v>0</v>
      </c>
      <c r="S24" s="2" t="n">
        <v>0.6666666666666666</v>
      </c>
      <c r="T24" s="2" t="n">
        <v>0</v>
      </c>
      <c r="U24" s="2" t="n">
        <v>0.72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66.17</v>
      </c>
      <c r="BB24" s="2" t="n">
        <v>66.17</v>
      </c>
      <c r="BC24" s="2">
        <f>F24+L24+R24+X24+AD24+AJ24+AP24+AV24+IF(BE24="",0,BE24)</f>
        <v/>
      </c>
      <c r="BD24" s="2" t="n">
        <v>1.019018</v>
      </c>
      <c r="BE24" s="2" t="n"/>
      <c r="BF24" s="2" t="n">
        <v>61.26851851851851</v>
      </c>
      <c r="BG24" s="2" t="n">
        <v>0</v>
      </c>
      <c r="BH24" s="2" t="n">
        <v>0</v>
      </c>
      <c r="BI24" s="2" t="n">
        <v>48703.25</v>
      </c>
      <c r="BJ24" s="2" t="n">
        <v>99.91589743589743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0.893295</v>
      </c>
      <c r="BQ24" s="2" t="n">
        <v>451.034188034188</v>
      </c>
      <c r="BR24" s="2" t="n">
        <v>49280.09338047008</v>
      </c>
      <c r="BS24" s="2" t="n">
        <v>869.1994017094017</v>
      </c>
      <c r="BT24" s="2" t="n">
        <v>0</v>
      </c>
      <c r="BU24" s="2" t="n">
        <v>10029.6798974359</v>
      </c>
      <c r="BV24" s="2" t="n">
        <v>10898.8792991453</v>
      </c>
      <c r="BW24" s="2" t="n">
        <v>60178.97267961538</v>
      </c>
      <c r="BX24" s="2" t="n">
        <v>66.17</v>
      </c>
      <c r="BY24" s="2" t="n">
        <v>0</v>
      </c>
      <c r="BZ24" s="2" t="n">
        <v>0</v>
      </c>
      <c r="CA24" s="2" t="n">
        <v>66.17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1125</v>
      </c>
      <c r="B25" t="inlineStr">
        <is>
          <t>Koluszki</t>
        </is>
      </c>
      <c r="C25" t="inlineStr">
        <is>
          <t>Koluszki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3947.69</v>
      </c>
      <c r="L25" s="2" t="n">
        <v>328.6086398148148</v>
      </c>
      <c r="M25" s="2" t="n">
        <v>3655.268518518518</v>
      </c>
      <c r="N25" s="2" t="n">
        <v>0</v>
      </c>
      <c r="O25" s="2" t="n">
        <v>3540.69</v>
      </c>
      <c r="P25" s="2" t="n">
        <v>407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1981.01</v>
      </c>
      <c r="AJ25" s="2" t="n">
        <v>137.5701388888889</v>
      </c>
      <c r="AK25" s="2" t="n">
        <v>1834.268518518518</v>
      </c>
      <c r="AL25" s="2" t="n">
        <v>0</v>
      </c>
      <c r="AM25" s="2" t="n">
        <v>1797.07</v>
      </c>
      <c r="AN25" s="2" t="n">
        <v>183.94</v>
      </c>
      <c r="AO25" s="2" t="n">
        <v>1429.72</v>
      </c>
      <c r="AP25" s="2" t="n">
        <v>4200</v>
      </c>
      <c r="AQ25" s="2" t="n">
        <v>1323.814814814815</v>
      </c>
      <c r="AR25" s="2" t="n">
        <v>0</v>
      </c>
      <c r="AS25" s="2" t="n">
        <v>1263.63</v>
      </c>
      <c r="AT25" s="2" t="n">
        <v>166.09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7358.42</v>
      </c>
      <c r="BB25" s="2" t="n">
        <v>7358.42</v>
      </c>
      <c r="BC25" s="2">
        <f>F25+L25+R25+X25+AD25+AJ25+AP25+AV25+IF(BE25="",0,BE25)</f>
        <v/>
      </c>
      <c r="BD25" s="2" t="n">
        <v>113.319668</v>
      </c>
      <c r="BE25" s="2" t="n"/>
      <c r="BF25" s="2" t="n">
        <v>6813.351851851851</v>
      </c>
      <c r="BG25" s="2" t="n">
        <v>0</v>
      </c>
      <c r="BH25" s="2" t="n">
        <v>0</v>
      </c>
      <c r="BI25" s="2" t="n">
        <v>48703.25</v>
      </c>
      <c r="BJ25" s="2" t="n">
        <v>99.91589743589743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99.33867000000001</v>
      </c>
      <c r="BQ25" s="2" t="n">
        <v>451.034188034188</v>
      </c>
      <c r="BR25" s="2" t="n">
        <v>49378.53875547008</v>
      </c>
      <c r="BS25" s="2" t="n">
        <v>869.1994017094017</v>
      </c>
      <c r="BT25" s="2" t="n">
        <v>0</v>
      </c>
      <c r="BU25" s="2" t="n">
        <v>10029.6798974359</v>
      </c>
      <c r="BV25" s="2" t="n">
        <v>10898.8792991453</v>
      </c>
      <c r="BW25" s="2" t="n">
        <v>60277.41805461538</v>
      </c>
      <c r="BX25" s="2" t="n">
        <v>6601.39</v>
      </c>
      <c r="BY25" s="2" t="n">
        <v>757.0300000000001</v>
      </c>
      <c r="BZ25" s="2" t="n">
        <v>0</v>
      </c>
      <c r="CA25" s="2" t="n">
        <v>7358.42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1126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34269.93</v>
      </c>
      <c r="L26" s="2" t="n">
        <v>2852.654358333333</v>
      </c>
      <c r="M26" s="2" t="n">
        <v>31731.41666666666</v>
      </c>
      <c r="N26" s="2" t="n">
        <v>0</v>
      </c>
      <c r="O26" s="2" t="n">
        <v>33019.77</v>
      </c>
      <c r="P26" s="2" t="n">
        <v>1250.16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420.86</v>
      </c>
      <c r="AJ26" s="2" t="n">
        <v>29.22638888888888</v>
      </c>
      <c r="AK26" s="2" t="n">
        <v>389.6851851851852</v>
      </c>
      <c r="AL26" s="2" t="n">
        <v>0</v>
      </c>
      <c r="AM26" s="2" t="n">
        <v>420.86</v>
      </c>
      <c r="AN26" s="2" t="n">
        <v>0</v>
      </c>
      <c r="AO26" s="2" t="n">
        <v>1123.72</v>
      </c>
      <c r="AP26" s="2" t="n">
        <v>82.19803703703704</v>
      </c>
      <c r="AQ26" s="2" t="n">
        <v>1040.481481481482</v>
      </c>
      <c r="AR26" s="2" t="n">
        <v>0</v>
      </c>
      <c r="AS26" s="2" t="n">
        <v>985.38</v>
      </c>
      <c r="AT26" s="2" t="n">
        <v>138.34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35814.51</v>
      </c>
      <c r="BB26" s="2" t="n">
        <v>35814.51</v>
      </c>
      <c r="BC26" s="2">
        <f>F26+L26+R26+X26+AD26+AJ26+AP26+AV26+IF(BE26="",0,BE26)</f>
        <v/>
      </c>
      <c r="BD26" s="2" t="n">
        <v>551.543454</v>
      </c>
      <c r="BE26" s="2" t="n"/>
      <c r="BF26" s="2" t="n">
        <v>33161.58333333333</v>
      </c>
      <c r="BG26" s="2" t="n">
        <v>0</v>
      </c>
      <c r="BH26" s="2" t="n">
        <v>0</v>
      </c>
      <c r="BI26" s="2" t="n">
        <v>48703.25</v>
      </c>
      <c r="BJ26" s="2" t="n">
        <v>99.91589743589743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483.4958849999999</v>
      </c>
      <c r="BQ26" s="2" t="n">
        <v>451.034188034188</v>
      </c>
      <c r="BR26" s="2" t="n">
        <v>49762.69597047008</v>
      </c>
      <c r="BS26" s="2" t="n">
        <v>869.1994017094017</v>
      </c>
      <c r="BT26" s="2" t="n">
        <v>0</v>
      </c>
      <c r="BU26" s="2" t="n">
        <v>10029.6798974359</v>
      </c>
      <c r="BV26" s="2" t="n">
        <v>10898.8792991453</v>
      </c>
      <c r="BW26" s="2" t="n">
        <v>60661.57526961538</v>
      </c>
      <c r="BX26" s="2" t="n">
        <v>34426.00999999999</v>
      </c>
      <c r="BY26" s="2" t="n">
        <v>1388.5</v>
      </c>
      <c r="BZ26" s="2" t="n">
        <v>0</v>
      </c>
      <c r="CA26" s="2" t="n">
        <v>35814.50999999999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1127</v>
      </c>
      <c r="B27" t="inlineStr">
        <is>
          <t>Warszawa Centralna</t>
        </is>
      </c>
      <c r="C27" t="inlineStr">
        <is>
          <t>Warszawa Centralna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28529.02</v>
      </c>
      <c r="L27" s="2" t="n">
        <v>2374.776757407408</v>
      </c>
      <c r="M27" s="2" t="n">
        <v>26415.75925925926</v>
      </c>
      <c r="N27" s="2" t="n">
        <v>0</v>
      </c>
      <c r="O27" s="2" t="n">
        <v>26747.86</v>
      </c>
      <c r="P27" s="2" t="n">
        <v>1781.16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725.8</v>
      </c>
      <c r="AJ27" s="2" t="n">
        <v>50.40277777777777</v>
      </c>
      <c r="AK27" s="2" t="n">
        <v>672.037037037037</v>
      </c>
      <c r="AL27" s="2" t="n">
        <v>0</v>
      </c>
      <c r="AM27" s="2" t="n">
        <v>653.8</v>
      </c>
      <c r="AN27" s="2" t="n">
        <v>72</v>
      </c>
      <c r="AO27" s="2" t="n">
        <v>2013.22</v>
      </c>
      <c r="AP27" s="2" t="n">
        <v>147.2633148148148</v>
      </c>
      <c r="AQ27" s="2" t="n">
        <v>1864.092592592592</v>
      </c>
      <c r="AR27" s="2" t="n">
        <v>0</v>
      </c>
      <c r="AS27" s="2" t="n">
        <v>1945.9</v>
      </c>
      <c r="AT27" s="2" t="n">
        <v>67.31999999999999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31268.04</v>
      </c>
      <c r="BB27" s="2" t="n">
        <v>31268.04</v>
      </c>
      <c r="BC27" s="2">
        <f>F27+L27+R27+X27+AD27+AJ27+AP27+AV27+IF(BE27="",0,BE27)</f>
        <v/>
      </c>
      <c r="BD27" s="2" t="n">
        <v>481.527816</v>
      </c>
      <c r="BE27" s="2" t="n"/>
      <c r="BF27" s="2" t="n">
        <v>28951.88888888889</v>
      </c>
      <c r="BG27" s="2" t="n">
        <v>0</v>
      </c>
      <c r="BH27" s="2" t="n">
        <v>0</v>
      </c>
      <c r="BI27" s="2" t="n">
        <v>48703.25</v>
      </c>
      <c r="BJ27" s="2" t="n">
        <v>99.91589743589743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422.11854</v>
      </c>
      <c r="BQ27" s="2" t="n">
        <v>451.034188034188</v>
      </c>
      <c r="BR27" s="2" t="n">
        <v>49701.31862547008</v>
      </c>
      <c r="BS27" s="2" t="n">
        <v>869.1994017094017</v>
      </c>
      <c r="BT27" s="2" t="n">
        <v>0</v>
      </c>
      <c r="BU27" s="2" t="n">
        <v>10029.6798974359</v>
      </c>
      <c r="BV27" s="2" t="n">
        <v>10898.8792991453</v>
      </c>
      <c r="BW27" s="2" t="n">
        <v>60600.19792461539</v>
      </c>
      <c r="BX27" s="2" t="n">
        <v>29347.56</v>
      </c>
      <c r="BY27" s="2" t="n">
        <v>1920.48</v>
      </c>
      <c r="BZ27" s="2" t="n">
        <v>0</v>
      </c>
      <c r="CA27" s="2" t="n">
        <v>31268.04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1128</v>
      </c>
      <c r="B28" t="inlineStr">
        <is>
          <t>Wojska Polskiego 109, 64-761 Krzyż Wielkopolski</t>
        </is>
      </c>
      <c r="C28" t="inlineStr">
        <is>
          <t>Krzyż Wielkopolski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4402.85</v>
      </c>
      <c r="L28" s="2" t="n">
        <v>366.4964953703704</v>
      </c>
      <c r="M28" s="2" t="n">
        <v>4076.712962962963</v>
      </c>
      <c r="N28" s="2" t="n">
        <v>0</v>
      </c>
      <c r="O28" s="2" t="n">
        <v>3820.8</v>
      </c>
      <c r="P28" s="2" t="n">
        <v>582.05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348.6</v>
      </c>
      <c r="AD28" s="2" t="n">
        <v>22.27166666666666</v>
      </c>
      <c r="AE28" s="2" t="n">
        <v>322.7777777777777</v>
      </c>
      <c r="AF28" s="2" t="n">
        <v>0</v>
      </c>
      <c r="AG28" s="2" t="n">
        <v>320.7</v>
      </c>
      <c r="AH28" s="2" t="n">
        <v>27.9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3902</v>
      </c>
      <c r="AP28" s="2" t="n">
        <v>285.424074074074</v>
      </c>
      <c r="AQ28" s="2" t="n">
        <v>3612.962962962963</v>
      </c>
      <c r="AR28" s="2" t="n">
        <v>0</v>
      </c>
      <c r="AS28" s="2" t="n">
        <v>3572.37</v>
      </c>
      <c r="AT28" s="2" t="n">
        <v>329.63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8653.450000000001</v>
      </c>
      <c r="BB28" s="2" t="n">
        <v>8653.450000000001</v>
      </c>
      <c r="BC28" s="2">
        <f>F28+L28+R28+X28+AD28+AJ28+AP28+AV28+IF(BE28="",0,BE28)</f>
        <v/>
      </c>
      <c r="BD28" s="2" t="n">
        <v>133.26313</v>
      </c>
      <c r="BE28" s="2" t="n"/>
      <c r="BF28" s="2" t="n">
        <v>8012.453703703703</v>
      </c>
      <c r="BG28" s="2" t="n">
        <v>518</v>
      </c>
      <c r="BH28" s="2" t="n">
        <v>332</v>
      </c>
      <c r="BI28" s="2" t="n">
        <v>48703.25</v>
      </c>
      <c r="BJ28" s="2" t="n">
        <v>99.91589743589743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116.821575</v>
      </c>
      <c r="BQ28" s="2" t="n">
        <v>451.034188034188</v>
      </c>
      <c r="BR28" s="2" t="n">
        <v>50246.02166047008</v>
      </c>
      <c r="BS28" s="2" t="n">
        <v>869.1994017094017</v>
      </c>
      <c r="BT28" s="2" t="n">
        <v>0</v>
      </c>
      <c r="BU28" s="2" t="n">
        <v>10199.6798974359</v>
      </c>
      <c r="BV28" s="2" t="n">
        <v>11068.8792991453</v>
      </c>
      <c r="BW28" s="2" t="n">
        <v>61314.90095961538</v>
      </c>
      <c r="BX28" s="2" t="n">
        <v>7713.87</v>
      </c>
      <c r="BY28" s="2" t="n">
        <v>939.5799999999999</v>
      </c>
      <c r="BZ28" s="2" t="n">
        <v>0</v>
      </c>
      <c r="CA28" s="2" t="n">
        <v>8653.450000000001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1129</v>
      </c>
      <c r="B29" t="inlineStr">
        <is>
          <t>Dworcowa 1, 62-300 Września</t>
        </is>
      </c>
      <c r="C29" t="inlineStr">
        <is>
          <t>Września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2114.82</v>
      </c>
      <c r="L29" s="2" t="n">
        <v>176.0391833333334</v>
      </c>
      <c r="M29" s="2" t="n">
        <v>1958.166666666667</v>
      </c>
      <c r="N29" s="2" t="n">
        <v>0</v>
      </c>
      <c r="O29" s="2" t="n">
        <v>2114.82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8465.389999999999</v>
      </c>
      <c r="AD29" s="2" t="n">
        <v>540.8443611111111</v>
      </c>
      <c r="AE29" s="2" t="n">
        <v>7838.324074074073</v>
      </c>
      <c r="AF29" s="2" t="n">
        <v>0</v>
      </c>
      <c r="AG29" s="2" t="n">
        <v>7695.98</v>
      </c>
      <c r="AH29" s="2" t="n">
        <v>769.41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17.95</v>
      </c>
      <c r="AP29" s="2" t="n">
        <v>1.313009259259259</v>
      </c>
      <c r="AQ29" s="2" t="n">
        <v>16.62037037037037</v>
      </c>
      <c r="AR29" s="2" t="n">
        <v>0</v>
      </c>
      <c r="AS29" s="2" t="n">
        <v>17.95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10598.16</v>
      </c>
      <c r="BB29" s="2" t="n">
        <v>10598.16</v>
      </c>
      <c r="BC29" s="2">
        <f>F29+L29+R29+X29+AD29+AJ29+AP29+AV29+IF(BE29="",0,BE29)</f>
        <v/>
      </c>
      <c r="BD29" s="2" t="n">
        <v>163.211664</v>
      </c>
      <c r="BE29" s="2" t="n"/>
      <c r="BF29" s="2" t="n">
        <v>9813.111111111109</v>
      </c>
      <c r="BG29" s="2" t="n">
        <v>400</v>
      </c>
      <c r="BH29" s="2" t="n">
        <v>243.8</v>
      </c>
      <c r="BI29" s="2" t="n">
        <v>48703.25</v>
      </c>
      <c r="BJ29" s="2" t="n">
        <v>99.91589743589743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143.07516</v>
      </c>
      <c r="BQ29" s="2" t="n">
        <v>451.034188034188</v>
      </c>
      <c r="BR29" s="2" t="n">
        <v>50066.07524547009</v>
      </c>
      <c r="BS29" s="2" t="n">
        <v>869.1994017094017</v>
      </c>
      <c r="BT29" s="2" t="n">
        <v>0</v>
      </c>
      <c r="BU29" s="2" t="n">
        <v>10158.4398974359</v>
      </c>
      <c r="BV29" s="2" t="n">
        <v>11027.6392991453</v>
      </c>
      <c r="BW29" s="2" t="n">
        <v>61093.71454461539</v>
      </c>
      <c r="BX29" s="2" t="n">
        <v>9828.75</v>
      </c>
      <c r="BY29" s="2" t="n">
        <v>769.41</v>
      </c>
      <c r="BZ29" s="2" t="n">
        <v>0</v>
      </c>
      <c r="CA29" s="2" t="n">
        <v>10598.16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1130</v>
      </c>
      <c r="B30" t="inlineStr">
        <is>
          <t>Plac Dworcowy 2, 64-300 Nowy Tomyśl</t>
        </is>
      </c>
      <c r="C30" t="inlineStr">
        <is>
          <t>Nowy Tomyśl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1749.4</v>
      </c>
      <c r="L30" s="2" t="n">
        <v>145.6213518518519</v>
      </c>
      <c r="M30" s="2" t="n">
        <v>1619.814814814815</v>
      </c>
      <c r="N30" s="2" t="n">
        <v>0</v>
      </c>
      <c r="O30" s="2" t="n">
        <v>1580.4</v>
      </c>
      <c r="P30" s="2" t="n">
        <v>169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3145.46</v>
      </c>
      <c r="AD30" s="2" t="n">
        <v>200.9599444444444</v>
      </c>
      <c r="AE30" s="2" t="n">
        <v>2912.462962962963</v>
      </c>
      <c r="AF30" s="2" t="n">
        <v>0</v>
      </c>
      <c r="AG30" s="2" t="n">
        <v>2826.33</v>
      </c>
      <c r="AH30" s="2" t="n">
        <v>319.13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844.85</v>
      </c>
      <c r="AP30" s="2" t="n">
        <v>61.79921296296296</v>
      </c>
      <c r="AQ30" s="2" t="n">
        <v>782.2685185185185</v>
      </c>
      <c r="AR30" s="2" t="n">
        <v>0</v>
      </c>
      <c r="AS30" s="2" t="n">
        <v>777.1900000000001</v>
      </c>
      <c r="AT30" s="2" t="n">
        <v>67.66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5739.710000000001</v>
      </c>
      <c r="BB30" s="2" t="n">
        <v>5739.710000000001</v>
      </c>
      <c r="BC30" s="2">
        <f>F30+L30+R30+X30+AD30+AJ30+AP30+AV30+IF(BE30="",0,BE30)</f>
        <v/>
      </c>
      <c r="BD30" s="2" t="n">
        <v>88.39153399999999</v>
      </c>
      <c r="BE30" s="2" t="n"/>
      <c r="BF30" s="2" t="n">
        <v>5314.546296296296</v>
      </c>
      <c r="BG30" s="2" t="n">
        <v>362.68</v>
      </c>
      <c r="BH30" s="2" t="n">
        <v>246</v>
      </c>
      <c r="BI30" s="2" t="n">
        <v>48703.25</v>
      </c>
      <c r="BJ30" s="2" t="n">
        <v>99.91589743589743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77.486085</v>
      </c>
      <c r="BQ30" s="2" t="n">
        <v>451.034188034188</v>
      </c>
      <c r="BR30" s="2" t="n">
        <v>49965.36617047008</v>
      </c>
      <c r="BS30" s="2" t="n">
        <v>869.1994017094017</v>
      </c>
      <c r="BT30" s="2" t="n">
        <v>0</v>
      </c>
      <c r="BU30" s="2" t="n">
        <v>10151.4158974359</v>
      </c>
      <c r="BV30" s="2" t="n">
        <v>11020.6152991453</v>
      </c>
      <c r="BW30" s="2" t="n">
        <v>60985.98146961538</v>
      </c>
      <c r="BX30" s="2" t="n">
        <v>5183.92</v>
      </c>
      <c r="BY30" s="2" t="n">
        <v>555.79</v>
      </c>
      <c r="BZ30" s="2" t="n">
        <v>0</v>
      </c>
      <c r="CA30" s="2" t="n">
        <v>5739.71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1131</v>
      </c>
      <c r="B31" t="inlineStr">
        <is>
          <t>Dworcowa 1, 64-000 Kościan</t>
        </is>
      </c>
      <c r="C31" t="inlineStr">
        <is>
          <t>Kościan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4693.5</v>
      </c>
      <c r="L31" s="2" t="n">
        <v>390.6904166666667</v>
      </c>
      <c r="M31" s="2" t="n">
        <v>4345.833333333333</v>
      </c>
      <c r="N31" s="2" t="n">
        <v>0</v>
      </c>
      <c r="O31" s="2" t="n">
        <v>4308.5</v>
      </c>
      <c r="P31" s="2" t="n">
        <v>385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3255.95</v>
      </c>
      <c r="AD31" s="2" t="n">
        <v>208.0190277777778</v>
      </c>
      <c r="AE31" s="2" t="n">
        <v>3014.768518518519</v>
      </c>
      <c r="AF31" s="2" t="n">
        <v>0</v>
      </c>
      <c r="AG31" s="2" t="n">
        <v>3016.3</v>
      </c>
      <c r="AH31" s="2" t="n">
        <v>239.65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2491.08</v>
      </c>
      <c r="AP31" s="2" t="n">
        <v>182.2178888888889</v>
      </c>
      <c r="AQ31" s="2" t="n">
        <v>2306.555555555555</v>
      </c>
      <c r="AR31" s="2" t="n">
        <v>0</v>
      </c>
      <c r="AS31" s="2" t="n">
        <v>2229.97</v>
      </c>
      <c r="AT31" s="2" t="n">
        <v>261.11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10440.53</v>
      </c>
      <c r="BB31" s="2" t="n">
        <v>10440.53</v>
      </c>
      <c r="BC31" s="2">
        <f>F31+L31+R31+X31+AD31+AJ31+AP31+AV31+IF(BE31="",0,BE31)</f>
        <v/>
      </c>
      <c r="BD31" s="2" t="n">
        <v>160.784162</v>
      </c>
      <c r="BE31" s="2" t="n"/>
      <c r="BF31" s="2" t="n">
        <v>9667.157407407407</v>
      </c>
      <c r="BG31" s="2" t="n">
        <v>300</v>
      </c>
      <c r="BH31" s="2" t="n">
        <v>340.5</v>
      </c>
      <c r="BI31" s="2" t="n">
        <v>48703.25</v>
      </c>
      <c r="BJ31" s="2" t="n">
        <v>99.91589743589743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140.947155</v>
      </c>
      <c r="BQ31" s="2" t="n">
        <v>451.034188034188</v>
      </c>
      <c r="BR31" s="2" t="n">
        <v>50060.64724047008</v>
      </c>
      <c r="BS31" s="2" t="n">
        <v>869.1994017094017</v>
      </c>
      <c r="BT31" s="2" t="n">
        <v>0</v>
      </c>
      <c r="BU31" s="2" t="n">
        <v>10157.7798974359</v>
      </c>
      <c r="BV31" s="2" t="n">
        <v>11026.9792991453</v>
      </c>
      <c r="BW31" s="2" t="n">
        <v>61087.62653961538</v>
      </c>
      <c r="BX31" s="2" t="n">
        <v>9554.77</v>
      </c>
      <c r="BY31" s="2" t="n">
        <v>885.76</v>
      </c>
      <c r="BZ31" s="2" t="n">
        <v>0</v>
      </c>
      <c r="CA31" s="2" t="n">
        <v>10440.53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1132</v>
      </c>
      <c r="B32" t="inlineStr">
        <is>
          <t>Dworcowa 1, 63-900 Rawicz</t>
        </is>
      </c>
      <c r="C32" t="inlineStr">
        <is>
          <t>Rawicz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3115.06</v>
      </c>
      <c r="L32" s="2" t="n">
        <v>259.2999018518519</v>
      </c>
      <c r="M32" s="2" t="n">
        <v>2884.314814814815</v>
      </c>
      <c r="N32" s="2" t="n">
        <v>0</v>
      </c>
      <c r="O32" s="2" t="n">
        <v>2683.14</v>
      </c>
      <c r="P32" s="2" t="n">
        <v>431.92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490.92</v>
      </c>
      <c r="AD32" s="2" t="n">
        <v>31.36433333333333</v>
      </c>
      <c r="AE32" s="2" t="n">
        <v>454.5555555555555</v>
      </c>
      <c r="AF32" s="2" t="n">
        <v>0</v>
      </c>
      <c r="AG32" s="2" t="n">
        <v>479.45</v>
      </c>
      <c r="AH32" s="2" t="n">
        <v>11.47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1597.62</v>
      </c>
      <c r="AP32" s="2" t="n">
        <v>116.8629444444445</v>
      </c>
      <c r="AQ32" s="2" t="n">
        <v>1479.277777777778</v>
      </c>
      <c r="AR32" s="2" t="n">
        <v>0</v>
      </c>
      <c r="AS32" s="2" t="n">
        <v>1413.69</v>
      </c>
      <c r="AT32" s="2" t="n">
        <v>183.93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5203.6</v>
      </c>
      <c r="BB32" s="2" t="n">
        <v>5203.6</v>
      </c>
      <c r="BC32" s="2">
        <f>F32+L32+R32+X32+AD32+AJ32+AP32+AV32+IF(BE32="",0,BE32)</f>
        <v/>
      </c>
      <c r="BD32" s="2" t="n">
        <v>80.13544000000002</v>
      </c>
      <c r="BE32" s="2" t="n"/>
      <c r="BF32" s="2" t="n">
        <v>4818.148148148148</v>
      </c>
      <c r="BG32" s="2" t="n">
        <v>250</v>
      </c>
      <c r="BH32" s="2" t="n">
        <v>182.45</v>
      </c>
      <c r="BI32" s="2" t="n">
        <v>48703.25</v>
      </c>
      <c r="BJ32" s="2" t="n">
        <v>99.91589743589743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70.2486</v>
      </c>
      <c r="BQ32" s="2" t="n">
        <v>451.034188034188</v>
      </c>
      <c r="BR32" s="2" t="n">
        <v>49781.89868547008</v>
      </c>
      <c r="BS32" s="2" t="n">
        <v>869.1994017094017</v>
      </c>
      <c r="BT32" s="2" t="n">
        <v>0</v>
      </c>
      <c r="BU32" s="2" t="n">
        <v>10116.1698974359</v>
      </c>
      <c r="BV32" s="2" t="n">
        <v>10985.3692991453</v>
      </c>
      <c r="BW32" s="2" t="n">
        <v>60767.26798461538</v>
      </c>
      <c r="BX32" s="2" t="n">
        <v>4576.28</v>
      </c>
      <c r="BY32" s="2" t="n">
        <v>627.3200000000001</v>
      </c>
      <c r="BZ32" s="2" t="n">
        <v>0</v>
      </c>
      <c r="CA32" s="2" t="n">
        <v>5203.599999999999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1133</v>
      </c>
      <c r="B33" t="inlineStr">
        <is>
          <t>Kolejowa 1, 62-069 Palędzie</t>
        </is>
      </c>
      <c r="C33" t="inlineStr">
        <is>
          <t>Palędzie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1825.31</v>
      </c>
      <c r="AD33" s="2" t="n">
        <v>116.6170277777778</v>
      </c>
      <c r="AE33" s="2" t="n">
        <v>1690.101851851852</v>
      </c>
      <c r="AF33" s="2" t="n">
        <v>0</v>
      </c>
      <c r="AG33" s="2" t="n">
        <v>1740.47</v>
      </c>
      <c r="AH33" s="2" t="n">
        <v>84.84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692.1800000000001</v>
      </c>
      <c r="AP33" s="2" t="n">
        <v>50.63168518518518</v>
      </c>
      <c r="AQ33" s="2" t="n">
        <v>640.9074074074074</v>
      </c>
      <c r="AR33" s="2" t="n">
        <v>0</v>
      </c>
      <c r="AS33" s="2" t="n">
        <v>577.7</v>
      </c>
      <c r="AT33" s="2" t="n">
        <v>114.48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2517.49</v>
      </c>
      <c r="BB33" s="2" t="n">
        <v>2517.49</v>
      </c>
      <c r="BC33" s="2">
        <f>F33+L33+R33+X33+AD33+AJ33+AP33+AV33+IF(BE33="",0,BE33)</f>
        <v/>
      </c>
      <c r="BD33" s="2" t="n">
        <v>38.769346</v>
      </c>
      <c r="BE33" s="2" t="n"/>
      <c r="BF33" s="2" t="n">
        <v>2331.009259259259</v>
      </c>
      <c r="BG33" s="2" t="n">
        <v>0</v>
      </c>
      <c r="BH33" s="2" t="n">
        <v>0</v>
      </c>
      <c r="BI33" s="2" t="n">
        <v>48703.25</v>
      </c>
      <c r="BJ33" s="2" t="n">
        <v>99.91589743589743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33.986115</v>
      </c>
      <c r="BQ33" s="2" t="n">
        <v>451.034188034188</v>
      </c>
      <c r="BR33" s="2" t="n">
        <v>49313.18620047008</v>
      </c>
      <c r="BS33" s="2" t="n">
        <v>869.1994017094017</v>
      </c>
      <c r="BT33" s="2" t="n">
        <v>0</v>
      </c>
      <c r="BU33" s="2" t="n">
        <v>10029.6798974359</v>
      </c>
      <c r="BV33" s="2" t="n">
        <v>10898.8792991453</v>
      </c>
      <c r="BW33" s="2" t="n">
        <v>60212.06549961538</v>
      </c>
      <c r="BX33" s="2" t="n">
        <v>2318.17</v>
      </c>
      <c r="BY33" s="2" t="n">
        <v>199.32</v>
      </c>
      <c r="BZ33" s="2" t="n">
        <v>0</v>
      </c>
      <c r="CA33" s="2" t="n">
        <v>2517.49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1134</v>
      </c>
      <c r="B34" t="inlineStr">
        <is>
          <t>Dworcowa 1, 64-800 Chodzież</t>
        </is>
      </c>
      <c r="C34" t="inlineStr">
        <is>
          <t>Chodzież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1469.19</v>
      </c>
      <c r="L34" s="2" t="n">
        <v>122.2964638888889</v>
      </c>
      <c r="M34" s="2" t="n">
        <v>1360.361111111111</v>
      </c>
      <c r="N34" s="2" t="n">
        <v>0</v>
      </c>
      <c r="O34" s="2" t="n">
        <v>1245.43</v>
      </c>
      <c r="P34" s="2" t="n">
        <v>223.76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1736.16</v>
      </c>
      <c r="AD34" s="2" t="n">
        <v>110.9213333333333</v>
      </c>
      <c r="AE34" s="2" t="n">
        <v>1607.555555555555</v>
      </c>
      <c r="AF34" s="2" t="n">
        <v>0</v>
      </c>
      <c r="AG34" s="2" t="n">
        <v>1610.48</v>
      </c>
      <c r="AH34" s="2" t="n">
        <v>125.68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1515.39</v>
      </c>
      <c r="AP34" s="2" t="n">
        <v>110.8479722222222</v>
      </c>
      <c r="AQ34" s="2" t="n">
        <v>1403.138888888889</v>
      </c>
      <c r="AR34" s="2" t="n">
        <v>0</v>
      </c>
      <c r="AS34" s="2" t="n">
        <v>1332.21</v>
      </c>
      <c r="AT34" s="2" t="n">
        <v>183.18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4720.740000000001</v>
      </c>
      <c r="BB34" s="2" t="n">
        <v>4720.740000000001</v>
      </c>
      <c r="BC34" s="2">
        <f>F34+L34+R34+X34+AD34+AJ34+AP34+AV34+IF(BE34="",0,BE34)</f>
        <v/>
      </c>
      <c r="BD34" s="2" t="n">
        <v>72.69939600000001</v>
      </c>
      <c r="BE34" s="2" t="n"/>
      <c r="BF34" s="2" t="n">
        <v>4371.055555555556</v>
      </c>
      <c r="BG34" s="2" t="n">
        <v>300</v>
      </c>
      <c r="BH34" s="2" t="n">
        <v>157.5</v>
      </c>
      <c r="BI34" s="2" t="n">
        <v>48703.25</v>
      </c>
      <c r="BJ34" s="2" t="n">
        <v>99.91589743589743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63.72999</v>
      </c>
      <c r="BQ34" s="2" t="n">
        <v>451.034188034188</v>
      </c>
      <c r="BR34" s="2" t="n">
        <v>49800.43007547008</v>
      </c>
      <c r="BS34" s="2" t="n">
        <v>869.1994017094017</v>
      </c>
      <c r="BT34" s="2" t="n">
        <v>0</v>
      </c>
      <c r="BU34" s="2" t="n">
        <v>10121.1798974359</v>
      </c>
      <c r="BV34" s="2" t="n">
        <v>10990.3792991453</v>
      </c>
      <c r="BW34" s="2" t="n">
        <v>60790.80937461538</v>
      </c>
      <c r="BX34" s="2" t="n">
        <v>4188.12</v>
      </c>
      <c r="BY34" s="2" t="n">
        <v>532.62</v>
      </c>
      <c r="BZ34" s="2" t="n">
        <v>0</v>
      </c>
      <c r="CA34" s="2" t="n">
        <v>4720.74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1135</v>
      </c>
      <c r="B35" t="inlineStr">
        <is>
          <t>Kielce</t>
        </is>
      </c>
      <c r="C35" t="inlineStr">
        <is>
          <t>Kielce Główne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5537.4</v>
      </c>
      <c r="L35" s="2" t="n">
        <v>460.9372777777778</v>
      </c>
      <c r="M35" s="2" t="n">
        <v>5127.222222222222</v>
      </c>
      <c r="N35" s="2" t="n">
        <v>0</v>
      </c>
      <c r="O35" s="2" t="n">
        <v>5162.66</v>
      </c>
      <c r="P35" s="2" t="n">
        <v>374.74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10450.44</v>
      </c>
      <c r="AP35" s="2" t="n">
        <v>764.4303333333334</v>
      </c>
      <c r="AQ35" s="2" t="n">
        <v>9676.333333333334</v>
      </c>
      <c r="AR35" s="2" t="n">
        <v>0</v>
      </c>
      <c r="AS35" s="2" t="n">
        <v>9725.030000000001</v>
      </c>
      <c r="AT35" s="2" t="n">
        <v>725.41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15987.84</v>
      </c>
      <c r="BB35" s="2" t="n">
        <v>15987.84</v>
      </c>
      <c r="BC35" s="2">
        <f>F35+L35+R35+X35+AD35+AJ35+AP35+AV35+IF(BE35="",0,BE35)</f>
        <v/>
      </c>
      <c r="BD35" s="2" t="n">
        <v>246.212736</v>
      </c>
      <c r="BE35" s="2" t="n"/>
      <c r="BF35" s="2" t="n">
        <v>14803.55555555555</v>
      </c>
      <c r="BG35" s="2" t="n">
        <v>0</v>
      </c>
      <c r="BH35" s="2" t="n">
        <v>0</v>
      </c>
      <c r="BI35" s="2" t="n">
        <v>48703.25</v>
      </c>
      <c r="BJ35" s="2" t="n">
        <v>99.91589743589743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215.83584</v>
      </c>
      <c r="BQ35" s="2" t="n">
        <v>451.034188034188</v>
      </c>
      <c r="BR35" s="2" t="n">
        <v>49495.03592547008</v>
      </c>
      <c r="BS35" s="2" t="n">
        <v>869.1994017094017</v>
      </c>
      <c r="BT35" s="2" t="n">
        <v>0</v>
      </c>
      <c r="BU35" s="2" t="n">
        <v>10029.6798974359</v>
      </c>
      <c r="BV35" s="2" t="n">
        <v>10898.8792991453</v>
      </c>
      <c r="BW35" s="2" t="n">
        <v>60393.91522461538</v>
      </c>
      <c r="BX35" s="2" t="n">
        <v>14887.69</v>
      </c>
      <c r="BY35" s="2" t="n">
        <v>1100.15</v>
      </c>
      <c r="BZ35" s="2" t="n">
        <v>0</v>
      </c>
      <c r="CA35" s="2" t="n">
        <v>15987.84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1203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34171.99</v>
      </c>
      <c r="L36" s="2" t="n">
        <v>2844.501760185185</v>
      </c>
      <c r="M36" s="2" t="n">
        <v>31640.73148148148</v>
      </c>
      <c r="N36" s="2" t="n">
        <v>5426.16</v>
      </c>
      <c r="O36" s="2" t="n">
        <v>26529.29</v>
      </c>
      <c r="P36" s="2" t="n">
        <v>2216.54</v>
      </c>
      <c r="Q36" s="2" t="n">
        <v>28078.7</v>
      </c>
      <c r="R36" s="2" t="n">
        <v>1600</v>
      </c>
      <c r="S36" s="2" t="n">
        <v>25998.79629629629</v>
      </c>
      <c r="T36" s="2" t="n">
        <v>5257.37</v>
      </c>
      <c r="U36" s="2" t="n">
        <v>20928.25</v>
      </c>
      <c r="V36" s="2" t="n">
        <v>1893.08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17292.22</v>
      </c>
      <c r="AP36" s="2" t="n">
        <v>1264.89387037037</v>
      </c>
      <c r="AQ36" s="2" t="n">
        <v>16011.31481481482</v>
      </c>
      <c r="AR36" s="2" t="n">
        <v>2009.41</v>
      </c>
      <c r="AS36" s="2" t="n">
        <v>14296.76</v>
      </c>
      <c r="AT36" s="2" t="n">
        <v>986.05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79542.91</v>
      </c>
      <c r="BB36" s="2" t="n">
        <v>66849.97</v>
      </c>
      <c r="BC36" s="2">
        <f>F36+L36+R36+X36+AD36+AJ36+AP36+AV36+IF(BE36="",0,BE36)</f>
        <v/>
      </c>
      <c r="BD36" s="2" t="n">
        <v>1029.489538</v>
      </c>
      <c r="BE36" s="2" t="n"/>
      <c r="BF36" s="2" t="n">
        <v>73650.84259259258</v>
      </c>
      <c r="BG36" s="2" t="n">
        <v>0</v>
      </c>
      <c r="BH36" s="2" t="n">
        <v>0</v>
      </c>
      <c r="BI36" s="2" t="n">
        <v>48703.25</v>
      </c>
      <c r="BJ36" s="2" t="n">
        <v>99.91589743589743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902.4745950000001</v>
      </c>
      <c r="BQ36" s="2" t="n">
        <v>451.034188034188</v>
      </c>
      <c r="BR36" s="2" t="n">
        <v>50181.67468047008</v>
      </c>
      <c r="BS36" s="2" t="n">
        <v>869.1994017094017</v>
      </c>
      <c r="BT36" s="2" t="n">
        <v>0</v>
      </c>
      <c r="BU36" s="2" t="n">
        <v>10029.6798974359</v>
      </c>
      <c r="BV36" s="2" t="n">
        <v>10898.8792991453</v>
      </c>
      <c r="BW36" s="2" t="n">
        <v>61080.55397961538</v>
      </c>
      <c r="BX36" s="2" t="n">
        <v>61754.3</v>
      </c>
      <c r="BY36" s="2" t="n">
        <v>5095.67</v>
      </c>
      <c r="BZ36" s="2" t="n">
        <v>12692.94</v>
      </c>
      <c r="CA36" s="2" t="n">
        <v>66849.97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1204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11515.04</v>
      </c>
      <c r="L37" s="2" t="n">
        <v>958.5204592592593</v>
      </c>
      <c r="M37" s="2" t="n">
        <v>10662.07407407407</v>
      </c>
      <c r="N37" s="2" t="n">
        <v>1904.92</v>
      </c>
      <c r="O37" s="2" t="n">
        <v>9165.91</v>
      </c>
      <c r="P37" s="2" t="n">
        <v>444.21</v>
      </c>
      <c r="Q37" s="2" t="n">
        <v>25219.78</v>
      </c>
      <c r="R37" s="2" t="n">
        <v>1600</v>
      </c>
      <c r="S37" s="2" t="n">
        <v>23351.64814814815</v>
      </c>
      <c r="T37" s="2" t="n">
        <v>3660.35</v>
      </c>
      <c r="U37" s="2" t="n">
        <v>20881.81</v>
      </c>
      <c r="V37" s="2" t="n">
        <v>677.62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10261.16</v>
      </c>
      <c r="AP37" s="2" t="n">
        <v>750.5848518518518</v>
      </c>
      <c r="AQ37" s="2" t="n">
        <v>9501.074074074073</v>
      </c>
      <c r="AR37" s="2" t="n">
        <v>1296.07</v>
      </c>
      <c r="AS37" s="2" t="n">
        <v>8728.690000000001</v>
      </c>
      <c r="AT37" s="2" t="n">
        <v>236.4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46995.98</v>
      </c>
      <c r="BB37" s="2" t="n">
        <v>40134.64</v>
      </c>
      <c r="BC37" s="2">
        <f>F37+L37+R37+X37+AD37+AJ37+AP37+AV37+IF(BE37="",0,BE37)</f>
        <v/>
      </c>
      <c r="BD37" s="2" t="n">
        <v>618.0734560000001</v>
      </c>
      <c r="BE37" s="2" t="n"/>
      <c r="BF37" s="2" t="n">
        <v>43514.79629629629</v>
      </c>
      <c r="BG37" s="2" t="n">
        <v>652.9399999999999</v>
      </c>
      <c r="BH37" s="2" t="n">
        <v>82</v>
      </c>
      <c r="BI37" s="2" t="n">
        <v>48703.25</v>
      </c>
      <c r="BJ37" s="2" t="n">
        <v>99.91589743589743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541.81764</v>
      </c>
      <c r="BQ37" s="2" t="n">
        <v>451.034188034188</v>
      </c>
      <c r="BR37" s="2" t="n">
        <v>50555.95772547009</v>
      </c>
      <c r="BS37" s="2" t="n">
        <v>869.1994017094017</v>
      </c>
      <c r="BT37" s="2" t="n">
        <v>0</v>
      </c>
      <c r="BU37" s="2" t="n">
        <v>10176.6678974359</v>
      </c>
      <c r="BV37" s="2" t="n">
        <v>11045.8672991453</v>
      </c>
      <c r="BW37" s="2" t="n">
        <v>61601.82502461538</v>
      </c>
      <c r="BX37" s="2" t="n">
        <v>38776.41</v>
      </c>
      <c r="BY37" s="2" t="n">
        <v>1358.23</v>
      </c>
      <c r="BZ37" s="2" t="n">
        <v>6861.34</v>
      </c>
      <c r="CA37" s="2" t="n">
        <v>40134.64000000001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1206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27063.97</v>
      </c>
      <c r="L38" s="2" t="n">
        <v>2252.824910185185</v>
      </c>
      <c r="M38" s="2" t="n">
        <v>25059.23148148148</v>
      </c>
      <c r="N38" s="2" t="n">
        <v>5338.75</v>
      </c>
      <c r="O38" s="2" t="n">
        <v>20141.78</v>
      </c>
      <c r="P38" s="2" t="n">
        <v>1583.44</v>
      </c>
      <c r="Q38" s="2" t="n">
        <v>53402.40000000001</v>
      </c>
      <c r="R38" s="2" t="n">
        <v>1600</v>
      </c>
      <c r="S38" s="2" t="n">
        <v>49446.66666666667</v>
      </c>
      <c r="T38" s="2" t="n">
        <v>8516.84</v>
      </c>
      <c r="U38" s="2" t="n">
        <v>42974.48</v>
      </c>
      <c r="V38" s="2" t="n">
        <v>1911.08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12367.83</v>
      </c>
      <c r="AP38" s="2" t="n">
        <v>904.683861111111</v>
      </c>
      <c r="AQ38" s="2" t="n">
        <v>11451.69444444444</v>
      </c>
      <c r="AR38" s="2" t="n">
        <v>2069.19</v>
      </c>
      <c r="AS38" s="2" t="n">
        <v>9809.25</v>
      </c>
      <c r="AT38" s="2" t="n">
        <v>489.39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92834.20000000001</v>
      </c>
      <c r="BB38" s="2" t="n">
        <v>76909.42</v>
      </c>
      <c r="BC38" s="2">
        <f>F38+L38+R38+X38+AD38+AJ38+AP38+AV38+IF(BE38="",0,BE38)</f>
        <v/>
      </c>
      <c r="BD38" s="2" t="n">
        <v>1184.405068</v>
      </c>
      <c r="BE38" s="2" t="n"/>
      <c r="BF38" s="2" t="n">
        <v>85957.59259259258</v>
      </c>
      <c r="BG38" s="2" t="n">
        <v>652.9399999999999</v>
      </c>
      <c r="BH38" s="2" t="n">
        <v>82</v>
      </c>
      <c r="BI38" s="2" t="n">
        <v>14139.65322580645</v>
      </c>
      <c r="BJ38" s="2" t="n">
        <v>99.91589743589743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1038.27717</v>
      </c>
      <c r="BQ38" s="2" t="n">
        <v>451.034188034188</v>
      </c>
      <c r="BR38" s="2" t="n">
        <v>16488.82048127654</v>
      </c>
      <c r="BS38" s="2" t="n">
        <v>869.1994017094017</v>
      </c>
      <c r="BT38" s="2" t="n">
        <v>0</v>
      </c>
      <c r="BU38" s="2" t="n">
        <v>3263.948542597188</v>
      </c>
      <c r="BV38" s="2" t="n">
        <v>4133.14794430659</v>
      </c>
      <c r="BW38" s="2" t="n">
        <v>20621.96842558313</v>
      </c>
      <c r="BX38" s="2" t="n">
        <v>72925.51000000001</v>
      </c>
      <c r="BY38" s="2" t="n">
        <v>3983.91</v>
      </c>
      <c r="BZ38" s="2" t="n">
        <v>15924.78</v>
      </c>
      <c r="CA38" s="2" t="n">
        <v>76909.42000000001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1207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20370.13</v>
      </c>
      <c r="L39" s="2" t="n">
        <v>1695.624710185185</v>
      </c>
      <c r="M39" s="2" t="n">
        <v>18861.23148148148</v>
      </c>
      <c r="N39" s="2" t="n">
        <v>4797.84</v>
      </c>
      <c r="O39" s="2" t="n">
        <v>14030.85</v>
      </c>
      <c r="P39" s="2" t="n">
        <v>1541.44</v>
      </c>
      <c r="Q39" s="2" t="n">
        <v>40065.31</v>
      </c>
      <c r="R39" s="2" t="n">
        <v>1600</v>
      </c>
      <c r="S39" s="2" t="n">
        <v>37097.50925925926</v>
      </c>
      <c r="T39" s="2" t="n">
        <v>6767.61</v>
      </c>
      <c r="U39" s="2" t="n">
        <v>31787.44</v>
      </c>
      <c r="V39" s="2" t="n">
        <v>1510.26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9199.129999999999</v>
      </c>
      <c r="AP39" s="2" t="n">
        <v>672.899324074074</v>
      </c>
      <c r="AQ39" s="2" t="n">
        <v>8517.712962962962</v>
      </c>
      <c r="AR39" s="2" t="n">
        <v>1801.03</v>
      </c>
      <c r="AS39" s="2" t="n">
        <v>6930.55</v>
      </c>
      <c r="AT39" s="2" t="n">
        <v>467.55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69634.57000000001</v>
      </c>
      <c r="BB39" s="2" t="n">
        <v>56268.09</v>
      </c>
      <c r="BC39" s="2">
        <f>F39+L39+R39+X39+AD39+AJ39+AP39+AV39+IF(BE39="",0,BE39)</f>
        <v/>
      </c>
      <c r="BD39" s="2" t="n">
        <v>866.528586</v>
      </c>
      <c r="BE39" s="2" t="n"/>
      <c r="BF39" s="2" t="n">
        <v>64476.4537037037</v>
      </c>
      <c r="BG39" s="2" t="n">
        <v>652.9399999999999</v>
      </c>
      <c r="BH39" s="2" t="n">
        <v>82</v>
      </c>
      <c r="BI39" s="2" t="n">
        <v>14139.65322580645</v>
      </c>
      <c r="BJ39" s="2" t="n">
        <v>99.91589743589743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759.6192150000001</v>
      </c>
      <c r="BQ39" s="2" t="n">
        <v>451.034188034188</v>
      </c>
      <c r="BR39" s="2" t="n">
        <v>16210.16252627654</v>
      </c>
      <c r="BS39" s="2" t="n">
        <v>869.1994017094017</v>
      </c>
      <c r="BT39" s="2" t="n">
        <v>0</v>
      </c>
      <c r="BU39" s="2" t="n">
        <v>3263.948542597188</v>
      </c>
      <c r="BV39" s="2" t="n">
        <v>4133.14794430659</v>
      </c>
      <c r="BW39" s="2" t="n">
        <v>20343.31047058313</v>
      </c>
      <c r="BX39" s="2" t="n">
        <v>52748.84</v>
      </c>
      <c r="BY39" s="2" t="n">
        <v>3519.25</v>
      </c>
      <c r="BZ39" s="2" t="n">
        <v>13366.48</v>
      </c>
      <c r="CA39" s="2" t="n">
        <v>56268.09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1208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9630.82</v>
      </c>
      <c r="L40" s="2" t="n">
        <v>801.6765907407407</v>
      </c>
      <c r="M40" s="2" t="n">
        <v>8917.425925925925</v>
      </c>
      <c r="N40" s="2" t="n">
        <v>1433.73</v>
      </c>
      <c r="O40" s="2" t="n">
        <v>7508.3</v>
      </c>
      <c r="P40" s="2" t="n">
        <v>688.79</v>
      </c>
      <c r="Q40" s="2" t="n">
        <v>19890.26</v>
      </c>
      <c r="R40" s="2" t="n">
        <v>1600</v>
      </c>
      <c r="S40" s="2" t="n">
        <v>18416.90740740741</v>
      </c>
      <c r="T40" s="2" t="n">
        <v>4137.53</v>
      </c>
      <c r="U40" s="2" t="n">
        <v>15219.58</v>
      </c>
      <c r="V40" s="2" t="n">
        <v>533.15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8501.610000000001</v>
      </c>
      <c r="AP40" s="2" t="n">
        <v>621.8770277777778</v>
      </c>
      <c r="AQ40" s="2" t="n">
        <v>7871.861111111111</v>
      </c>
      <c r="AR40" s="2" t="n">
        <v>1831.53</v>
      </c>
      <c r="AS40" s="2" t="n">
        <v>6062.21</v>
      </c>
      <c r="AT40" s="2" t="n">
        <v>607.87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38022.69</v>
      </c>
      <c r="BB40" s="2" t="n">
        <v>30619.9</v>
      </c>
      <c r="BC40" s="2">
        <f>F40+L40+R40+X40+AD40+AJ40+AP40+AV40+IF(BE40="",0,BE40)</f>
        <v/>
      </c>
      <c r="BD40" s="2" t="n">
        <v>471.54646</v>
      </c>
      <c r="BE40" s="2" t="n"/>
      <c r="BF40" s="2" t="n">
        <v>35206.19444444445</v>
      </c>
      <c r="BG40" s="2" t="n">
        <v>652.9399999999999</v>
      </c>
      <c r="BH40" s="2" t="n">
        <v>82</v>
      </c>
      <c r="BI40" s="2" t="n">
        <v>14139.65322580645</v>
      </c>
      <c r="BJ40" s="2" t="n">
        <v>99.91589743589743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413.36865</v>
      </c>
      <c r="BQ40" s="2" t="n">
        <v>451.034188034188</v>
      </c>
      <c r="BR40" s="2" t="n">
        <v>15863.91196127654</v>
      </c>
      <c r="BS40" s="2" t="n">
        <v>869.1994017094017</v>
      </c>
      <c r="BT40" s="2" t="n">
        <v>0</v>
      </c>
      <c r="BU40" s="2" t="n">
        <v>3263.948542597188</v>
      </c>
      <c r="BV40" s="2" t="n">
        <v>4133.14794430659</v>
      </c>
      <c r="BW40" s="2" t="n">
        <v>19997.05990558313</v>
      </c>
      <c r="BX40" s="2" t="n">
        <v>28790.09</v>
      </c>
      <c r="BY40" s="2" t="n">
        <v>1829.81</v>
      </c>
      <c r="BZ40" s="2" t="n">
        <v>7402.79</v>
      </c>
      <c r="CA40" s="2" t="n">
        <v>30619.9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1210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37952.09</v>
      </c>
      <c r="L41" s="2" t="n">
        <v>3159.160084259259</v>
      </c>
      <c r="M41" s="2" t="n">
        <v>35140.82407407407</v>
      </c>
      <c r="N41" s="2" t="n">
        <v>6788.11</v>
      </c>
      <c r="O41" s="2" t="n">
        <v>28717.62</v>
      </c>
      <c r="P41" s="2" t="n">
        <v>2446.36</v>
      </c>
      <c r="Q41" s="2" t="n">
        <v>29143.4</v>
      </c>
      <c r="R41" s="2" t="n">
        <v>1600</v>
      </c>
      <c r="S41" s="2" t="n">
        <v>26984.62962962962</v>
      </c>
      <c r="T41" s="2" t="n">
        <v>4826.52</v>
      </c>
      <c r="U41" s="2" t="n">
        <v>22342.76</v>
      </c>
      <c r="V41" s="2" t="n">
        <v>1974.12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14989.84</v>
      </c>
      <c r="AP41" s="2" t="n">
        <v>1096.479037037037</v>
      </c>
      <c r="AQ41" s="2" t="n">
        <v>13879.48148148148</v>
      </c>
      <c r="AR41" s="2" t="n">
        <v>2058.77</v>
      </c>
      <c r="AS41" s="2" t="n">
        <v>11859.12</v>
      </c>
      <c r="AT41" s="2" t="n">
        <v>1071.95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82085.32999999999</v>
      </c>
      <c r="BB41" s="2" t="n">
        <v>68411.93000000001</v>
      </c>
      <c r="BC41" s="2">
        <f>F41+L41+R41+X41+AD41+AJ41+AP41+AV41+IF(BE41="",0,BE41)</f>
        <v/>
      </c>
      <c r="BD41" s="2" t="n">
        <v>1053.543722</v>
      </c>
      <c r="BE41" s="2" t="n"/>
      <c r="BF41" s="2" t="n">
        <v>76004.93518518517</v>
      </c>
      <c r="BG41" s="2" t="n">
        <v>760.5599999999999</v>
      </c>
      <c r="BH41" s="2" t="n">
        <v>260</v>
      </c>
      <c r="BI41" s="2" t="n">
        <v>48703.25</v>
      </c>
      <c r="BJ41" s="2" t="n">
        <v>99.91589743589743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923.5610550000001</v>
      </c>
      <c r="BQ41" s="2" t="n">
        <v>451.034188034188</v>
      </c>
      <c r="BR41" s="2" t="n">
        <v>51223.32114047008</v>
      </c>
      <c r="BS41" s="2" t="n">
        <v>869.1994017094017</v>
      </c>
      <c r="BT41" s="2" t="n">
        <v>0</v>
      </c>
      <c r="BU41" s="2" t="n">
        <v>10233.7918974359</v>
      </c>
      <c r="BV41" s="2" t="n">
        <v>11102.9912991453</v>
      </c>
      <c r="BW41" s="2" t="n">
        <v>62326.31243961538</v>
      </c>
      <c r="BX41" s="2" t="n">
        <v>62919.5</v>
      </c>
      <c r="BY41" s="2" t="n">
        <v>5492.429999999999</v>
      </c>
      <c r="BZ41" s="2" t="n">
        <v>13673.4</v>
      </c>
      <c r="CA41" s="2" t="n">
        <v>68411.92999999999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1211</v>
      </c>
      <c r="B42" t="inlineStr">
        <is>
          <t>Kolejowa, 59-300 Lubin</t>
        </is>
      </c>
      <c r="C42" t="inlineStr">
        <is>
          <t>Lubin</t>
        </is>
      </c>
      <c r="D42" t="inlineStr">
        <is>
          <t>ST|40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28581.58</v>
      </c>
      <c r="R42" s="2" t="n">
        <v>1600</v>
      </c>
      <c r="S42" s="2" t="n">
        <v>26464.42592592592</v>
      </c>
      <c r="T42" s="2" t="n">
        <v>11058.22</v>
      </c>
      <c r="U42" s="2" t="n">
        <v>16413.7</v>
      </c>
      <c r="V42" s="2" t="n">
        <v>1109.66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28581.58</v>
      </c>
      <c r="BB42" s="2" t="n">
        <v>17523.36</v>
      </c>
      <c r="BC42" s="2">
        <f>F42+L42+R42+X42+AD42+AJ42+AP42+AV42+IF(BE42="",0,BE42)</f>
        <v/>
      </c>
      <c r="BD42" s="2" t="n">
        <v>269.859744</v>
      </c>
      <c r="BE42" s="2" t="n"/>
      <c r="BF42" s="2" t="n">
        <v>26464.42592592592</v>
      </c>
      <c r="BG42" s="2" t="n">
        <v>0</v>
      </c>
      <c r="BH42" s="2" t="n">
        <v>112.06</v>
      </c>
      <c r="BI42" s="2" t="n">
        <v>48703.25</v>
      </c>
      <c r="BJ42" s="2" t="n">
        <v>99.91589743589743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236.56536</v>
      </c>
      <c r="BQ42" s="2" t="n">
        <v>451.034188034188</v>
      </c>
      <c r="BR42" s="2" t="n">
        <v>49627.82544547008</v>
      </c>
      <c r="BS42" s="2" t="n">
        <v>869.1994017094017</v>
      </c>
      <c r="BT42" s="2" t="n">
        <v>0</v>
      </c>
      <c r="BU42" s="2" t="n">
        <v>10052.0918974359</v>
      </c>
      <c r="BV42" s="2" t="n">
        <v>10921.2912991453</v>
      </c>
      <c r="BW42" s="2" t="n">
        <v>60549.11674461538</v>
      </c>
      <c r="BX42" s="2" t="n">
        <v>16413.7</v>
      </c>
      <c r="BY42" s="2" t="n">
        <v>1109.66</v>
      </c>
      <c r="BZ42" s="2" t="n">
        <v>11058.22</v>
      </c>
      <c r="CA42" s="2" t="n">
        <v>17523.36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1212</v>
      </c>
      <c r="B43" t="inlineStr">
        <is>
          <t>Armii Krajowej 26C, 58-302 Wałbrzych</t>
        </is>
      </c>
      <c r="C43" t="inlineStr">
        <is>
          <t>Wałbrzych Miasto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2488.16</v>
      </c>
      <c r="L43" s="2" t="n">
        <v>207.1162814814815</v>
      </c>
      <c r="M43" s="2" t="n">
        <v>2303.851851851852</v>
      </c>
      <c r="N43" s="2" t="n">
        <v>1064.54</v>
      </c>
      <c r="O43" s="2" t="n">
        <v>1397.62</v>
      </c>
      <c r="P43" s="2" t="n">
        <v>26</v>
      </c>
      <c r="Q43" s="2" t="n">
        <v>11126.76</v>
      </c>
      <c r="R43" s="2" t="n">
        <v>1600</v>
      </c>
      <c r="S43" s="2" t="n">
        <v>10302.55555555555</v>
      </c>
      <c r="T43" s="2" t="n">
        <v>2575.26</v>
      </c>
      <c r="U43" s="2" t="n">
        <v>8296.870000000001</v>
      </c>
      <c r="V43" s="2" t="n">
        <v>254.63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664.54</v>
      </c>
      <c r="AP43" s="2" t="n">
        <v>48.60987037037037</v>
      </c>
      <c r="AQ43" s="2" t="n">
        <v>615.3148148148148</v>
      </c>
      <c r="AR43" s="2" t="n">
        <v>64.40000000000001</v>
      </c>
      <c r="AS43" s="2" t="n">
        <v>600.14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14279.46</v>
      </c>
      <c r="BB43" s="2" t="n">
        <v>10575.26</v>
      </c>
      <c r="BC43" s="2">
        <f>F43+L43+R43+X43+AD43+AJ43+AP43+AV43+IF(BE43="",0,BE43)</f>
        <v/>
      </c>
      <c r="BD43" s="2" t="n">
        <v>162.859004</v>
      </c>
      <c r="BE43" s="2" t="n"/>
      <c r="BF43" s="2" t="n">
        <v>13221.72222222222</v>
      </c>
      <c r="BG43" s="2" t="n">
        <v>573.92</v>
      </c>
      <c r="BH43" s="2" t="n">
        <v>110.7</v>
      </c>
      <c r="BI43" s="2" t="n">
        <v>48703.25</v>
      </c>
      <c r="BJ43" s="2" t="n">
        <v>99.91589743589743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142.76601</v>
      </c>
      <c r="BQ43" s="2" t="n">
        <v>451.034188034188</v>
      </c>
      <c r="BR43" s="2" t="n">
        <v>50106.58609547008</v>
      </c>
      <c r="BS43" s="2" t="n">
        <v>869.1994017094017</v>
      </c>
      <c r="BT43" s="2" t="n">
        <v>0</v>
      </c>
      <c r="BU43" s="2" t="n">
        <v>10166.6038974359</v>
      </c>
      <c r="BV43" s="2" t="n">
        <v>11035.8032991453</v>
      </c>
      <c r="BW43" s="2" t="n">
        <v>61142.38939461538</v>
      </c>
      <c r="BX43" s="2" t="n">
        <v>10294.63</v>
      </c>
      <c r="BY43" s="2" t="n">
        <v>280.63</v>
      </c>
      <c r="BZ43" s="2" t="n">
        <v>3704.2</v>
      </c>
      <c r="CA43" s="2" t="n">
        <v>10575.26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1213</v>
      </c>
      <c r="B44" t="inlineStr">
        <is>
          <t>Plac 1000-Lecia 1, 67-200 Głogów</t>
        </is>
      </c>
      <c r="C44" t="inlineStr">
        <is>
          <t>Głogów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7771.34</v>
      </c>
      <c r="L44" s="2" t="n">
        <v>646.8920981481482</v>
      </c>
      <c r="M44" s="2" t="n">
        <v>7195.685185185185</v>
      </c>
      <c r="N44" s="2" t="n">
        <v>2770.11</v>
      </c>
      <c r="O44" s="2" t="n">
        <v>4366.64</v>
      </c>
      <c r="P44" s="2" t="n">
        <v>634.59</v>
      </c>
      <c r="Q44" s="2" t="n">
        <v>28828.62</v>
      </c>
      <c r="R44" s="2" t="n">
        <v>1600</v>
      </c>
      <c r="S44" s="2" t="n">
        <v>26693.16666666667</v>
      </c>
      <c r="T44" s="2" t="n">
        <v>7427.95</v>
      </c>
      <c r="U44" s="2" t="n">
        <v>20603.93</v>
      </c>
      <c r="V44" s="2" t="n">
        <v>796.74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3711.94</v>
      </c>
      <c r="AP44" s="2" t="n">
        <v>271.521537037037</v>
      </c>
      <c r="AQ44" s="2" t="n">
        <v>3436.981481481481</v>
      </c>
      <c r="AR44" s="2" t="n">
        <v>1515.93</v>
      </c>
      <c r="AS44" s="2" t="n">
        <v>2147.22</v>
      </c>
      <c r="AT44" s="2" t="n">
        <v>48.79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40311.90000000001</v>
      </c>
      <c r="BB44" s="2" t="n">
        <v>28597.91</v>
      </c>
      <c r="BC44" s="2">
        <f>F44+L44+R44+X44+AD44+AJ44+AP44+AV44+IF(BE44="",0,BE44)</f>
        <v/>
      </c>
      <c r="BD44" s="2" t="n">
        <v>440.4078140000001</v>
      </c>
      <c r="BE44" s="2" t="n"/>
      <c r="BF44" s="2" t="n">
        <v>37325.83333333334</v>
      </c>
      <c r="BG44" s="2" t="n">
        <v>573.92</v>
      </c>
      <c r="BH44" s="2" t="n">
        <v>134.1</v>
      </c>
      <c r="BI44" s="2" t="n">
        <v>48703.25</v>
      </c>
      <c r="BJ44" s="2" t="n">
        <v>99.91589743589743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386.0717850000001</v>
      </c>
      <c r="BQ44" s="2" t="n">
        <v>451.034188034188</v>
      </c>
      <c r="BR44" s="2" t="n">
        <v>50373.29187047008</v>
      </c>
      <c r="BS44" s="2" t="n">
        <v>869.1994017094017</v>
      </c>
      <c r="BT44" s="2" t="n">
        <v>0</v>
      </c>
      <c r="BU44" s="2" t="n">
        <v>10171.2838974359</v>
      </c>
      <c r="BV44" s="2" t="n">
        <v>11040.4832991453</v>
      </c>
      <c r="BW44" s="2" t="n">
        <v>61413.77516961538</v>
      </c>
      <c r="BX44" s="2" t="n">
        <v>27117.79</v>
      </c>
      <c r="BY44" s="2" t="n">
        <v>1480.12</v>
      </c>
      <c r="BZ44" s="2" t="n">
        <v>11713.99</v>
      </c>
      <c r="CA44" s="2" t="n">
        <v>28597.91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1214</v>
      </c>
      <c r="B45" t="inlineStr">
        <is>
          <t>Dworcowa 72A, 69-110 Rzepin</t>
        </is>
      </c>
      <c r="C45" t="inlineStr">
        <is>
          <t>Rzepin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8077.09</v>
      </c>
      <c r="L45" s="2" t="n">
        <v>672.3429546296296</v>
      </c>
      <c r="M45" s="2" t="n">
        <v>7478.787037037036</v>
      </c>
      <c r="N45" s="2" t="n">
        <v>3156.26</v>
      </c>
      <c r="O45" s="2" t="n">
        <v>4221.06</v>
      </c>
      <c r="P45" s="2" t="n">
        <v>699.77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8077.09</v>
      </c>
      <c r="BB45" s="2" t="n">
        <v>4920.83</v>
      </c>
      <c r="BC45" s="2">
        <f>F45+L45+R45+X45+AD45+AJ45+AP45+AV45+IF(BE45="",0,BE45)</f>
        <v/>
      </c>
      <c r="BD45" s="2" t="n">
        <v>75.780782</v>
      </c>
      <c r="BE45" s="2" t="n"/>
      <c r="BF45" s="2" t="n">
        <v>7478.787037037036</v>
      </c>
      <c r="BG45" s="2" t="n">
        <v>430.45</v>
      </c>
      <c r="BH45" s="2" t="n">
        <v>0</v>
      </c>
      <c r="BI45" s="2" t="n">
        <v>48703.25</v>
      </c>
      <c r="BJ45" s="2" t="n">
        <v>99.91589743589743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66.43120499999999</v>
      </c>
      <c r="BQ45" s="2" t="n">
        <v>451.034188034188</v>
      </c>
      <c r="BR45" s="2" t="n">
        <v>49776.08129047008</v>
      </c>
      <c r="BS45" s="2" t="n">
        <v>869.1994017094017</v>
      </c>
      <c r="BT45" s="2" t="n">
        <v>0</v>
      </c>
      <c r="BU45" s="2" t="n">
        <v>10115.7698974359</v>
      </c>
      <c r="BV45" s="2" t="n">
        <v>10984.9692991453</v>
      </c>
      <c r="BW45" s="2" t="n">
        <v>60761.05058961538</v>
      </c>
      <c r="BX45" s="2" t="n">
        <v>4221.06</v>
      </c>
      <c r="BY45" s="2" t="n">
        <v>699.77</v>
      </c>
      <c r="BZ45" s="2" t="n">
        <v>3156.26</v>
      </c>
      <c r="CA45" s="2" t="n">
        <v>4920.83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1217</v>
      </c>
      <c r="B46" t="inlineStr">
        <is>
          <t>pl. Marii i Lecha Kaczyńskiego 2, 40-098 Katowice</t>
        </is>
      </c>
      <c r="C46" t="inlineStr">
        <is>
          <t>Katowice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28422.26</v>
      </c>
      <c r="L46" s="2" t="n">
        <v>2365.889975925926</v>
      </c>
      <c r="M46" s="2" t="n">
        <v>26316.90740740741</v>
      </c>
      <c r="N46" s="2" t="n">
        <v>5674.05</v>
      </c>
      <c r="O46" s="2" t="n">
        <v>21692.06</v>
      </c>
      <c r="P46" s="2" t="n">
        <v>1056.15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12017.5</v>
      </c>
      <c r="AP46" s="2" t="n">
        <v>879.0578703703702</v>
      </c>
      <c r="AQ46" s="2" t="n">
        <v>11127.31481481481</v>
      </c>
      <c r="AR46" s="2" t="n">
        <v>1584.88</v>
      </c>
      <c r="AS46" s="2" t="n">
        <v>9838.469999999999</v>
      </c>
      <c r="AT46" s="2" t="n">
        <v>594.15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40439.76</v>
      </c>
      <c r="BB46" s="2" t="n">
        <v>33180.83</v>
      </c>
      <c r="BC46" s="2">
        <f>F46+L46+R46+X46+AD46+AJ46+AP46+AV46+IF(BE46="",0,BE46)</f>
        <v/>
      </c>
      <c r="BD46" s="2" t="n">
        <v>510.984782</v>
      </c>
      <c r="BE46" s="2" t="n"/>
      <c r="BF46" s="2" t="n">
        <v>37444.22222222222</v>
      </c>
      <c r="BG46" s="2" t="n">
        <v>775</v>
      </c>
      <c r="BH46" s="2" t="n">
        <v>540</v>
      </c>
      <c r="BI46" s="2" t="n">
        <v>48703.25</v>
      </c>
      <c r="BJ46" s="2" t="n">
        <v>99.91589743589743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447.941205</v>
      </c>
      <c r="BQ46" s="2" t="n">
        <v>451.034188034188</v>
      </c>
      <c r="BR46" s="2" t="n">
        <v>51042.14129047008</v>
      </c>
      <c r="BS46" s="2" t="n">
        <v>869.1994017094017</v>
      </c>
      <c r="BT46" s="2" t="n">
        <v>0</v>
      </c>
      <c r="BU46" s="2" t="n">
        <v>10292.6798974359</v>
      </c>
      <c r="BV46" s="2" t="n">
        <v>11161.8792991453</v>
      </c>
      <c r="BW46" s="2" t="n">
        <v>62204.02058961539</v>
      </c>
      <c r="BX46" s="2" t="n">
        <v>31530.53</v>
      </c>
      <c r="BY46" s="2" t="n">
        <v>1650.3</v>
      </c>
      <c r="BZ46" s="2" t="n">
        <v>7258.93</v>
      </c>
      <c r="CA46" s="2" t="n">
        <v>33180.83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1219</v>
      </c>
      <c r="B47" t="inlineStr">
        <is>
          <t>Armii Krajowej 3, 75-200 Koszalin</t>
        </is>
      </c>
      <c r="C47" t="inlineStr">
        <is>
          <t>Koszalin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8685.530000000001</v>
      </c>
      <c r="L47" s="2" t="n">
        <v>722.989950925926</v>
      </c>
      <c r="M47" s="2" t="n">
        <v>8042.157407407408</v>
      </c>
      <c r="N47" s="2" t="n">
        <v>1885.31</v>
      </c>
      <c r="O47" s="2" t="n">
        <v>6201.02</v>
      </c>
      <c r="P47" s="2" t="n">
        <v>599.2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14150.55</v>
      </c>
      <c r="AP47" s="2" t="n">
        <v>1035.086527777778</v>
      </c>
      <c r="AQ47" s="2" t="n">
        <v>13102.36111111111</v>
      </c>
      <c r="AR47" s="2" t="n">
        <v>2249.33</v>
      </c>
      <c r="AS47" s="2" t="n">
        <v>10481.28</v>
      </c>
      <c r="AT47" s="2" t="n">
        <v>1419.94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22836.08</v>
      </c>
      <c r="BB47" s="2" t="n">
        <v>18701.44</v>
      </c>
      <c r="BC47" s="2">
        <f>F47+L47+R47+X47+AD47+AJ47+AP47+AV47+IF(BE47="",0,BE47)</f>
        <v/>
      </c>
      <c r="BD47" s="2" t="n">
        <v>288.002176</v>
      </c>
      <c r="BE47" s="2" t="n"/>
      <c r="BF47" s="2" t="n">
        <v>21144.51851851852</v>
      </c>
      <c r="BG47" s="2" t="n">
        <v>0</v>
      </c>
      <c r="BH47" s="2" t="n">
        <v>0</v>
      </c>
      <c r="BI47" s="2" t="n">
        <v>48703.25</v>
      </c>
      <c r="BJ47" s="2" t="n">
        <v>99.91589743589743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252.46944</v>
      </c>
      <c r="BQ47" s="2" t="n">
        <v>451.034188034188</v>
      </c>
      <c r="BR47" s="2" t="n">
        <v>49531.66952547008</v>
      </c>
      <c r="BS47" s="2" t="n">
        <v>869.1994017094017</v>
      </c>
      <c r="BT47" s="2" t="n">
        <v>0</v>
      </c>
      <c r="BU47" s="2" t="n">
        <v>10029.6798974359</v>
      </c>
      <c r="BV47" s="2" t="n">
        <v>10898.8792991453</v>
      </c>
      <c r="BW47" s="2" t="n">
        <v>60430.54882461538</v>
      </c>
      <c r="BX47" s="2" t="n">
        <v>16682.3</v>
      </c>
      <c r="BY47" s="2" t="n">
        <v>2019.14</v>
      </c>
      <c r="BZ47" s="2" t="n">
        <v>4134.639999999999</v>
      </c>
      <c r="CA47" s="2" t="n">
        <v>18701.44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1220</v>
      </c>
      <c r="B48" t="inlineStr">
        <is>
          <t>Kotłątaja 32, 76-200 Słupsk</t>
        </is>
      </c>
      <c r="C48" t="inlineStr">
        <is>
          <t>Słupsk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9816.15</v>
      </c>
      <c r="L48" s="2" t="n">
        <v>817.1035972222222</v>
      </c>
      <c r="M48" s="2" t="n">
        <v>9089.027777777777</v>
      </c>
      <c r="N48" s="2" t="n">
        <v>4395.38</v>
      </c>
      <c r="O48" s="2" t="n">
        <v>4921.21</v>
      </c>
      <c r="P48" s="2" t="n">
        <v>499.56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13157.25</v>
      </c>
      <c r="AP48" s="2" t="n">
        <v>4144</v>
      </c>
      <c r="AQ48" s="2" t="n">
        <v>12182.63888888889</v>
      </c>
      <c r="AR48" s="2" t="n">
        <v>7541.43</v>
      </c>
      <c r="AS48" s="2" t="n">
        <v>4881.63</v>
      </c>
      <c r="AT48" s="2" t="n">
        <v>734.1900000000001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22973.4</v>
      </c>
      <c r="BB48" s="2" t="n">
        <v>11036.59</v>
      </c>
      <c r="BC48" s="2">
        <f>F48+L48+R48+X48+AD48+AJ48+AP48+AV48+IF(BE48="",0,BE48)</f>
        <v/>
      </c>
      <c r="BD48" s="2" t="n">
        <v>169.963486</v>
      </c>
      <c r="BE48" s="2" t="n"/>
      <c r="BF48" s="2" t="n">
        <v>21271.66666666667</v>
      </c>
      <c r="BG48" s="2" t="n">
        <v>0</v>
      </c>
      <c r="BH48" s="2" t="n">
        <v>0</v>
      </c>
      <c r="BI48" s="2" t="n">
        <v>48703.25</v>
      </c>
      <c r="BJ48" s="2" t="n">
        <v>99.91589743589743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148.993965</v>
      </c>
      <c r="BQ48" s="2" t="n">
        <v>451.034188034188</v>
      </c>
      <c r="BR48" s="2" t="n">
        <v>49428.19405047008</v>
      </c>
      <c r="BS48" s="2" t="n">
        <v>869.1994017094017</v>
      </c>
      <c r="BT48" s="2" t="n">
        <v>0</v>
      </c>
      <c r="BU48" s="2" t="n">
        <v>10029.6798974359</v>
      </c>
      <c r="BV48" s="2" t="n">
        <v>10898.8792991453</v>
      </c>
      <c r="BW48" s="2" t="n">
        <v>60327.07334961538</v>
      </c>
      <c r="BX48" s="2" t="n">
        <v>9802.84</v>
      </c>
      <c r="BY48" s="2" t="n">
        <v>1233.75</v>
      </c>
      <c r="BZ48" s="2" t="n">
        <v>11936.81</v>
      </c>
      <c r="CA48" s="2" t="n">
        <v>11036.59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1221</v>
      </c>
      <c r="B49" t="inlineStr">
        <is>
          <t>Dworcowa 2, 58-100 Świdnica</t>
        </is>
      </c>
      <c r="C49" t="inlineStr">
        <is>
          <t>Świdnica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43515.3</v>
      </c>
      <c r="R49" s="2" t="n">
        <v>1600</v>
      </c>
      <c r="S49" s="2" t="n">
        <v>40291.94444444445</v>
      </c>
      <c r="T49" s="2" t="n">
        <v>13547.63</v>
      </c>
      <c r="U49" s="2" t="n">
        <v>28364.27</v>
      </c>
      <c r="V49" s="2" t="n">
        <v>1603.4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43515.3</v>
      </c>
      <c r="BB49" s="2" t="n">
        <v>29967.67</v>
      </c>
      <c r="BC49" s="2">
        <f>F49+L49+R49+X49+AD49+AJ49+AP49+AV49+IF(BE49="",0,BE49)</f>
        <v/>
      </c>
      <c r="BD49" s="2" t="n">
        <v>461.5021180000001</v>
      </c>
      <c r="BE49" s="2" t="n"/>
      <c r="BF49" s="2" t="n">
        <v>40291.94444444445</v>
      </c>
      <c r="BG49" s="2" t="n">
        <v>200</v>
      </c>
      <c r="BH49" s="2" t="n">
        <v>0</v>
      </c>
      <c r="BI49" s="2" t="n">
        <v>48703.25</v>
      </c>
      <c r="BJ49" s="2" t="n">
        <v>99.91589743589743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404.563545</v>
      </c>
      <c r="BQ49" s="2" t="n">
        <v>451.034188034188</v>
      </c>
      <c r="BR49" s="2" t="n">
        <v>49883.76363047008</v>
      </c>
      <c r="BS49" s="2" t="n">
        <v>869.1994017094017</v>
      </c>
      <c r="BT49" s="2" t="n">
        <v>0</v>
      </c>
      <c r="BU49" s="2" t="n">
        <v>10069.6798974359</v>
      </c>
      <c r="BV49" s="2" t="n">
        <v>10938.8792991453</v>
      </c>
      <c r="BW49" s="2" t="n">
        <v>60822.64292961538</v>
      </c>
      <c r="BX49" s="2" t="n">
        <v>28364.27</v>
      </c>
      <c r="BY49" s="2" t="n">
        <v>1603.4</v>
      </c>
      <c r="BZ49" s="2" t="n">
        <v>13547.63</v>
      </c>
      <c r="CA49" s="2" t="n">
        <v>29967.67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1222</v>
      </c>
      <c r="B50" t="inlineStr">
        <is>
          <t>Dworcowa 33, 83-400 Kościerzyna</t>
        </is>
      </c>
      <c r="C50" t="inlineStr">
        <is>
          <t>Kościerzyna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878.24</v>
      </c>
      <c r="AP50" s="2" t="n">
        <v>4050</v>
      </c>
      <c r="AQ50" s="2" t="n">
        <v>813.1851851851851</v>
      </c>
      <c r="AR50" s="2" t="n">
        <v>0</v>
      </c>
      <c r="AS50" s="2" t="n">
        <v>760.74</v>
      </c>
      <c r="AT50" s="2" t="n">
        <v>117.5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878.24</v>
      </c>
      <c r="BB50" s="2" t="n">
        <v>878.24</v>
      </c>
      <c r="BC50" s="2">
        <f>F50+L50+R50+X50+AD50+AJ50+AP50+AV50+IF(BE50="",0,BE50)</f>
        <v/>
      </c>
      <c r="BD50" s="2" t="n">
        <v>13.524896</v>
      </c>
      <c r="BE50" s="2" t="n"/>
      <c r="BF50" s="2" t="n">
        <v>813.1851851851851</v>
      </c>
      <c r="BG50" s="2" t="n">
        <v>0</v>
      </c>
      <c r="BH50" s="2" t="n">
        <v>0</v>
      </c>
      <c r="BI50" s="2" t="n">
        <v>48703.25</v>
      </c>
      <c r="BJ50" s="2" t="n">
        <v>99.91589743589743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11.85624</v>
      </c>
      <c r="BQ50" s="2" t="n">
        <v>451.034188034188</v>
      </c>
      <c r="BR50" s="2" t="n">
        <v>49291.05632547008</v>
      </c>
      <c r="BS50" s="2" t="n">
        <v>869.1994017094017</v>
      </c>
      <c r="BT50" s="2" t="n">
        <v>0</v>
      </c>
      <c r="BU50" s="2" t="n">
        <v>10029.6798974359</v>
      </c>
      <c r="BV50" s="2" t="n">
        <v>10898.8792991453</v>
      </c>
      <c r="BW50" s="2" t="n">
        <v>60189.93562461538</v>
      </c>
      <c r="BX50" s="2" t="n">
        <v>760.74</v>
      </c>
      <c r="BY50" s="2" t="n">
        <v>117.5</v>
      </c>
      <c r="BZ50" s="2" t="n">
        <v>0</v>
      </c>
      <c r="CA50" s="2" t="n">
        <v>878.24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1223</v>
      </c>
      <c r="B51" t="inlineStr">
        <is>
          <t>Dworcowa 17, 82-200 Malbork</t>
        </is>
      </c>
      <c r="C51" t="inlineStr">
        <is>
          <t>Malbork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14326.98</v>
      </c>
      <c r="L51" s="2" t="n">
        <v>1192.588427777778</v>
      </c>
      <c r="M51" s="2" t="n">
        <v>13265.72222222222</v>
      </c>
      <c r="N51" s="2" t="n">
        <v>1873.17</v>
      </c>
      <c r="O51" s="2" t="n">
        <v>11962.71</v>
      </c>
      <c r="P51" s="2" t="n">
        <v>491.1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30417.06</v>
      </c>
      <c r="AP51" s="2" t="n">
        <v>2224.951611111111</v>
      </c>
      <c r="AQ51" s="2" t="n">
        <v>28163.94444444445</v>
      </c>
      <c r="AR51" s="2" t="n">
        <v>7113.05</v>
      </c>
      <c r="AS51" s="2" t="n">
        <v>21865.54</v>
      </c>
      <c r="AT51" s="2" t="n">
        <v>1438.47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44744.04</v>
      </c>
      <c r="BB51" s="2" t="n">
        <v>35757.82</v>
      </c>
      <c r="BC51" s="2">
        <f>F51+L51+R51+X51+AD51+AJ51+AP51+AV51+IF(BE51="",0,BE51)</f>
        <v/>
      </c>
      <c r="BD51" s="2" t="n">
        <v>550.670428</v>
      </c>
      <c r="BE51" s="2" t="n"/>
      <c r="BF51" s="2" t="n">
        <v>41429.66666666666</v>
      </c>
      <c r="BG51" s="2" t="n">
        <v>456.34</v>
      </c>
      <c r="BH51" s="2" t="n">
        <v>107</v>
      </c>
      <c r="BI51" s="2" t="n">
        <v>48703.25</v>
      </c>
      <c r="BJ51" s="2" t="n">
        <v>99.91589743589743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482.7305700000001</v>
      </c>
      <c r="BQ51" s="2" t="n">
        <v>451.034188034188</v>
      </c>
      <c r="BR51" s="2" t="n">
        <v>50325.27065547008</v>
      </c>
      <c r="BS51" s="2" t="n">
        <v>869.1994017094017</v>
      </c>
      <c r="BT51" s="2" t="n">
        <v>0</v>
      </c>
      <c r="BU51" s="2" t="n">
        <v>10142.3478974359</v>
      </c>
      <c r="BV51" s="2" t="n">
        <v>11011.5472991453</v>
      </c>
      <c r="BW51" s="2" t="n">
        <v>61336.81795461538</v>
      </c>
      <c r="BX51" s="2" t="n">
        <v>33828.25</v>
      </c>
      <c r="BY51" s="2" t="n">
        <v>1929.57</v>
      </c>
      <c r="BZ51" s="2" t="n">
        <v>8986.220000000001</v>
      </c>
      <c r="CA51" s="2" t="n">
        <v>35757.82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1224</v>
      </c>
      <c r="B52" t="inlineStr">
        <is>
          <t>Kuznica</t>
        </is>
      </c>
      <c r="C52" t="inlineStr">
        <is>
          <t>Kuźnica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17901.78</v>
      </c>
      <c r="AP52" s="2" t="n">
        <v>4052</v>
      </c>
      <c r="AQ52" s="2" t="n">
        <v>16575.72222222222</v>
      </c>
      <c r="AR52" s="2" t="n">
        <v>0</v>
      </c>
      <c r="AS52" s="2" t="n">
        <v>15337.29</v>
      </c>
      <c r="AT52" s="2" t="n">
        <v>2564.49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17901.78</v>
      </c>
      <c r="BB52" s="2" t="n">
        <v>17901.78</v>
      </c>
      <c r="BC52" s="2">
        <f>F52+L52+R52+X52+AD52+AJ52+AP52+AV52+IF(BE52="",0,BE52)</f>
        <v/>
      </c>
      <c r="BD52" s="2" t="n">
        <v>275.687412</v>
      </c>
      <c r="BE52" s="2" t="n"/>
      <c r="BF52" s="2" t="n">
        <v>16575.72222222222</v>
      </c>
      <c r="BG52" s="2" t="n">
        <v>456.34</v>
      </c>
      <c r="BH52" s="2" t="n">
        <v>123</v>
      </c>
      <c r="BI52" s="2" t="n">
        <v>48703.25</v>
      </c>
      <c r="BJ52" s="2" t="n">
        <v>99.91589743589743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241.67403</v>
      </c>
      <c r="BQ52" s="2" t="n">
        <v>451.034188034188</v>
      </c>
      <c r="BR52" s="2" t="n">
        <v>50100.21411547008</v>
      </c>
      <c r="BS52" s="2" t="n">
        <v>869.1994017094017</v>
      </c>
      <c r="BT52" s="2" t="n">
        <v>0</v>
      </c>
      <c r="BU52" s="2" t="n">
        <v>10145.5478974359</v>
      </c>
      <c r="BV52" s="2" t="n">
        <v>11014.7472991453</v>
      </c>
      <c r="BW52" s="2" t="n">
        <v>61114.96141461538</v>
      </c>
      <c r="BX52" s="2" t="n">
        <v>15337.29</v>
      </c>
      <c r="BY52" s="2" t="n">
        <v>2564.49</v>
      </c>
      <c r="BZ52" s="2" t="n">
        <v>0</v>
      </c>
      <c r="CA52" s="2" t="n">
        <v>17901.78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1225</v>
      </c>
      <c r="B53" t="inlineStr">
        <is>
          <t>Plac Legionów 2, 37-700 Przemyśl</t>
        </is>
      </c>
      <c r="C53" t="inlineStr">
        <is>
          <t>Przemyśl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29686.02</v>
      </c>
      <c r="L53" s="2" t="n">
        <v>2471.086294444445</v>
      </c>
      <c r="M53" s="2" t="n">
        <v>27487.05555555555</v>
      </c>
      <c r="N53" s="2" t="n">
        <v>1689.87</v>
      </c>
      <c r="O53" s="2" t="n">
        <v>27938.82</v>
      </c>
      <c r="P53" s="2" t="n">
        <v>57.33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9520.799999999999</v>
      </c>
      <c r="AP53" s="2" t="n">
        <v>696.4288888888889</v>
      </c>
      <c r="AQ53" s="2" t="n">
        <v>8815.555555555555</v>
      </c>
      <c r="AR53" s="2" t="n">
        <v>1806.37</v>
      </c>
      <c r="AS53" s="2" t="n">
        <v>7555.93</v>
      </c>
      <c r="AT53" s="2" t="n">
        <v>158.5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39206.82</v>
      </c>
      <c r="BB53" s="2" t="n">
        <v>35710.58</v>
      </c>
      <c r="BC53" s="2">
        <f>F53+L53+R53+X53+AD53+AJ53+AP53+AV53+IF(BE53="",0,BE53)</f>
        <v/>
      </c>
      <c r="BD53" s="2" t="n">
        <v>549.942932</v>
      </c>
      <c r="BE53" s="2" t="n"/>
      <c r="BF53" s="2" t="n">
        <v>36302.61111111111</v>
      </c>
      <c r="BG53" s="2" t="n">
        <v>456.34</v>
      </c>
      <c r="BH53" s="2" t="n">
        <v>113</v>
      </c>
      <c r="BI53" s="2" t="n">
        <v>48703.25</v>
      </c>
      <c r="BJ53" s="2" t="n">
        <v>99.91589743589743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482.09283</v>
      </c>
      <c r="BQ53" s="2" t="n">
        <v>451.034188034188</v>
      </c>
      <c r="BR53" s="2" t="n">
        <v>50330.63291547008</v>
      </c>
      <c r="BS53" s="2" t="n">
        <v>869.1994017094017</v>
      </c>
      <c r="BT53" s="2" t="n">
        <v>0</v>
      </c>
      <c r="BU53" s="2" t="n">
        <v>10143.5478974359</v>
      </c>
      <c r="BV53" s="2" t="n">
        <v>11012.7472991453</v>
      </c>
      <c r="BW53" s="2" t="n">
        <v>61343.38021461538</v>
      </c>
      <c r="BX53" s="2" t="n">
        <v>35494.75</v>
      </c>
      <c r="BY53" s="2" t="n">
        <v>215.83</v>
      </c>
      <c r="BZ53" s="2" t="n">
        <v>3496.24</v>
      </c>
      <c r="CA53" s="2" t="n">
        <v>35710.58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1226</v>
      </c>
      <c r="B54" t="inlineStr">
        <is>
          <t>Plac Dworcowy 3, 33-100 Tarnów</t>
        </is>
      </c>
      <c r="C54" t="inlineStr">
        <is>
          <t>Tarnów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11357.56</v>
      </c>
      <c r="L54" s="2" t="n">
        <v>945.4117074074074</v>
      </c>
      <c r="M54" s="2" t="n">
        <v>10516.25925925926</v>
      </c>
      <c r="N54" s="2" t="n">
        <v>2031.69</v>
      </c>
      <c r="O54" s="2" t="n">
        <v>9007.33</v>
      </c>
      <c r="P54" s="2" t="n">
        <v>318.54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8965.940000000001</v>
      </c>
      <c r="AP54" s="2" t="n">
        <v>655.8419074074073</v>
      </c>
      <c r="AQ54" s="2" t="n">
        <v>8301.796296296296</v>
      </c>
      <c r="AR54" s="2" t="n">
        <v>2402.57</v>
      </c>
      <c r="AS54" s="2" t="n">
        <v>6339.19</v>
      </c>
      <c r="AT54" s="2" t="n">
        <v>224.18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20323.5</v>
      </c>
      <c r="BB54" s="2" t="n">
        <v>15889.24</v>
      </c>
      <c r="BC54" s="2">
        <f>F54+L54+R54+X54+AD54+AJ54+AP54+AV54+IF(BE54="",0,BE54)</f>
        <v/>
      </c>
      <c r="BD54" s="2" t="n">
        <v>244.694296</v>
      </c>
      <c r="BE54" s="2" t="n"/>
      <c r="BF54" s="2" t="n">
        <v>18818.05555555555</v>
      </c>
      <c r="BG54" s="2" t="n">
        <v>456.34</v>
      </c>
      <c r="BH54" s="2" t="n">
        <v>142</v>
      </c>
      <c r="BI54" s="2" t="n">
        <v>48703.25</v>
      </c>
      <c r="BJ54" s="2" t="n">
        <v>99.91589743589743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214.50474</v>
      </c>
      <c r="BQ54" s="2" t="n">
        <v>451.034188034188</v>
      </c>
      <c r="BR54" s="2" t="n">
        <v>50092.04482547008</v>
      </c>
      <c r="BS54" s="2" t="n">
        <v>869.1994017094017</v>
      </c>
      <c r="BT54" s="2" t="n">
        <v>0</v>
      </c>
      <c r="BU54" s="2" t="n">
        <v>10149.3478974359</v>
      </c>
      <c r="BV54" s="2" t="n">
        <v>11018.5472991453</v>
      </c>
      <c r="BW54" s="2" t="n">
        <v>61110.59212461537</v>
      </c>
      <c r="BX54" s="2" t="n">
        <v>15346.52</v>
      </c>
      <c r="BY54" s="2" t="n">
        <v>542.72</v>
      </c>
      <c r="BZ54" s="2" t="n">
        <v>4434.26</v>
      </c>
      <c r="CA54" s="2" t="n">
        <v>15889.24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1227</v>
      </c>
      <c r="B55" t="inlineStr">
        <is>
          <t>Bochnia</t>
        </is>
      </c>
      <c r="C55" t="inlineStr"/>
      <c r="D55" t="inlineStr"/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3329.41</v>
      </c>
      <c r="L55" s="2" t="n">
        <v>277.1425546296296</v>
      </c>
      <c r="M55" s="2" t="n">
        <v>3082.787037037036</v>
      </c>
      <c r="N55" s="2" t="n">
        <v>876.67</v>
      </c>
      <c r="O55" s="2" t="n">
        <v>2289.74</v>
      </c>
      <c r="P55" s="2" t="n">
        <v>163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5485.22</v>
      </c>
      <c r="X55" s="2" t="n">
        <v>350</v>
      </c>
      <c r="Y55" s="2" t="n">
        <v>5078.907407407407</v>
      </c>
      <c r="Z55" s="2" t="n">
        <v>1718.7</v>
      </c>
      <c r="AA55" s="2" t="n">
        <v>3700.4</v>
      </c>
      <c r="AB55" s="2" t="n">
        <v>66.12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3511.73</v>
      </c>
      <c r="AP55" s="2" t="n">
        <v>256.8765462962963</v>
      </c>
      <c r="AQ55" s="2" t="n">
        <v>3251.601851851852</v>
      </c>
      <c r="AR55" s="2" t="n">
        <v>705.35</v>
      </c>
      <c r="AS55" s="2" t="n">
        <v>2699.58</v>
      </c>
      <c r="AT55" s="2" t="n">
        <v>106.8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12326.36</v>
      </c>
      <c r="BB55" s="2" t="n">
        <v>9025.639999999999</v>
      </c>
      <c r="BC55" s="2">
        <f>F55+L55+R55+X55+AD55+AJ55+AP55+AV55+IF(BE55="",0,BE55)</f>
        <v/>
      </c>
      <c r="BD55" s="2" t="n">
        <v>131.838468</v>
      </c>
      <c r="BE55" s="2" t="n"/>
      <c r="BF55" s="2" t="n">
        <v>11413.2962962963</v>
      </c>
      <c r="BG55" s="2" t="n">
        <v>456.34</v>
      </c>
      <c r="BH55" s="2" t="n">
        <v>92.8</v>
      </c>
      <c r="BI55" s="2" t="n">
        <v>48703.25</v>
      </c>
      <c r="BJ55" s="2" t="n">
        <v>99.91589743589743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121.84614</v>
      </c>
      <c r="BQ55" s="2" t="n">
        <v>451.034188034188</v>
      </c>
      <c r="BR55" s="2" t="n">
        <v>49950.18622547008</v>
      </c>
      <c r="BS55" s="2" t="n">
        <v>869.1994017094017</v>
      </c>
      <c r="BT55" s="2" t="n">
        <v>0</v>
      </c>
      <c r="BU55" s="2" t="n">
        <v>10139.5078974359</v>
      </c>
      <c r="BV55" s="2" t="n">
        <v>11008.7072991453</v>
      </c>
      <c r="BW55" s="2" t="n">
        <v>60958.89352461539</v>
      </c>
      <c r="BX55" s="2" t="n">
        <v>8689.719999999999</v>
      </c>
      <c r="BY55" s="2" t="n">
        <v>335.92</v>
      </c>
      <c r="BZ55" s="2" t="n">
        <v>3300.72</v>
      </c>
      <c r="CA55" s="2" t="n">
        <v>9025.639999999999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1230</v>
      </c>
      <c r="B56" t="inlineStr">
        <is>
          <t>Bohaterów Getta Warszawskiego 12, 44-100 Gliwice</t>
        </is>
      </c>
      <c r="C56" t="inlineStr">
        <is>
          <t>Gliwice</t>
        </is>
      </c>
      <c r="D56" t="inlineStr">
        <is>
          <t>ST|40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15755.38</v>
      </c>
      <c r="L56" s="2" t="n">
        <v>1311.489501851852</v>
      </c>
      <c r="M56" s="2" t="n">
        <v>14588.31481481481</v>
      </c>
      <c r="N56" s="2" t="n">
        <v>3940.29</v>
      </c>
      <c r="O56" s="2" t="n">
        <v>11566.44</v>
      </c>
      <c r="P56" s="2" t="n">
        <v>248.65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15755.38</v>
      </c>
      <c r="BB56" s="2" t="n">
        <v>11815.09</v>
      </c>
      <c r="BC56" s="2">
        <f>F56+L56+R56+X56+AD56+AJ56+AP56+AV56+IF(BE56="",0,BE56)</f>
        <v/>
      </c>
      <c r="BD56" s="2" t="n">
        <v>181.952386</v>
      </c>
      <c r="BE56" s="2" t="n"/>
      <c r="BF56" s="2" t="n">
        <v>14588.31481481481</v>
      </c>
      <c r="BG56" s="2" t="n">
        <v>1184.31</v>
      </c>
      <c r="BH56" s="2" t="n">
        <v>109.6</v>
      </c>
      <c r="BI56" s="2" t="n">
        <v>48703.25</v>
      </c>
      <c r="BJ56" s="2" t="n">
        <v>99.91589743589743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159.503715</v>
      </c>
      <c r="BQ56" s="2" t="n">
        <v>451.034188034188</v>
      </c>
      <c r="BR56" s="2" t="n">
        <v>50732.61380047008</v>
      </c>
      <c r="BS56" s="2" t="n">
        <v>869.1994017094017</v>
      </c>
      <c r="BT56" s="2" t="n">
        <v>0</v>
      </c>
      <c r="BU56" s="2" t="n">
        <v>10288.4618974359</v>
      </c>
      <c r="BV56" s="2" t="n">
        <v>11157.6612991453</v>
      </c>
      <c r="BW56" s="2" t="n">
        <v>61890.27509961538</v>
      </c>
      <c r="BX56" s="2" t="n">
        <v>11566.44</v>
      </c>
      <c r="BY56" s="2" t="n">
        <v>248.65</v>
      </c>
      <c r="BZ56" s="2" t="n">
        <v>3940.29</v>
      </c>
      <c r="CA56" s="2" t="n">
        <v>11815.09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1232</v>
      </c>
      <c r="B57" t="inlineStr">
        <is>
          <t>Bielsko Biala</t>
        </is>
      </c>
      <c r="C57" t="inlineStr">
        <is>
          <t>Oława Zachodnia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5515.09</v>
      </c>
      <c r="L57" s="2" t="n">
        <v>459.0801768518519</v>
      </c>
      <c r="M57" s="2" t="n">
        <v>5106.564814814815</v>
      </c>
      <c r="N57" s="2" t="n">
        <v>1722.14</v>
      </c>
      <c r="O57" s="2" t="n">
        <v>3341.15</v>
      </c>
      <c r="P57" s="2" t="n">
        <v>451.8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5515.09</v>
      </c>
      <c r="BB57" s="2" t="n">
        <v>3792.95</v>
      </c>
      <c r="BC57" s="2">
        <f>F57+L57+R57+X57+AD57+AJ57+AP57+AV57+IF(BE57="",0,BE57)</f>
        <v/>
      </c>
      <c r="BD57" s="2" t="n">
        <v>58.41143</v>
      </c>
      <c r="BE57" s="2" t="n"/>
      <c r="BF57" s="2" t="n">
        <v>5106.564814814815</v>
      </c>
      <c r="BG57" s="2" t="n">
        <v>596.39</v>
      </c>
      <c r="BH57" s="2" t="n">
        <v>28</v>
      </c>
      <c r="BI57" s="2" t="n">
        <v>48703.25</v>
      </c>
      <c r="BJ57" s="2" t="n">
        <v>99.91589743589743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51.204825</v>
      </c>
      <c r="BQ57" s="2" t="n">
        <v>451.034188034188</v>
      </c>
      <c r="BR57" s="2" t="n">
        <v>49954.79491047008</v>
      </c>
      <c r="BS57" s="2" t="n">
        <v>869.1994017094017</v>
      </c>
      <c r="BT57" s="2" t="n">
        <v>0</v>
      </c>
      <c r="BU57" s="2" t="n">
        <v>10154.5578974359</v>
      </c>
      <c r="BV57" s="2" t="n">
        <v>11023.7572991453</v>
      </c>
      <c r="BW57" s="2" t="n">
        <v>60978.55220961539</v>
      </c>
      <c r="BX57" s="2" t="n">
        <v>3341.15</v>
      </c>
      <c r="BY57" s="2" t="n">
        <v>451.8</v>
      </c>
      <c r="BZ57" s="2" t="n">
        <v>1722.14</v>
      </c>
      <c r="CA57" s="2" t="n">
        <v>3792.95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1234</v>
      </c>
      <c r="B58" t="inlineStr">
        <is>
          <t>Kolejowa 88, 68-100 Żagań</t>
        </is>
      </c>
      <c r="C58" t="inlineStr">
        <is>
          <t>Żagań</t>
        </is>
      </c>
      <c r="D58" t="inlineStr">
        <is>
          <t>FAA2000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1257.44</v>
      </c>
      <c r="L58" s="2" t="n">
        <v>104.670237037037</v>
      </c>
      <c r="M58" s="2" t="n">
        <v>1164.296296296296</v>
      </c>
      <c r="N58" s="2" t="n">
        <v>171.33</v>
      </c>
      <c r="O58" s="2" t="n">
        <v>1086.11</v>
      </c>
      <c r="P58" s="2" t="n">
        <v>0</v>
      </c>
      <c r="Q58" s="2" t="n">
        <v>6238.07</v>
      </c>
      <c r="R58" s="2" t="n">
        <v>1600</v>
      </c>
      <c r="S58" s="2" t="n">
        <v>5775.99074074074</v>
      </c>
      <c r="T58" s="2" t="n">
        <v>1051.19</v>
      </c>
      <c r="U58" s="2" t="n">
        <v>4983.65</v>
      </c>
      <c r="V58" s="2" t="n">
        <v>203.23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5223.950000000001</v>
      </c>
      <c r="AP58" s="2" t="n">
        <v>382.1222685185185</v>
      </c>
      <c r="AQ58" s="2" t="n">
        <v>4836.990740740741</v>
      </c>
      <c r="AR58" s="2" t="n">
        <v>1507.76</v>
      </c>
      <c r="AS58" s="2" t="n">
        <v>3328.09</v>
      </c>
      <c r="AT58" s="2" t="n">
        <v>388.1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12719.46</v>
      </c>
      <c r="BB58" s="2" t="n">
        <v>9989.179999999998</v>
      </c>
      <c r="BC58" s="2">
        <f>F58+L58+R58+X58+AD58+AJ58+AP58+AV58+IF(BE58="",0,BE58)</f>
        <v/>
      </c>
      <c r="BD58" s="2" t="n">
        <v>153.833372</v>
      </c>
      <c r="BE58" s="2" t="n"/>
      <c r="BF58" s="2" t="n">
        <v>11777.27777777778</v>
      </c>
      <c r="BG58" s="2" t="n">
        <v>594.14</v>
      </c>
      <c r="BH58" s="2" t="n">
        <v>214</v>
      </c>
      <c r="BI58" s="2" t="n">
        <v>48703.25</v>
      </c>
      <c r="BJ58" s="2" t="n">
        <v>99.91589743589743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134.85393</v>
      </c>
      <c r="BQ58" s="2" t="n">
        <v>451.034188034188</v>
      </c>
      <c r="BR58" s="2" t="n">
        <v>50222.19401547008</v>
      </c>
      <c r="BS58" s="2" t="n">
        <v>869.1994017094017</v>
      </c>
      <c r="BT58" s="2" t="n">
        <v>0</v>
      </c>
      <c r="BU58" s="2" t="n">
        <v>10191.3078974359</v>
      </c>
      <c r="BV58" s="2" t="n">
        <v>11060.5072991453</v>
      </c>
      <c r="BW58" s="2" t="n">
        <v>61282.70131461538</v>
      </c>
      <c r="BX58" s="2" t="n">
        <v>9397.849999999999</v>
      </c>
      <c r="BY58" s="2" t="n">
        <v>591.33</v>
      </c>
      <c r="BZ58" s="2" t="n">
        <v>2730.28</v>
      </c>
      <c r="CA58" s="2" t="n">
        <v>9989.179999999998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1235</v>
      </c>
      <c r="B59" t="inlineStr">
        <is>
          <t>Dworcowa 2, 61-801 Poznań</t>
        </is>
      </c>
      <c r="C59" t="inlineStr">
        <is>
          <t>Poznań Główny, Dworzec Zachodni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7217.150000000001</v>
      </c>
      <c r="L59" s="2" t="n">
        <v>600.7609120370371</v>
      </c>
      <c r="M59" s="2" t="n">
        <v>6682.546296296297</v>
      </c>
      <c r="N59" s="2" t="n">
        <v>1657.93</v>
      </c>
      <c r="O59" s="2" t="n">
        <v>5433.62</v>
      </c>
      <c r="P59" s="2" t="n">
        <v>125.6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8932.139999999999</v>
      </c>
      <c r="AD59" s="2" t="n">
        <v>570.6645</v>
      </c>
      <c r="AE59" s="2" t="n">
        <v>8270.499999999998</v>
      </c>
      <c r="AF59" s="2" t="n">
        <v>1672.77</v>
      </c>
      <c r="AG59" s="2" t="n">
        <v>6749.2</v>
      </c>
      <c r="AH59" s="2" t="n">
        <v>510.17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4151.37</v>
      </c>
      <c r="AP59" s="2" t="n">
        <v>303.6650277777778</v>
      </c>
      <c r="AQ59" s="2" t="n">
        <v>3843.861111111111</v>
      </c>
      <c r="AR59" s="2" t="n">
        <v>979.08</v>
      </c>
      <c r="AS59" s="2" t="n">
        <v>2913.84</v>
      </c>
      <c r="AT59" s="2" t="n">
        <v>258.45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20300.66</v>
      </c>
      <c r="BB59" s="2" t="n">
        <v>15990.88</v>
      </c>
      <c r="BC59" s="2">
        <f>F59+L59+R59+X59+AD59+AJ59+AP59+AV59+IF(BE59="",0,BE59)</f>
        <v/>
      </c>
      <c r="BD59" s="2" t="n">
        <v>246.259552</v>
      </c>
      <c r="BE59" s="2" t="n"/>
      <c r="BF59" s="2" t="n">
        <v>18796.90740740741</v>
      </c>
      <c r="BG59" s="2" t="n">
        <v>458.58</v>
      </c>
      <c r="BH59" s="2" t="n">
        <v>0</v>
      </c>
      <c r="BI59" s="2" t="n">
        <v>43990.03225806452</v>
      </c>
      <c r="BJ59" s="2" t="n">
        <v>99.91589743589743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215.87688</v>
      </c>
      <c r="BQ59" s="2" t="n">
        <v>451.034188034188</v>
      </c>
      <c r="BR59" s="2" t="n">
        <v>45240.4392235346</v>
      </c>
      <c r="BS59" s="2" t="n">
        <v>869.1994017094017</v>
      </c>
      <c r="BT59" s="2" t="n">
        <v>0</v>
      </c>
      <c r="BU59" s="2" t="n">
        <v>9178.7523490488</v>
      </c>
      <c r="BV59" s="2" t="n">
        <v>10047.9517507582</v>
      </c>
      <c r="BW59" s="2" t="n">
        <v>55288.39097429281</v>
      </c>
      <c r="BX59" s="2" t="n">
        <v>15096.66</v>
      </c>
      <c r="BY59" s="2" t="n">
        <v>894.22</v>
      </c>
      <c r="BZ59" s="2" t="n">
        <v>4309.78</v>
      </c>
      <c r="CA59" s="2" t="n">
        <v>15990.88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1236</v>
      </c>
      <c r="B60" t="inlineStr">
        <is>
          <t>Pelplin</t>
        </is>
      </c>
      <c r="C60" t="inlineStr">
        <is>
          <t>Pelplin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3183.03</v>
      </c>
      <c r="AP60" s="2" t="n">
        <v>3900</v>
      </c>
      <c r="AQ60" s="2" t="n">
        <v>2947.25</v>
      </c>
      <c r="AR60" s="2" t="n">
        <v>0</v>
      </c>
      <c r="AS60" s="2" t="n">
        <v>2881.36</v>
      </c>
      <c r="AT60" s="2" t="n">
        <v>301.67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3183.03</v>
      </c>
      <c r="BB60" s="2" t="n">
        <v>3183.03</v>
      </c>
      <c r="BC60" s="2">
        <f>F60+L60+R60+X60+AD60+AJ60+AP60+AV60+IF(BE60="",0,BE60)</f>
        <v/>
      </c>
      <c r="BD60" s="2" t="n">
        <v>49.01866200000001</v>
      </c>
      <c r="BE60" s="2" t="n"/>
      <c r="BF60" s="2" t="n">
        <v>2947.25</v>
      </c>
      <c r="BG60" s="2" t="n">
        <v>458.58</v>
      </c>
      <c r="BH60" s="2" t="n">
        <v>0</v>
      </c>
      <c r="BI60" s="2" t="n">
        <v>48703.25</v>
      </c>
      <c r="BJ60" s="2" t="n">
        <v>99.91589743589743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42.970905</v>
      </c>
      <c r="BQ60" s="2" t="n">
        <v>451.034188034188</v>
      </c>
      <c r="BR60" s="2" t="n">
        <v>49780.75099047009</v>
      </c>
      <c r="BS60" s="2" t="n">
        <v>869.1994017094017</v>
      </c>
      <c r="BT60" s="2" t="n">
        <v>0</v>
      </c>
      <c r="BU60" s="2" t="n">
        <v>10121.3958974359</v>
      </c>
      <c r="BV60" s="2" t="n">
        <v>10990.5952991453</v>
      </c>
      <c r="BW60" s="2" t="n">
        <v>60771.34628961539</v>
      </c>
      <c r="BX60" s="2" t="n">
        <v>2881.36</v>
      </c>
      <c r="BY60" s="2" t="n">
        <v>301.67</v>
      </c>
      <c r="BZ60" s="2" t="n">
        <v>0</v>
      </c>
      <c r="CA60" s="2" t="n">
        <v>3183.03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1237</v>
      </c>
      <c r="B61" t="inlineStr">
        <is>
          <t>Dworcowa 2, 61-801 Poznań</t>
        </is>
      </c>
      <c r="C61" t="inlineStr">
        <is>
          <t>Poznań Główny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17255.55</v>
      </c>
      <c r="L61" s="2" t="n">
        <v>1436.364763888889</v>
      </c>
      <c r="M61" s="2" t="n">
        <v>15977.36111111111</v>
      </c>
      <c r="N61" s="2" t="n">
        <v>3846.71</v>
      </c>
      <c r="O61" s="2" t="n">
        <v>12777.52</v>
      </c>
      <c r="P61" s="2" t="n">
        <v>631.3200000000001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25443.43</v>
      </c>
      <c r="AD61" s="2" t="n">
        <v>1625.552472222222</v>
      </c>
      <c r="AE61" s="2" t="n">
        <v>23558.73148148148</v>
      </c>
      <c r="AF61" s="2" t="n">
        <v>5347.53</v>
      </c>
      <c r="AG61" s="2" t="n">
        <v>19219.53</v>
      </c>
      <c r="AH61" s="2" t="n">
        <v>876.37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12092.22</v>
      </c>
      <c r="AP61" s="2" t="n">
        <v>884.5235</v>
      </c>
      <c r="AQ61" s="2" t="n">
        <v>11196.5</v>
      </c>
      <c r="AR61" s="2" t="n">
        <v>2486.21</v>
      </c>
      <c r="AS61" s="2" t="n">
        <v>9125.49</v>
      </c>
      <c r="AT61" s="2" t="n">
        <v>480.52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54791.2</v>
      </c>
      <c r="BB61" s="2" t="n">
        <v>43110.75</v>
      </c>
      <c r="BC61" s="2">
        <f>F61+L61+R61+X61+AD61+AJ61+AP61+AV61+IF(BE61="",0,BE61)</f>
        <v/>
      </c>
      <c r="BD61" s="2" t="n">
        <v>663.9055499999999</v>
      </c>
      <c r="BE61" s="2" t="n"/>
      <c r="BF61" s="2" t="n">
        <v>50732.59259259258</v>
      </c>
      <c r="BG61" s="2" t="n">
        <v>458.58</v>
      </c>
      <c r="BH61" s="2" t="n">
        <v>0</v>
      </c>
      <c r="BI61" s="2" t="n">
        <v>48703.25</v>
      </c>
      <c r="BJ61" s="2" t="n">
        <v>99.91589743589743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581.995125</v>
      </c>
      <c r="BQ61" s="2" t="n">
        <v>451.034188034188</v>
      </c>
      <c r="BR61" s="2" t="n">
        <v>50319.77521047008</v>
      </c>
      <c r="BS61" s="2" t="n">
        <v>869.1994017094017</v>
      </c>
      <c r="BT61" s="2" t="n">
        <v>0</v>
      </c>
      <c r="BU61" s="2" t="n">
        <v>10121.3958974359</v>
      </c>
      <c r="BV61" s="2" t="n">
        <v>10990.5952991453</v>
      </c>
      <c r="BW61" s="2" t="n">
        <v>61310.37050961539</v>
      </c>
      <c r="BX61" s="2" t="n">
        <v>41122.54</v>
      </c>
      <c r="BY61" s="2" t="n">
        <v>1988.21</v>
      </c>
      <c r="BZ61" s="2" t="n">
        <v>11680.45</v>
      </c>
      <c r="CA61" s="2" t="n">
        <v>43110.75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1238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11388.01</v>
      </c>
      <c r="L62" s="2" t="n">
        <v>947.9463879629629</v>
      </c>
      <c r="M62" s="2" t="n">
        <v>10544.4537037037</v>
      </c>
      <c r="N62" s="2" t="n">
        <v>1776.96</v>
      </c>
      <c r="O62" s="2" t="n">
        <v>9226.309999999999</v>
      </c>
      <c r="P62" s="2" t="n">
        <v>384.74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19933.46</v>
      </c>
      <c r="AD62" s="2" t="n">
        <v>1273.526611111111</v>
      </c>
      <c r="AE62" s="2" t="n">
        <v>18456.90740740741</v>
      </c>
      <c r="AF62" s="2" t="n">
        <v>3757.17</v>
      </c>
      <c r="AG62" s="2" t="n">
        <v>15363.55</v>
      </c>
      <c r="AH62" s="2" t="n">
        <v>812.74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6667.77</v>
      </c>
      <c r="AP62" s="2" t="n">
        <v>487.7350277777778</v>
      </c>
      <c r="AQ62" s="2" t="n">
        <v>6173.861111111111</v>
      </c>
      <c r="AR62" s="2" t="n">
        <v>1243.06</v>
      </c>
      <c r="AS62" s="2" t="n">
        <v>5252.81</v>
      </c>
      <c r="AT62" s="2" t="n">
        <v>171.9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37989.24000000001</v>
      </c>
      <c r="BB62" s="2" t="n">
        <v>31212.05</v>
      </c>
      <c r="BC62" s="2">
        <f>F62+L62+R62+X62+AD62+AJ62+AP62+AV62+IF(BE62="",0,BE62)</f>
        <v/>
      </c>
      <c r="BD62" s="2" t="n">
        <v>480.66557</v>
      </c>
      <c r="BE62" s="2" t="n"/>
      <c r="BF62" s="2" t="n">
        <v>35175.22222222222</v>
      </c>
      <c r="BG62" s="2" t="n">
        <v>458.58</v>
      </c>
      <c r="BH62" s="2" t="n">
        <v>0</v>
      </c>
      <c r="BI62" s="2" t="n">
        <v>48703.25</v>
      </c>
      <c r="BJ62" s="2" t="n">
        <v>99.91589743589743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421.362675</v>
      </c>
      <c r="BQ62" s="2" t="n">
        <v>451.034188034188</v>
      </c>
      <c r="BR62" s="2" t="n">
        <v>50159.14276047008</v>
      </c>
      <c r="BS62" s="2" t="n">
        <v>869.1994017094017</v>
      </c>
      <c r="BT62" s="2" t="n">
        <v>0</v>
      </c>
      <c r="BU62" s="2" t="n">
        <v>10121.3958974359</v>
      </c>
      <c r="BV62" s="2" t="n">
        <v>10990.5952991453</v>
      </c>
      <c r="BW62" s="2" t="n">
        <v>61149.73805961538</v>
      </c>
      <c r="BX62" s="2" t="n">
        <v>29842.67</v>
      </c>
      <c r="BY62" s="2" t="n">
        <v>1369.38</v>
      </c>
      <c r="BZ62" s="2" t="n">
        <v>6777.190000000001</v>
      </c>
      <c r="CA62" s="2" t="n">
        <v>31212.05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1239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22079.49</v>
      </c>
      <c r="L63" s="2" t="n">
        <v>1837.913102777778</v>
      </c>
      <c r="M63" s="2" t="n">
        <v>20443.97222222222</v>
      </c>
      <c r="N63" s="2" t="n">
        <v>3525.49</v>
      </c>
      <c r="O63" s="2" t="n">
        <v>17803.86</v>
      </c>
      <c r="P63" s="2" t="n">
        <v>750.14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41508.65</v>
      </c>
      <c r="AD63" s="2" t="n">
        <v>2651.941527777778</v>
      </c>
      <c r="AE63" s="2" t="n">
        <v>38433.93518518518</v>
      </c>
      <c r="AF63" s="2" t="n">
        <v>6620.05</v>
      </c>
      <c r="AG63" s="2" t="n">
        <v>32520.79</v>
      </c>
      <c r="AH63" s="2" t="n">
        <v>2367.81</v>
      </c>
      <c r="AI63" s="2" t="n">
        <v>0.28</v>
      </c>
      <c r="AJ63" s="2" t="n">
        <v>0.01944444444444444</v>
      </c>
      <c r="AK63" s="2" t="n">
        <v>0.2592592592592592</v>
      </c>
      <c r="AL63" s="2" t="n">
        <v>0</v>
      </c>
      <c r="AM63" s="2" t="n">
        <v>0.28</v>
      </c>
      <c r="AN63" s="2" t="n">
        <v>0</v>
      </c>
      <c r="AO63" s="2" t="n">
        <v>14034.05</v>
      </c>
      <c r="AP63" s="2" t="n">
        <v>1026.564768518519</v>
      </c>
      <c r="AQ63" s="2" t="n">
        <v>12994.49074074074</v>
      </c>
      <c r="AR63" s="2" t="n">
        <v>2059.58</v>
      </c>
      <c r="AS63" s="2" t="n">
        <v>10948.7</v>
      </c>
      <c r="AT63" s="2" t="n">
        <v>1025.77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77622.47</v>
      </c>
      <c r="BB63" s="2" t="n">
        <v>65417.35</v>
      </c>
      <c r="BC63" s="2">
        <f>F63+L63+R63+X63+AD63+AJ63+AP63+AV63+IF(BE63="",0,BE63)</f>
        <v/>
      </c>
      <c r="BD63" s="2" t="n">
        <v>1007.42719</v>
      </c>
      <c r="BE63" s="2" t="n"/>
      <c r="BF63" s="2" t="n">
        <v>71872.6574074074</v>
      </c>
      <c r="BG63" s="2" t="n">
        <v>458.58</v>
      </c>
      <c r="BH63" s="2" t="n">
        <v>0</v>
      </c>
      <c r="BI63" s="2" t="n">
        <v>48703.25</v>
      </c>
      <c r="BJ63" s="2" t="n">
        <v>99.91589743589743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883.1342249999999</v>
      </c>
      <c r="BQ63" s="2" t="n">
        <v>451.034188034188</v>
      </c>
      <c r="BR63" s="2" t="n">
        <v>50620.91431047009</v>
      </c>
      <c r="BS63" s="2" t="n">
        <v>869.1994017094017</v>
      </c>
      <c r="BT63" s="2" t="n">
        <v>0</v>
      </c>
      <c r="BU63" s="2" t="n">
        <v>10121.3958974359</v>
      </c>
      <c r="BV63" s="2" t="n">
        <v>10990.5952991453</v>
      </c>
      <c r="BW63" s="2" t="n">
        <v>61611.50960961539</v>
      </c>
      <c r="BX63" s="2" t="n">
        <v>61273.63</v>
      </c>
      <c r="BY63" s="2" t="n">
        <v>4143.719999999999</v>
      </c>
      <c r="BZ63" s="2" t="n">
        <v>12205.12</v>
      </c>
      <c r="CA63" s="2" t="n">
        <v>65417.35000000001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1240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39977.48</v>
      </c>
      <c r="L64" s="2" t="n">
        <v>3327.755048148148</v>
      </c>
      <c r="M64" s="2" t="n">
        <v>37016.18518518518</v>
      </c>
      <c r="N64" s="2" t="n">
        <v>6620.73</v>
      </c>
      <c r="O64" s="2" t="n">
        <v>30765.85</v>
      </c>
      <c r="P64" s="2" t="n">
        <v>2590.9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63699.14</v>
      </c>
      <c r="AD64" s="2" t="n">
        <v>4069.667277777778</v>
      </c>
      <c r="AE64" s="2" t="n">
        <v>58980.68518518518</v>
      </c>
      <c r="AF64" s="2" t="n">
        <v>12370.17</v>
      </c>
      <c r="AG64" s="2" t="n">
        <v>47209.66</v>
      </c>
      <c r="AH64" s="2" t="n">
        <v>4119.31</v>
      </c>
      <c r="AI64" s="2" t="n">
        <v>0.47</v>
      </c>
      <c r="AJ64" s="2" t="n">
        <v>0.03263888888888888</v>
      </c>
      <c r="AK64" s="2" t="n">
        <v>0.4351851851851851</v>
      </c>
      <c r="AL64" s="2" t="n">
        <v>0</v>
      </c>
      <c r="AM64" s="2" t="n">
        <v>0.47</v>
      </c>
      <c r="AN64" s="2" t="n">
        <v>0</v>
      </c>
      <c r="AO64" s="2" t="n">
        <v>21946.12</v>
      </c>
      <c r="AP64" s="2" t="n">
        <v>1605.318037037037</v>
      </c>
      <c r="AQ64" s="2" t="n">
        <v>20320.48148148148</v>
      </c>
      <c r="AR64" s="2" t="n">
        <v>4276.48</v>
      </c>
      <c r="AS64" s="2" t="n">
        <v>16109.94</v>
      </c>
      <c r="AT64" s="2" t="n">
        <v>1559.7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125623.21</v>
      </c>
      <c r="BB64" s="2" t="n">
        <v>102355.83</v>
      </c>
      <c r="BC64" s="2">
        <f>F64+L64+R64+X64+AD64+AJ64+AP64+AV64+IF(BE64="",0,BE64)</f>
        <v/>
      </c>
      <c r="BD64" s="2" t="n">
        <v>1576.279782</v>
      </c>
      <c r="BE64" s="2" t="n"/>
      <c r="BF64" s="2" t="n">
        <v>116317.787037037</v>
      </c>
      <c r="BG64" s="2" t="n">
        <v>458.58</v>
      </c>
      <c r="BH64" s="2" t="n">
        <v>0</v>
      </c>
      <c r="BI64" s="2" t="n">
        <v>48703.25</v>
      </c>
      <c r="BJ64" s="2" t="n">
        <v>99.91589743589743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1381.803705</v>
      </c>
      <c r="BQ64" s="2" t="n">
        <v>451.034188034188</v>
      </c>
      <c r="BR64" s="2" t="n">
        <v>51119.58379047008</v>
      </c>
      <c r="BS64" s="2" t="n">
        <v>869.1994017094017</v>
      </c>
      <c r="BT64" s="2" t="n">
        <v>0</v>
      </c>
      <c r="BU64" s="2" t="n">
        <v>10121.3958974359</v>
      </c>
      <c r="BV64" s="2" t="n">
        <v>10990.5952991453</v>
      </c>
      <c r="BW64" s="2" t="n">
        <v>62110.17908961538</v>
      </c>
      <c r="BX64" s="2" t="n">
        <v>94085.92000000001</v>
      </c>
      <c r="BY64" s="2" t="n">
        <v>8269.910000000002</v>
      </c>
      <c r="BZ64" s="2" t="n">
        <v>23267.38</v>
      </c>
      <c r="CA64" s="2" t="n">
        <v>102355.83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1241</v>
      </c>
      <c r="B65" t="inlineStr">
        <is>
          <t>Kolejowa 1, 62-510 Konin</t>
        </is>
      </c>
      <c r="C65" t="inlineStr">
        <is>
          <t>Konin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3792.01</v>
      </c>
      <c r="L65" s="2" t="n">
        <v>315.6497212962963</v>
      </c>
      <c r="M65" s="2" t="n">
        <v>3511.12037037037</v>
      </c>
      <c r="N65" s="2" t="n">
        <v>917.29</v>
      </c>
      <c r="O65" s="2" t="n">
        <v>2867.37</v>
      </c>
      <c r="P65" s="2" t="n">
        <v>7.35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7786.97</v>
      </c>
      <c r="AD65" s="2" t="n">
        <v>497.5008611111111</v>
      </c>
      <c r="AE65" s="2" t="n">
        <v>7210.157407407407</v>
      </c>
      <c r="AF65" s="2" t="n">
        <v>1644.49</v>
      </c>
      <c r="AG65" s="2" t="n">
        <v>5735.72</v>
      </c>
      <c r="AH65" s="2" t="n">
        <v>406.76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124.74</v>
      </c>
      <c r="AP65" s="2" t="n">
        <v>9.124499999999999</v>
      </c>
      <c r="AQ65" s="2" t="n">
        <v>115.5</v>
      </c>
      <c r="AR65" s="2" t="n">
        <v>26.4</v>
      </c>
      <c r="AS65" s="2" t="n">
        <v>98.34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11703.72</v>
      </c>
      <c r="BB65" s="2" t="n">
        <v>9115.540000000001</v>
      </c>
      <c r="BC65" s="2">
        <f>F65+L65+R65+X65+AD65+AJ65+AP65+AV65+IF(BE65="",0,BE65)</f>
        <v/>
      </c>
      <c r="BD65" s="2" t="n">
        <v>140.379316</v>
      </c>
      <c r="BE65" s="2" t="n"/>
      <c r="BF65" s="2" t="n">
        <v>10836.77777777778</v>
      </c>
      <c r="BG65" s="2" t="n">
        <v>0</v>
      </c>
      <c r="BH65" s="2" t="n">
        <v>0</v>
      </c>
      <c r="BI65" s="2" t="n">
        <v>43990.03225806452</v>
      </c>
      <c r="BJ65" s="2" t="n">
        <v>99.91589743589743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123.05979</v>
      </c>
      <c r="BQ65" s="2" t="n">
        <v>451.034188034188</v>
      </c>
      <c r="BR65" s="2" t="n">
        <v>44689.0421335346</v>
      </c>
      <c r="BS65" s="2" t="n">
        <v>869.1994017094017</v>
      </c>
      <c r="BT65" s="2" t="n">
        <v>0</v>
      </c>
      <c r="BU65" s="2" t="n">
        <v>9087.036349048802</v>
      </c>
      <c r="BV65" s="2" t="n">
        <v>9956.235750758204</v>
      </c>
      <c r="BW65" s="2" t="n">
        <v>54645.2778842928</v>
      </c>
      <c r="BX65" s="2" t="n">
        <v>8701.43</v>
      </c>
      <c r="BY65" s="2" t="n">
        <v>414.11</v>
      </c>
      <c r="BZ65" s="2" t="n">
        <v>2588.18</v>
      </c>
      <c r="CA65" s="2" t="n">
        <v>9115.540000000001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1242</v>
      </c>
      <c r="B66" t="inlineStr">
        <is>
          <t>Dworcowa 1, 62-800 Kalisz</t>
        </is>
      </c>
      <c r="C66" t="inlineStr">
        <is>
          <t>Kalisz</t>
        </is>
      </c>
      <c r="D66" t="inlineStr">
        <is>
          <t>ST|40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16754.7</v>
      </c>
      <c r="L66" s="2" t="n">
        <v>1394.673638888889</v>
      </c>
      <c r="M66" s="2" t="n">
        <v>15513.61111111111</v>
      </c>
      <c r="N66" s="2" t="n">
        <v>7170.8</v>
      </c>
      <c r="O66" s="2" t="n">
        <v>8904.450000000001</v>
      </c>
      <c r="P66" s="2" t="n">
        <v>679.45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3129.34</v>
      </c>
      <c r="AD66" s="2" t="n">
        <v>199.9300555555555</v>
      </c>
      <c r="AE66" s="2" t="n">
        <v>2897.537037037036</v>
      </c>
      <c r="AF66" s="2" t="n">
        <v>1015.97</v>
      </c>
      <c r="AG66" s="2" t="n">
        <v>2024.73</v>
      </c>
      <c r="AH66" s="2" t="n">
        <v>88.64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8783.630000000001</v>
      </c>
      <c r="AP66" s="2" t="n">
        <v>642.5062685185185</v>
      </c>
      <c r="AQ66" s="2" t="n">
        <v>8132.990740740741</v>
      </c>
      <c r="AR66" s="2" t="n">
        <v>3009.64</v>
      </c>
      <c r="AS66" s="2" t="n">
        <v>5496.62</v>
      </c>
      <c r="AT66" s="2" t="n">
        <v>277.37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28667.67</v>
      </c>
      <c r="BB66" s="2" t="n">
        <v>17471.26</v>
      </c>
      <c r="BC66" s="2">
        <f>F66+L66+R66+X66+AD66+AJ66+AP66+AV66+IF(BE66="",0,BE66)</f>
        <v/>
      </c>
      <c r="BD66" s="2" t="n">
        <v>269.057404</v>
      </c>
      <c r="BE66" s="2" t="n"/>
      <c r="BF66" s="2" t="n">
        <v>26544.13888888889</v>
      </c>
      <c r="BG66" s="2" t="n">
        <v>539.1099999999999</v>
      </c>
      <c r="BH66" s="2" t="n">
        <v>208</v>
      </c>
      <c r="BI66" s="2" t="n">
        <v>48703.25</v>
      </c>
      <c r="BJ66" s="2" t="n">
        <v>99.91589743589743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235.86201</v>
      </c>
      <c r="BQ66" s="2" t="n">
        <v>451.034188034188</v>
      </c>
      <c r="BR66" s="2" t="n">
        <v>50262.17209547008</v>
      </c>
      <c r="BS66" s="2" t="n">
        <v>869.1994017094017</v>
      </c>
      <c r="BT66" s="2" t="n">
        <v>0</v>
      </c>
      <c r="BU66" s="2" t="n">
        <v>10179.1018974359</v>
      </c>
      <c r="BV66" s="2" t="n">
        <v>11048.3012991453</v>
      </c>
      <c r="BW66" s="2" t="n">
        <v>61310.47339461538</v>
      </c>
      <c r="BX66" s="2" t="n">
        <v>16425.8</v>
      </c>
      <c r="BY66" s="2" t="n">
        <v>1045.46</v>
      </c>
      <c r="BZ66" s="2" t="n">
        <v>11196.41</v>
      </c>
      <c r="CA66" s="2" t="n">
        <v>17471.26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1243</v>
      </c>
      <c r="B67" t="inlineStr">
        <is>
          <t>Garbary 89, 61-757 Poznań</t>
        </is>
      </c>
      <c r="C67" t="inlineStr">
        <is>
          <t>Poznań Garbary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184.41</v>
      </c>
      <c r="L67" s="2" t="n">
        <v>15.350425</v>
      </c>
      <c r="M67" s="2" t="n">
        <v>170.75</v>
      </c>
      <c r="N67" s="2" t="n">
        <v>19</v>
      </c>
      <c r="O67" s="2" t="n">
        <v>165.41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21508.09</v>
      </c>
      <c r="AD67" s="2" t="n">
        <v>1374.127972222222</v>
      </c>
      <c r="AE67" s="2" t="n">
        <v>19914.89814814815</v>
      </c>
      <c r="AF67" s="2" t="n">
        <v>2671.89</v>
      </c>
      <c r="AG67" s="2" t="n">
        <v>17339.4</v>
      </c>
      <c r="AH67" s="2" t="n">
        <v>1496.8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3461.91</v>
      </c>
      <c r="AP67" s="2" t="n">
        <v>253.2323055555555</v>
      </c>
      <c r="AQ67" s="2" t="n">
        <v>3205.472222222222</v>
      </c>
      <c r="AR67" s="2" t="n">
        <v>511.04</v>
      </c>
      <c r="AS67" s="2" t="n">
        <v>2842.88</v>
      </c>
      <c r="AT67" s="2" t="n">
        <v>107.99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25154.41</v>
      </c>
      <c r="BB67" s="2" t="n">
        <v>21952.48</v>
      </c>
      <c r="BC67" s="2">
        <f>F67+L67+R67+X67+AD67+AJ67+AP67+AV67+IF(BE67="",0,BE67)</f>
        <v/>
      </c>
      <c r="BD67" s="2" t="n">
        <v>338.0681920000001</v>
      </c>
      <c r="BE67" s="2" t="n"/>
      <c r="BF67" s="2" t="n">
        <v>23291.12037037037</v>
      </c>
      <c r="BG67" s="2" t="n">
        <v>587.13</v>
      </c>
      <c r="BH67" s="2" t="n">
        <v>182</v>
      </c>
      <c r="BI67" s="2" t="n">
        <v>48703.25</v>
      </c>
      <c r="BJ67" s="2" t="n">
        <v>99.91589743589743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296.35848</v>
      </c>
      <c r="BQ67" s="2" t="n">
        <v>451.034188034188</v>
      </c>
      <c r="BR67" s="2" t="n">
        <v>50344.68856547008</v>
      </c>
      <c r="BS67" s="2" t="n">
        <v>869.1994017094017</v>
      </c>
      <c r="BT67" s="2" t="n">
        <v>0</v>
      </c>
      <c r="BU67" s="2" t="n">
        <v>10183.5058974359</v>
      </c>
      <c r="BV67" s="2" t="n">
        <v>11052.7052991453</v>
      </c>
      <c r="BW67" s="2" t="n">
        <v>61397.39386461538</v>
      </c>
      <c r="BX67" s="2" t="n">
        <v>20347.69</v>
      </c>
      <c r="BY67" s="2" t="n">
        <v>1604.79</v>
      </c>
      <c r="BZ67" s="2" t="n">
        <v>3201.93</v>
      </c>
      <c r="CA67" s="2" t="n">
        <v>21952.48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1244</v>
      </c>
      <c r="B68" t="inlineStr">
        <is>
          <t>Dworcowa 7, 62-200 Gniezno</t>
        </is>
      </c>
      <c r="C68" t="inlineStr">
        <is>
          <t>Gniezno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22128.9</v>
      </c>
      <c r="L68" s="2" t="n">
        <v>1842.026027777778</v>
      </c>
      <c r="M68" s="2" t="n">
        <v>20489.72222222222</v>
      </c>
      <c r="N68" s="2" t="n">
        <v>4472.76</v>
      </c>
      <c r="O68" s="2" t="n">
        <v>16934.03</v>
      </c>
      <c r="P68" s="2" t="n">
        <v>722.11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20263.81</v>
      </c>
      <c r="AD68" s="2" t="n">
        <v>1294.632305555556</v>
      </c>
      <c r="AE68" s="2" t="n">
        <v>18762.78703703704</v>
      </c>
      <c r="AF68" s="2" t="n">
        <v>5326.86</v>
      </c>
      <c r="AG68" s="2" t="n">
        <v>14119.48</v>
      </c>
      <c r="AH68" s="2" t="n">
        <v>817.47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9025.179999999998</v>
      </c>
      <c r="AP68" s="2" t="n">
        <v>660.1752037037036</v>
      </c>
      <c r="AQ68" s="2" t="n">
        <v>8356.648148148146</v>
      </c>
      <c r="AR68" s="2" t="n">
        <v>2250.02</v>
      </c>
      <c r="AS68" s="2" t="n">
        <v>6512.78</v>
      </c>
      <c r="AT68" s="2" t="n">
        <v>262.38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51417.89000000001</v>
      </c>
      <c r="BB68" s="2" t="n">
        <v>39368.25</v>
      </c>
      <c r="BC68" s="2">
        <f>F68+L68+R68+X68+AD68+AJ68+AP68+AV68+IF(BE68="",0,BE68)</f>
        <v/>
      </c>
      <c r="BD68" s="2" t="n">
        <v>606.2710499999999</v>
      </c>
      <c r="BE68" s="2" t="n"/>
      <c r="BF68" s="2" t="n">
        <v>47609.1574074074</v>
      </c>
      <c r="BG68" s="2" t="n">
        <v>0</v>
      </c>
      <c r="BH68" s="2" t="n">
        <v>0</v>
      </c>
      <c r="BI68" s="2" t="n">
        <v>48703.25</v>
      </c>
      <c r="BJ68" s="2" t="n">
        <v>99.91589743589743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531.471375</v>
      </c>
      <c r="BQ68" s="2" t="n">
        <v>451.034188034188</v>
      </c>
      <c r="BR68" s="2" t="n">
        <v>49810.67146047008</v>
      </c>
      <c r="BS68" s="2" t="n">
        <v>869.1994017094017</v>
      </c>
      <c r="BT68" s="2" t="n">
        <v>0</v>
      </c>
      <c r="BU68" s="2" t="n">
        <v>10029.6798974359</v>
      </c>
      <c r="BV68" s="2" t="n">
        <v>10898.8792991453</v>
      </c>
      <c r="BW68" s="2" t="n">
        <v>60709.55075961538</v>
      </c>
      <c r="BX68" s="2" t="n">
        <v>37566.29</v>
      </c>
      <c r="BY68" s="2" t="n">
        <v>1801.96</v>
      </c>
      <c r="BZ68" s="2" t="n">
        <v>12049.64</v>
      </c>
      <c r="CA68" s="2" t="n">
        <v>39368.25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1245</v>
      </c>
      <c r="B69" t="inlineStr">
        <is>
          <t>Plac Dworcowy 1, 80-321 Gdańsk</t>
        </is>
      </c>
      <c r="C69" t="inlineStr">
        <is>
          <t>Gdańsk Oliwa</t>
        </is>
      </c>
      <c r="D69" t="inlineStr">
        <is>
          <t>ST|40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5381.32</v>
      </c>
      <c r="L69" s="2" t="n">
        <v>447.945062962963</v>
      </c>
      <c r="M69" s="2" t="n">
        <v>4982.703703703703</v>
      </c>
      <c r="N69" s="2" t="n">
        <v>1069.38</v>
      </c>
      <c r="O69" s="2" t="n">
        <v>4170.49</v>
      </c>
      <c r="P69" s="2" t="n">
        <v>141.45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10612.19</v>
      </c>
      <c r="AP69" s="2" t="n">
        <v>776.2620462962961</v>
      </c>
      <c r="AQ69" s="2" t="n">
        <v>9826.10185185185</v>
      </c>
      <c r="AR69" s="2" t="n">
        <v>3689.12</v>
      </c>
      <c r="AS69" s="2" t="n">
        <v>6827.25</v>
      </c>
      <c r="AT69" s="2" t="n">
        <v>95.81999999999999</v>
      </c>
      <c r="AU69" s="2" t="n">
        <v>5749.15</v>
      </c>
      <c r="AV69" s="2" t="n">
        <v>228.9013425925926</v>
      </c>
      <c r="AW69" s="2" t="n">
        <v>5323.287037037036</v>
      </c>
      <c r="AX69" s="2" t="n">
        <v>2196.1</v>
      </c>
      <c r="AY69" s="2" t="n">
        <v>3439.35</v>
      </c>
      <c r="AZ69" s="2" t="n">
        <v>113.7</v>
      </c>
      <c r="BA69" s="2" t="n">
        <v>21742.66</v>
      </c>
      <c r="BB69" s="2" t="n">
        <v>14788.06</v>
      </c>
      <c r="BC69" s="2">
        <f>F69+L69+R69+X69+AD69+AJ69+AP69+AV69+IF(BE69="",0,BE69)</f>
        <v/>
      </c>
      <c r="BD69" s="2" t="n">
        <v>227.736124</v>
      </c>
      <c r="BE69" s="2" t="n"/>
      <c r="BF69" s="2" t="n">
        <v>20132.09259259259</v>
      </c>
      <c r="BG69" s="2" t="n">
        <v>0</v>
      </c>
      <c r="BH69" s="2" t="n">
        <v>0</v>
      </c>
      <c r="BI69" s="2" t="n">
        <v>48703.25</v>
      </c>
      <c r="BJ69" s="2" t="n">
        <v>99.91589743589743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199.63881</v>
      </c>
      <c r="BQ69" s="2" t="n">
        <v>451.034188034188</v>
      </c>
      <c r="BR69" s="2" t="n">
        <v>49478.83889547008</v>
      </c>
      <c r="BS69" s="2" t="n">
        <v>869.1994017094017</v>
      </c>
      <c r="BT69" s="2" t="n">
        <v>0</v>
      </c>
      <c r="BU69" s="2" t="n">
        <v>10029.6798974359</v>
      </c>
      <c r="BV69" s="2" t="n">
        <v>10898.8792991453</v>
      </c>
      <c r="BW69" s="2" t="n">
        <v>60377.71819461538</v>
      </c>
      <c r="BX69" s="2" t="n">
        <v>14437.09</v>
      </c>
      <c r="BY69" s="2" t="n">
        <v>350.97</v>
      </c>
      <c r="BZ69" s="2" t="n">
        <v>6954.6</v>
      </c>
      <c r="CA69" s="2" t="n">
        <v>14788.06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1246</v>
      </c>
      <c r="B70" t="inlineStr">
        <is>
          <t>Dworcowa 1, 63-400 Ostrów Wlkp.</t>
        </is>
      </c>
      <c r="C70" t="inlineStr">
        <is>
          <t>Ostrów Wielkopolski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8700.59</v>
      </c>
      <c r="L70" s="2" t="n">
        <v>724.2435564814815</v>
      </c>
      <c r="M70" s="2" t="n">
        <v>8056.101851851851</v>
      </c>
      <c r="N70" s="2" t="n">
        <v>3416.1</v>
      </c>
      <c r="O70" s="2" t="n">
        <v>5020.67</v>
      </c>
      <c r="P70" s="2" t="n">
        <v>263.82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9099.01</v>
      </c>
      <c r="AD70" s="2" t="n">
        <v>581.3256388888889</v>
      </c>
      <c r="AE70" s="2" t="n">
        <v>8425.009259259259</v>
      </c>
      <c r="AF70" s="2" t="n">
        <v>2376.86</v>
      </c>
      <c r="AG70" s="2" t="n">
        <v>6259.64</v>
      </c>
      <c r="AH70" s="2" t="n">
        <v>462.51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9547.789999999999</v>
      </c>
      <c r="AP70" s="2" t="n">
        <v>698.4031574074073</v>
      </c>
      <c r="AQ70" s="2" t="n">
        <v>8840.546296296296</v>
      </c>
      <c r="AR70" s="2" t="n">
        <v>2862.73</v>
      </c>
      <c r="AS70" s="2" t="n">
        <v>6443.24</v>
      </c>
      <c r="AT70" s="2" t="n">
        <v>241.82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27347.39</v>
      </c>
      <c r="BB70" s="2" t="n">
        <v>18691.7</v>
      </c>
      <c r="BC70" s="2">
        <f>F70+L70+R70+X70+AD70+AJ70+AP70+AV70+IF(BE70="",0,BE70)</f>
        <v/>
      </c>
      <c r="BD70" s="2" t="n">
        <v>287.85218</v>
      </c>
      <c r="BE70" s="2" t="n"/>
      <c r="BF70" s="2" t="n">
        <v>25321.65740740741</v>
      </c>
      <c r="BG70" s="2" t="n">
        <v>0</v>
      </c>
      <c r="BH70" s="2" t="n">
        <v>113.4</v>
      </c>
      <c r="BI70" s="2" t="n">
        <v>48703.25</v>
      </c>
      <c r="BJ70" s="2" t="n">
        <v>99.91589743589743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252.33795</v>
      </c>
      <c r="BQ70" s="2" t="n">
        <v>451.034188034188</v>
      </c>
      <c r="BR70" s="2" t="n">
        <v>49644.93803547008</v>
      </c>
      <c r="BS70" s="2" t="n">
        <v>869.1994017094017</v>
      </c>
      <c r="BT70" s="2" t="n">
        <v>0</v>
      </c>
      <c r="BU70" s="2" t="n">
        <v>10052.3598974359</v>
      </c>
      <c r="BV70" s="2" t="n">
        <v>10921.5592991453</v>
      </c>
      <c r="BW70" s="2" t="n">
        <v>60566.49733461539</v>
      </c>
      <c r="BX70" s="2" t="n">
        <v>17723.55</v>
      </c>
      <c r="BY70" s="2" t="n">
        <v>968.1499999999999</v>
      </c>
      <c r="BZ70" s="2" t="n">
        <v>8655.690000000001</v>
      </c>
      <c r="CA70" s="2" t="n">
        <v>18691.7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1247</v>
      </c>
      <c r="B71" t="inlineStr">
        <is>
          <t>Kujawska 1, 87-100 Toruń</t>
        </is>
      </c>
      <c r="C71" t="inlineStr">
        <is>
          <t>Toruń</t>
        </is>
      </c>
      <c r="D71" t="inlineStr">
        <is>
          <t>FAA2000</t>
        </is>
      </c>
      <c r="E71" s="2" t="n">
        <v>1839.21</v>
      </c>
      <c r="F71" s="2" t="n">
        <v>1000</v>
      </c>
      <c r="G71" s="2" t="n">
        <v>1702.972222222222</v>
      </c>
      <c r="H71" s="2" t="n">
        <v>588.4400000000001</v>
      </c>
      <c r="I71" s="2" t="n">
        <v>1250.77</v>
      </c>
      <c r="J71" s="2" t="n">
        <v>0</v>
      </c>
      <c r="K71" s="2" t="n">
        <v>9450.040000000001</v>
      </c>
      <c r="L71" s="2" t="n">
        <v>786.6283296296297</v>
      </c>
      <c r="M71" s="2" t="n">
        <v>8750.037037037036</v>
      </c>
      <c r="N71" s="2" t="n">
        <v>2990.17</v>
      </c>
      <c r="O71" s="2" t="n">
        <v>6459.87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13118.53</v>
      </c>
      <c r="AP71" s="2" t="n">
        <v>959.5961759259259</v>
      </c>
      <c r="AQ71" s="2" t="n">
        <v>12146.78703703704</v>
      </c>
      <c r="AR71" s="2" t="n">
        <v>4099.5</v>
      </c>
      <c r="AS71" s="2" t="n">
        <v>9019.030000000001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24407.78</v>
      </c>
      <c r="BB71" s="2" t="n">
        <v>16729.67</v>
      </c>
      <c r="BC71" s="2">
        <f>F71+L71+R71+X71+AD71+AJ71+AP71+AV71+IF(BE71="",0,BE71)</f>
        <v/>
      </c>
      <c r="BD71" s="2" t="n">
        <v>257.636918</v>
      </c>
      <c r="BE71" s="2" t="n"/>
      <c r="BF71" s="2" t="n">
        <v>22599.7962962963</v>
      </c>
      <c r="BG71" s="2" t="n">
        <v>534.6800000000001</v>
      </c>
      <c r="BH71" s="2" t="n">
        <v>139</v>
      </c>
      <c r="BI71" s="2" t="n">
        <v>48703.25</v>
      </c>
      <c r="BJ71" s="2" t="n">
        <v>99.91589743589743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225.850545</v>
      </c>
      <c r="BQ71" s="2" t="n">
        <v>451.034188034188</v>
      </c>
      <c r="BR71" s="2" t="n">
        <v>50178.73063047008</v>
      </c>
      <c r="BS71" s="2" t="n">
        <v>869.1994017094017</v>
      </c>
      <c r="BT71" s="2" t="n">
        <v>0</v>
      </c>
      <c r="BU71" s="2" t="n">
        <v>10164.4158974359</v>
      </c>
      <c r="BV71" s="2" t="n">
        <v>11033.6152991453</v>
      </c>
      <c r="BW71" s="2" t="n">
        <v>61212.34592961538</v>
      </c>
      <c r="BX71" s="2" t="n">
        <v>16729.67</v>
      </c>
      <c r="BY71" s="2" t="n">
        <v>0</v>
      </c>
      <c r="BZ71" s="2" t="n">
        <v>7678.110000000001</v>
      </c>
      <c r="CA71" s="2" t="n">
        <v>16729.67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1249</v>
      </c>
      <c r="B72" t="inlineStr">
        <is>
          <t>Stefana Okrzei 65, 87-810 Włocławek</t>
        </is>
      </c>
      <c r="C72" t="inlineStr">
        <is>
          <t>Włocławek</t>
        </is>
      </c>
      <c r="D72" t="inlineStr">
        <is>
          <t>FAA2000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4218.61</v>
      </c>
      <c r="L72" s="2" t="n">
        <v>351.1602212962963</v>
      </c>
      <c r="M72" s="2" t="n">
        <v>3906.12037037037</v>
      </c>
      <c r="N72" s="2" t="n">
        <v>748.83</v>
      </c>
      <c r="O72" s="2" t="n">
        <v>3081.93</v>
      </c>
      <c r="P72" s="2" t="n">
        <v>387.85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8052.83</v>
      </c>
      <c r="AP72" s="2" t="n">
        <v>589.0496018518519</v>
      </c>
      <c r="AQ72" s="2" t="n">
        <v>7456.324074074074</v>
      </c>
      <c r="AR72" s="2" t="n">
        <v>2489.64</v>
      </c>
      <c r="AS72" s="2" t="n">
        <v>5016.67</v>
      </c>
      <c r="AT72" s="2" t="n">
        <v>546.52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12271.44</v>
      </c>
      <c r="BB72" s="2" t="n">
        <v>9032.970000000001</v>
      </c>
      <c r="BC72" s="2">
        <f>F72+L72+R72+X72+AD72+AJ72+AP72+AV72+IF(BE72="",0,BE72)</f>
        <v/>
      </c>
      <c r="BD72" s="2" t="n">
        <v>139.107738</v>
      </c>
      <c r="BE72" s="2" t="n"/>
      <c r="BF72" s="2" t="n">
        <v>11362.44444444444</v>
      </c>
      <c r="BG72" s="2" t="n">
        <v>694.6900000000001</v>
      </c>
      <c r="BH72" s="2" t="n">
        <v>167.5</v>
      </c>
      <c r="BI72" s="2" t="n">
        <v>48703.25</v>
      </c>
      <c r="BJ72" s="2" t="n">
        <v>99.91589743589743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121.945095</v>
      </c>
      <c r="BQ72" s="2" t="n">
        <v>451.034188034188</v>
      </c>
      <c r="BR72" s="2" t="n">
        <v>50263.33518047009</v>
      </c>
      <c r="BS72" s="2" t="n">
        <v>869.1994017094017</v>
      </c>
      <c r="BT72" s="2" t="n">
        <v>0</v>
      </c>
      <c r="BU72" s="2" t="n">
        <v>10202.1178974359</v>
      </c>
      <c r="BV72" s="2" t="n">
        <v>11071.3172991453</v>
      </c>
      <c r="BW72" s="2" t="n">
        <v>61334.65247961539</v>
      </c>
      <c r="BX72" s="2" t="n">
        <v>8098.6</v>
      </c>
      <c r="BY72" s="2" t="n">
        <v>934.37</v>
      </c>
      <c r="BZ72" s="2" t="n">
        <v>3238.47</v>
      </c>
      <c r="CA72" s="2" t="n">
        <v>9032.970000000001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1250</v>
      </c>
      <c r="B73" t="inlineStr">
        <is>
          <t>Kolejowa 3, 58-540 Karpacz</t>
        </is>
      </c>
      <c r="C73" t="inlineStr">
        <is>
          <t>Karpacz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20360.51</v>
      </c>
      <c r="R73" s="2" t="n">
        <v>2500</v>
      </c>
      <c r="S73" s="2" t="n">
        <v>18852.32407407407</v>
      </c>
      <c r="T73" s="2" t="n">
        <v>0</v>
      </c>
      <c r="U73" s="2" t="n">
        <v>17172.42</v>
      </c>
      <c r="V73" s="2" t="n">
        <v>3188.09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20360.51</v>
      </c>
      <c r="BB73" s="2" t="n">
        <v>20360.51</v>
      </c>
      <c r="BC73" s="2">
        <f>F73+L73+R73+X73+AD73+AJ73+AP73+AV73+IF(BE73="",0,BE73)</f>
        <v/>
      </c>
      <c r="BD73" s="2" t="n">
        <v>313.551854</v>
      </c>
      <c r="BE73" s="2" t="n"/>
      <c r="BF73" s="2" t="n">
        <v>18852.32407407407</v>
      </c>
      <c r="BG73" s="2" t="n">
        <v>0</v>
      </c>
      <c r="BH73" s="2" t="n">
        <v>0</v>
      </c>
      <c r="BI73" s="2" t="n">
        <v>48703.25</v>
      </c>
      <c r="BJ73" s="2" t="n">
        <v>99.91589743589743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274.866885</v>
      </c>
      <c r="BQ73" s="2" t="n">
        <v>451.034188034188</v>
      </c>
      <c r="BR73" s="2" t="n">
        <v>49554.06697047008</v>
      </c>
      <c r="BS73" s="2" t="n">
        <v>869.1994017094017</v>
      </c>
      <c r="BT73" s="2" t="n">
        <v>0</v>
      </c>
      <c r="BU73" s="2" t="n">
        <v>10029.6798974359</v>
      </c>
      <c r="BV73" s="2" t="n">
        <v>10898.8792991453</v>
      </c>
      <c r="BW73" s="2" t="n">
        <v>60452.94626961539</v>
      </c>
      <c r="BX73" s="2" t="n">
        <v>17172.42</v>
      </c>
      <c r="BY73" s="2" t="n">
        <v>3188.09</v>
      </c>
      <c r="BZ73" s="2" t="n">
        <v>0</v>
      </c>
      <c r="CA73" s="2" t="n">
        <v>20360.51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1251</v>
      </c>
      <c r="B74" t="inlineStr">
        <is>
          <t>LODZ-WI</t>
        </is>
      </c>
      <c r="C74" t="inlineStr"/>
      <c r="D74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560.1400000000001</v>
      </c>
      <c r="L74" s="2" t="n">
        <v>0</v>
      </c>
      <c r="M74" s="2" t="n">
        <v>518.6481481481482</v>
      </c>
      <c r="N74" s="2" t="n">
        <v>0</v>
      </c>
      <c r="O74" s="2" t="n">
        <v>545.6900000000001</v>
      </c>
      <c r="P74" s="2" t="n">
        <v>14.45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560.1400000000001</v>
      </c>
      <c r="BB74" s="2" t="n">
        <v>560.1400000000001</v>
      </c>
      <c r="BC74" s="2">
        <f>F74+L74+R74+X74+AD74+AJ74+AP74+AV74+IF(BE74="",0,BE74)</f>
        <v/>
      </c>
      <c r="BD74" s="2" t="n">
        <v>8.626156000000002</v>
      </c>
      <c r="BE74" s="2" t="n"/>
      <c r="BF74" s="2" t="n">
        <v>518.6481481481482</v>
      </c>
      <c r="BG74" s="2" t="n">
        <v>518</v>
      </c>
      <c r="BH74" s="2" t="n">
        <v>238</v>
      </c>
      <c r="BI74" s="2" t="n">
        <v>48703.25</v>
      </c>
      <c r="BJ74" s="2" t="n">
        <v>99.91589743589743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7.561890000000001</v>
      </c>
      <c r="BQ74" s="2" t="n">
        <v>451.034188034188</v>
      </c>
      <c r="BR74" s="2" t="n">
        <v>50042.76197547008</v>
      </c>
      <c r="BS74" s="2" t="n">
        <v>869.1994017094017</v>
      </c>
      <c r="BT74" s="2" t="n">
        <v>0</v>
      </c>
      <c r="BU74" s="2" t="n">
        <v>10180.8798974359</v>
      </c>
      <c r="BV74" s="2" t="n">
        <v>11050.0792991453</v>
      </c>
      <c r="BW74" s="2" t="n">
        <v>61092.84127461538</v>
      </c>
      <c r="BX74" s="2" t="n">
        <v>545.6900000000001</v>
      </c>
      <c r="BY74" s="2" t="n">
        <v>14.45</v>
      </c>
      <c r="BZ74" s="2" t="n">
        <v>0</v>
      </c>
      <c r="CA74" s="2" t="n">
        <v>560.1400000000001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1252</v>
      </c>
      <c r="B75" t="inlineStr">
        <is>
          <t>Krakowska 48, 46-020 Opole</t>
        </is>
      </c>
      <c r="C75" t="inlineStr">
        <is>
          <t>Opole Główne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15195.21</v>
      </c>
      <c r="L75" s="2" t="n">
        <v>1264.860536111111</v>
      </c>
      <c r="M75" s="2" t="n">
        <v>14069.63888888889</v>
      </c>
      <c r="N75" s="2" t="n">
        <v>4158.09</v>
      </c>
      <c r="O75" s="2" t="n">
        <v>10554.19</v>
      </c>
      <c r="P75" s="2" t="n">
        <v>482.93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18094.12</v>
      </c>
      <c r="AP75" s="2" t="n">
        <v>1323.55137037037</v>
      </c>
      <c r="AQ75" s="2" t="n">
        <v>16753.81481481481</v>
      </c>
      <c r="AR75" s="2" t="n">
        <v>5183.04</v>
      </c>
      <c r="AS75" s="2" t="n">
        <v>12399.22</v>
      </c>
      <c r="AT75" s="2" t="n">
        <v>511.86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33289.33</v>
      </c>
      <c r="BB75" s="2" t="n">
        <v>23948.2</v>
      </c>
      <c r="BC75" s="2">
        <f>F75+L75+R75+X75+AD75+AJ75+AP75+AV75+IF(BE75="",0,BE75)</f>
        <v/>
      </c>
      <c r="BD75" s="2" t="n">
        <v>368.80228</v>
      </c>
      <c r="BE75" s="2" t="n"/>
      <c r="BF75" s="2" t="n">
        <v>30823.4537037037</v>
      </c>
      <c r="BG75" s="2" t="n">
        <v>228</v>
      </c>
      <c r="BH75" s="2" t="n">
        <v>0</v>
      </c>
      <c r="BI75" s="2" t="n">
        <v>48703.25</v>
      </c>
      <c r="BJ75" s="2" t="n">
        <v>99.91589743589743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323.3007</v>
      </c>
      <c r="BQ75" s="2" t="n">
        <v>451.034188034188</v>
      </c>
      <c r="BR75" s="2" t="n">
        <v>49830.50078547008</v>
      </c>
      <c r="BS75" s="2" t="n">
        <v>869.1994017094017</v>
      </c>
      <c r="BT75" s="2" t="n">
        <v>0</v>
      </c>
      <c r="BU75" s="2" t="n">
        <v>10075.2798974359</v>
      </c>
      <c r="BV75" s="2" t="n">
        <v>10944.4792991453</v>
      </c>
      <c r="BW75" s="2" t="n">
        <v>60774.98008461538</v>
      </c>
      <c r="BX75" s="2" t="n">
        <v>22953.41</v>
      </c>
      <c r="BY75" s="2" t="n">
        <v>994.79</v>
      </c>
      <c r="BZ75" s="2" t="n">
        <v>9341.130000000001</v>
      </c>
      <c r="CA75" s="2" t="n">
        <v>23948.2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1254</v>
      </c>
      <c r="B76" t="inlineStr">
        <is>
          <t>Stacyjna 5, 53-600 Wrocław</t>
        </is>
      </c>
      <c r="C76" t="inlineStr">
        <is>
          <t>Wrocław Mikołajów</t>
        </is>
      </c>
      <c r="D76" t="inlineStr">
        <is>
          <t>FAA2000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3784.91</v>
      </c>
      <c r="L76" s="2" t="n">
        <v>315.058712037037</v>
      </c>
      <c r="M76" s="2" t="n">
        <v>3504.546296296296</v>
      </c>
      <c r="N76" s="2" t="n">
        <v>996.3099999999999</v>
      </c>
      <c r="O76" s="2" t="n">
        <v>2686.6</v>
      </c>
      <c r="P76" s="2" t="n">
        <v>102</v>
      </c>
      <c r="Q76" s="2" t="n">
        <v>11194.35</v>
      </c>
      <c r="R76" s="2" t="n">
        <v>1600</v>
      </c>
      <c r="S76" s="2" t="n">
        <v>10365.13888888889</v>
      </c>
      <c r="T76" s="2" t="n">
        <v>2362.32</v>
      </c>
      <c r="U76" s="2" t="n">
        <v>8219.370000000001</v>
      </c>
      <c r="V76" s="2" t="n">
        <v>612.66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8514.1</v>
      </c>
      <c r="AP76" s="2" t="n">
        <v>622.7906481481482</v>
      </c>
      <c r="AQ76" s="2" t="n">
        <v>7883.425925925926</v>
      </c>
      <c r="AR76" s="2" t="n">
        <v>2148.58</v>
      </c>
      <c r="AS76" s="2" t="n">
        <v>6113.35</v>
      </c>
      <c r="AT76" s="2" t="n">
        <v>252.17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23493.36</v>
      </c>
      <c r="BB76" s="2" t="n">
        <v>17986.15</v>
      </c>
      <c r="BC76" s="2">
        <f>F76+L76+R76+X76+AD76+AJ76+AP76+AV76+IF(BE76="",0,BE76)</f>
        <v/>
      </c>
      <c r="BD76" s="2" t="n">
        <v>276.98671</v>
      </c>
      <c r="BE76" s="2" t="n"/>
      <c r="BF76" s="2" t="n">
        <v>21753.11111111111</v>
      </c>
      <c r="BG76" s="2" t="n">
        <v>0</v>
      </c>
      <c r="BH76" s="2" t="n">
        <v>350.37</v>
      </c>
      <c r="BI76" s="2" t="n">
        <v>14139.65322580645</v>
      </c>
      <c r="BJ76" s="2" t="n">
        <v>99.91589743589743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242.813025</v>
      </c>
      <c r="BQ76" s="2" t="n">
        <v>451.034188034188</v>
      </c>
      <c r="BR76" s="2" t="n">
        <v>15308.78633627654</v>
      </c>
      <c r="BS76" s="2" t="n">
        <v>869.1994017094017</v>
      </c>
      <c r="BT76" s="2" t="n">
        <v>0</v>
      </c>
      <c r="BU76" s="2" t="n">
        <v>3187.034542597188</v>
      </c>
      <c r="BV76" s="2" t="n">
        <v>4056.23394430659</v>
      </c>
      <c r="BW76" s="2" t="n">
        <v>19365.02028058312</v>
      </c>
      <c r="BX76" s="2" t="n">
        <v>17019.32</v>
      </c>
      <c r="BY76" s="2" t="n">
        <v>966.8299999999999</v>
      </c>
      <c r="BZ76" s="2" t="n">
        <v>5507.21</v>
      </c>
      <c r="CA76" s="2" t="n">
        <v>17986.15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1256</v>
      </c>
      <c r="B77" t="inlineStr">
        <is>
          <t>Dworcowa 2, 61-801 Poznań</t>
        </is>
      </c>
      <c r="C77" t="inlineStr">
        <is>
          <t>Poznań Główny</t>
        </is>
      </c>
      <c r="D77" t="inlineStr">
        <is>
          <t>FAA2000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3309.33</v>
      </c>
      <c r="L77" s="2" t="n">
        <v>275.4710805555556</v>
      </c>
      <c r="M77" s="2" t="n">
        <v>3064.194444444445</v>
      </c>
      <c r="N77" s="2" t="n">
        <v>498.19</v>
      </c>
      <c r="O77" s="2" t="n">
        <v>2553.34</v>
      </c>
      <c r="P77" s="2" t="n">
        <v>257.8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5178.96</v>
      </c>
      <c r="AD77" s="2" t="n">
        <v>330.878</v>
      </c>
      <c r="AE77" s="2" t="n">
        <v>4795.333333333333</v>
      </c>
      <c r="AF77" s="2" t="n">
        <v>600.03</v>
      </c>
      <c r="AG77" s="2" t="n">
        <v>4411.97</v>
      </c>
      <c r="AH77" s="2" t="n">
        <v>166.96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1448.51</v>
      </c>
      <c r="AP77" s="2" t="n">
        <v>105.955824074074</v>
      </c>
      <c r="AQ77" s="2" t="n">
        <v>1341.212962962963</v>
      </c>
      <c r="AR77" s="2" t="n">
        <v>159.85</v>
      </c>
      <c r="AS77" s="2" t="n">
        <v>1181.81</v>
      </c>
      <c r="AT77" s="2" t="n">
        <v>106.85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9936.800000000001</v>
      </c>
      <c r="BB77" s="2" t="n">
        <v>8678.73</v>
      </c>
      <c r="BC77" s="2">
        <f>F77+L77+R77+X77+AD77+AJ77+AP77+AV77+IF(BE77="",0,BE77)</f>
        <v/>
      </c>
      <c r="BD77" s="2" t="n">
        <v>133.652442</v>
      </c>
      <c r="BE77" s="2" t="n"/>
      <c r="BF77" s="2" t="n">
        <v>9200.740740740741</v>
      </c>
      <c r="BG77" s="2" t="n">
        <v>458.58</v>
      </c>
      <c r="BH77" s="2" t="n">
        <v>0</v>
      </c>
      <c r="BI77" s="2" t="n">
        <v>48703.25</v>
      </c>
      <c r="BJ77" s="2" t="n">
        <v>99.91589743589743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117.162855</v>
      </c>
      <c r="BQ77" s="2" t="n">
        <v>451.034188034188</v>
      </c>
      <c r="BR77" s="2" t="n">
        <v>49854.94294047009</v>
      </c>
      <c r="BS77" s="2" t="n">
        <v>869.1994017094017</v>
      </c>
      <c r="BT77" s="2" t="n">
        <v>0</v>
      </c>
      <c r="BU77" s="2" t="n">
        <v>10121.3958974359</v>
      </c>
      <c r="BV77" s="2" t="n">
        <v>10990.5952991453</v>
      </c>
      <c r="BW77" s="2" t="n">
        <v>60845.53823961539</v>
      </c>
      <c r="BX77" s="2" t="n">
        <v>8147.120000000001</v>
      </c>
      <c r="BY77" s="2" t="n">
        <v>531.61</v>
      </c>
      <c r="BZ77" s="2" t="n">
        <v>1258.07</v>
      </c>
      <c r="CA77" s="2" t="n">
        <v>8678.730000000001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1257</v>
      </c>
      <c r="B78" t="inlineStr">
        <is>
          <t>Dworcowa 2, 61-801 Poznań</t>
        </is>
      </c>
      <c r="C78" t="inlineStr">
        <is>
          <t>Poznań Główny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5252.030000000001</v>
      </c>
      <c r="L78" s="2" t="n">
        <v>437.1828675925926</v>
      </c>
      <c r="M78" s="2" t="n">
        <v>4862.990740740741</v>
      </c>
      <c r="N78" s="2" t="n">
        <v>1059.79</v>
      </c>
      <c r="O78" s="2" t="n">
        <v>3738.31</v>
      </c>
      <c r="P78" s="2" t="n">
        <v>453.93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8461.76</v>
      </c>
      <c r="AD78" s="2" t="n">
        <v>540.6124444444445</v>
      </c>
      <c r="AE78" s="2" t="n">
        <v>7834.962962962963</v>
      </c>
      <c r="AF78" s="2" t="n">
        <v>1944.88</v>
      </c>
      <c r="AG78" s="2" t="n">
        <v>6321.64</v>
      </c>
      <c r="AH78" s="2" t="n">
        <v>195.24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2781.41</v>
      </c>
      <c r="AP78" s="2" t="n">
        <v>203.4549907407407</v>
      </c>
      <c r="AQ78" s="2" t="n">
        <v>2575.37962962963</v>
      </c>
      <c r="AR78" s="2" t="n">
        <v>779.38</v>
      </c>
      <c r="AS78" s="2" t="n">
        <v>1922.25</v>
      </c>
      <c r="AT78" s="2" t="n">
        <v>79.78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16495.2</v>
      </c>
      <c r="BB78" s="2" t="n">
        <v>12711.15</v>
      </c>
      <c r="BC78" s="2">
        <f>F78+L78+R78+X78+AD78+AJ78+AP78+AV78+IF(BE78="",0,BE78)</f>
        <v/>
      </c>
      <c r="BD78" s="2" t="n">
        <v>195.75171</v>
      </c>
      <c r="BE78" s="2" t="n"/>
      <c r="BF78" s="2" t="n">
        <v>15273.33333333333</v>
      </c>
      <c r="BG78" s="2" t="n">
        <v>458.58</v>
      </c>
      <c r="BH78" s="2" t="n">
        <v>0</v>
      </c>
      <c r="BI78" s="2" t="n">
        <v>48703.25</v>
      </c>
      <c r="BJ78" s="2" t="n">
        <v>99.91589743589743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171.600525</v>
      </c>
      <c r="BQ78" s="2" t="n">
        <v>451.034188034188</v>
      </c>
      <c r="BR78" s="2" t="n">
        <v>49909.38061047009</v>
      </c>
      <c r="BS78" s="2" t="n">
        <v>869.1994017094017</v>
      </c>
      <c r="BT78" s="2" t="n">
        <v>0</v>
      </c>
      <c r="BU78" s="2" t="n">
        <v>10121.3958974359</v>
      </c>
      <c r="BV78" s="2" t="n">
        <v>10990.5952991453</v>
      </c>
      <c r="BW78" s="2" t="n">
        <v>60899.97590961539</v>
      </c>
      <c r="BX78" s="2" t="n">
        <v>11982.2</v>
      </c>
      <c r="BY78" s="2" t="n">
        <v>728.95</v>
      </c>
      <c r="BZ78" s="2" t="n">
        <v>3784.05</v>
      </c>
      <c r="CA78" s="2" t="n">
        <v>12711.15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1259</v>
      </c>
      <c r="B79" t="inlineStr">
        <is>
          <t>Kolejowa 4, 64-020 Czempin</t>
        </is>
      </c>
      <c r="C79" t="inlineStr">
        <is>
          <t>Czempiń</t>
        </is>
      </c>
      <c r="D79" t="inlineStr">
        <is>
          <t>ST|40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3333.62</v>
      </c>
      <c r="AD79" s="2" t="n">
        <v>212.9812777777778</v>
      </c>
      <c r="AE79" s="2" t="n">
        <v>3086.685185185185</v>
      </c>
      <c r="AF79" s="2" t="n">
        <v>1401.12</v>
      </c>
      <c r="AG79" s="2" t="n">
        <v>1853.68</v>
      </c>
      <c r="AH79" s="2" t="n">
        <v>78.81999999999999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2759.72</v>
      </c>
      <c r="AP79" s="2" t="n">
        <v>201.8684074074074</v>
      </c>
      <c r="AQ79" s="2" t="n">
        <v>2555.296296296296</v>
      </c>
      <c r="AR79" s="2" t="n">
        <v>773.9</v>
      </c>
      <c r="AS79" s="2" t="n">
        <v>1943.34</v>
      </c>
      <c r="AT79" s="2" t="n">
        <v>42.48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6093.34</v>
      </c>
      <c r="BB79" s="2" t="n">
        <v>3918.32</v>
      </c>
      <c r="BC79" s="2">
        <f>F79+L79+R79+X79+AD79+AJ79+AP79+AV79+IF(BE79="",0,BE79)</f>
        <v/>
      </c>
      <c r="BD79" s="2" t="n">
        <v>60.342128</v>
      </c>
      <c r="BE79" s="2" t="n"/>
      <c r="BF79" s="2" t="n">
        <v>5641.981481481482</v>
      </c>
      <c r="BG79" s="2" t="n">
        <v>0</v>
      </c>
      <c r="BH79" s="2" t="n">
        <v>0</v>
      </c>
      <c r="BI79" s="2" t="n">
        <v>48703.25</v>
      </c>
      <c r="BJ79" s="2" t="n">
        <v>99.91589743589743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52.89732</v>
      </c>
      <c r="BQ79" s="2" t="n">
        <v>451.034188034188</v>
      </c>
      <c r="BR79" s="2" t="n">
        <v>49332.09740547008</v>
      </c>
      <c r="BS79" s="2" t="n">
        <v>869.1994017094017</v>
      </c>
      <c r="BT79" s="2" t="n">
        <v>0</v>
      </c>
      <c r="BU79" s="2" t="n">
        <v>10029.6798974359</v>
      </c>
      <c r="BV79" s="2" t="n">
        <v>10898.8792991453</v>
      </c>
      <c r="BW79" s="2" t="n">
        <v>60230.97670461538</v>
      </c>
      <c r="BX79" s="2" t="n">
        <v>3797.02</v>
      </c>
      <c r="BY79" s="2" t="n">
        <v>121.3</v>
      </c>
      <c r="BZ79" s="2" t="n">
        <v>2175.02</v>
      </c>
      <c r="CA79" s="2" t="n">
        <v>3918.32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1261</v>
      </c>
      <c r="B80" t="inlineStr">
        <is>
          <t>Pawia 5a, 31-154 Kraków</t>
        </is>
      </c>
      <c r="C80" t="inlineStr">
        <is>
          <t>Kraków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25938.01</v>
      </c>
      <c r="L80" s="2" t="n">
        <v>2159.099165740741</v>
      </c>
      <c r="M80" s="2" t="n">
        <v>24016.67592592592</v>
      </c>
      <c r="N80" s="2" t="n">
        <v>3631.77</v>
      </c>
      <c r="O80" s="2" t="n">
        <v>22008.39</v>
      </c>
      <c r="P80" s="2" t="n">
        <v>297.85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23995.84</v>
      </c>
      <c r="X80" s="2" t="n">
        <v>750</v>
      </c>
      <c r="Y80" s="2" t="n">
        <v>22218.37037037036</v>
      </c>
      <c r="Z80" s="2" t="n">
        <v>2680.8</v>
      </c>
      <c r="AA80" s="2" t="n">
        <v>21033.12</v>
      </c>
      <c r="AB80" s="2" t="n">
        <v>281.92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9964.99</v>
      </c>
      <c r="AP80" s="2" t="n">
        <v>728.9205648148147</v>
      </c>
      <c r="AQ80" s="2" t="n">
        <v>9226.842592592591</v>
      </c>
      <c r="AR80" s="2" t="n">
        <v>1565.06</v>
      </c>
      <c r="AS80" s="2" t="n">
        <v>8181.72</v>
      </c>
      <c r="AT80" s="2" t="n">
        <v>218.21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59898.83999999999</v>
      </c>
      <c r="BB80" s="2" t="n">
        <v>52021.21</v>
      </c>
      <c r="BC80" s="2">
        <f>F80+L80+R80+X80+AD80+AJ80+AP80+AV80+IF(BE80="",0,BE80)</f>
        <v/>
      </c>
      <c r="BD80" s="2" t="n">
        <v>760.6280579999999</v>
      </c>
      <c r="BE80" s="2" t="n"/>
      <c r="BF80" s="2" t="n">
        <v>55461.88888888888</v>
      </c>
      <c r="BG80" s="2" t="n">
        <v>1380</v>
      </c>
      <c r="BH80" s="2" t="n">
        <v>180</v>
      </c>
      <c r="BI80" s="2" t="n">
        <v>48703.25</v>
      </c>
      <c r="BJ80" s="2" t="n">
        <v>99.91589743589743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702.2863349999999</v>
      </c>
      <c r="BQ80" s="2" t="n">
        <v>451.034188034188</v>
      </c>
      <c r="BR80" s="2" t="n">
        <v>51541.48642047008</v>
      </c>
      <c r="BS80" s="2" t="n">
        <v>869.1994017094017</v>
      </c>
      <c r="BT80" s="2" t="n">
        <v>0</v>
      </c>
      <c r="BU80" s="2" t="n">
        <v>10341.6798974359</v>
      </c>
      <c r="BV80" s="2" t="n">
        <v>11210.8792991453</v>
      </c>
      <c r="BW80" s="2" t="n">
        <v>62752.36571961538</v>
      </c>
      <c r="BX80" s="2" t="n">
        <v>51223.23</v>
      </c>
      <c r="BY80" s="2" t="n">
        <v>797.98</v>
      </c>
      <c r="BZ80" s="2" t="n">
        <v>7877.629999999999</v>
      </c>
      <c r="CA80" s="2" t="n">
        <v>52021.21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1262</v>
      </c>
      <c r="B81" t="inlineStr">
        <is>
          <t>Pawia 5a, 31-154 Kraków</t>
        </is>
      </c>
      <c r="C81" t="inlineStr">
        <is>
          <t>Kraków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16859.54</v>
      </c>
      <c r="L81" s="2" t="n">
        <v>1403.400598148148</v>
      </c>
      <c r="M81" s="2" t="n">
        <v>15610.68518518518</v>
      </c>
      <c r="N81" s="2" t="n">
        <v>3290.02</v>
      </c>
      <c r="O81" s="2" t="n">
        <v>13139.29</v>
      </c>
      <c r="P81" s="2" t="n">
        <v>430.23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18769.18</v>
      </c>
      <c r="X81" s="2" t="n">
        <v>750</v>
      </c>
      <c r="Y81" s="2" t="n">
        <v>17378.87037037037</v>
      </c>
      <c r="Z81" s="2" t="n">
        <v>2273.1</v>
      </c>
      <c r="AA81" s="2" t="n">
        <v>16316.9</v>
      </c>
      <c r="AB81" s="2" t="n">
        <v>179.18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8373.709999999999</v>
      </c>
      <c r="AP81" s="2" t="n">
        <v>612.5213796296296</v>
      </c>
      <c r="AQ81" s="2" t="n">
        <v>7753.435185185184</v>
      </c>
      <c r="AR81" s="2" t="n">
        <v>1543.61</v>
      </c>
      <c r="AS81" s="2" t="n">
        <v>6597.8</v>
      </c>
      <c r="AT81" s="2" t="n">
        <v>232.3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44002.43</v>
      </c>
      <c r="BB81" s="2" t="n">
        <v>36895.7</v>
      </c>
      <c r="BC81" s="2">
        <f>F81+L81+R81+X81+AD81+AJ81+AP81+AV81+IF(BE81="",0,BE81)</f>
        <v/>
      </c>
      <c r="BD81" s="2" t="n">
        <v>536.851228</v>
      </c>
      <c r="BE81" s="2" t="n"/>
      <c r="BF81" s="2" t="n">
        <v>40742.99074074074</v>
      </c>
      <c r="BG81" s="2" t="n">
        <v>1380</v>
      </c>
      <c r="BH81" s="2" t="n">
        <v>180</v>
      </c>
      <c r="BI81" s="2" t="n">
        <v>48703.25</v>
      </c>
      <c r="BJ81" s="2" t="n">
        <v>99.91589743589743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498.0919499999999</v>
      </c>
      <c r="BQ81" s="2" t="n">
        <v>451.034188034188</v>
      </c>
      <c r="BR81" s="2" t="n">
        <v>51337.29203547008</v>
      </c>
      <c r="BS81" s="2" t="n">
        <v>869.1994017094017</v>
      </c>
      <c r="BT81" s="2" t="n">
        <v>0</v>
      </c>
      <c r="BU81" s="2" t="n">
        <v>10341.6798974359</v>
      </c>
      <c r="BV81" s="2" t="n">
        <v>11210.8792991453</v>
      </c>
      <c r="BW81" s="2" t="n">
        <v>62548.17133461538</v>
      </c>
      <c r="BX81" s="2" t="n">
        <v>36053.99000000001</v>
      </c>
      <c r="BY81" s="2" t="n">
        <v>841.71</v>
      </c>
      <c r="BZ81" s="2" t="n">
        <v>7106.73</v>
      </c>
      <c r="CA81" s="2" t="n">
        <v>36895.7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1263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50643.19</v>
      </c>
      <c r="L82" s="2" t="n">
        <v>4215.576649074073</v>
      </c>
      <c r="M82" s="2" t="n">
        <v>46891.84259259258</v>
      </c>
      <c r="N82" s="2" t="n">
        <v>6639.48</v>
      </c>
      <c r="O82" s="2" t="n">
        <v>42415.72</v>
      </c>
      <c r="P82" s="2" t="n">
        <v>1587.99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72687.10000000001</v>
      </c>
      <c r="X82" s="2" t="n">
        <v>750</v>
      </c>
      <c r="Y82" s="2" t="n">
        <v>67302.87037037036</v>
      </c>
      <c r="Z82" s="2" t="n">
        <v>6852.71</v>
      </c>
      <c r="AA82" s="2" t="n">
        <v>64844.18</v>
      </c>
      <c r="AB82" s="2" t="n">
        <v>990.21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23776.43</v>
      </c>
      <c r="AP82" s="2" t="n">
        <v>1739.201824074074</v>
      </c>
      <c r="AQ82" s="2" t="n">
        <v>22015.21296296296</v>
      </c>
      <c r="AR82" s="2" t="n">
        <v>2907.65</v>
      </c>
      <c r="AS82" s="2" t="n">
        <v>19680.05</v>
      </c>
      <c r="AT82" s="2" t="n">
        <v>1188.73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147106.72</v>
      </c>
      <c r="BB82" s="2" t="n">
        <v>130706.88</v>
      </c>
      <c r="BC82" s="2">
        <f>F82+L82+R82+X82+AD82+AJ82+AP82+AV82+IF(BE82="",0,BE82)</f>
        <v/>
      </c>
      <c r="BD82" s="2" t="n">
        <v>1887.800611</v>
      </c>
      <c r="BE82" s="2" t="n"/>
      <c r="BF82" s="2" t="n">
        <v>136209.9259259259</v>
      </c>
      <c r="BG82" s="2" t="n">
        <v>1380</v>
      </c>
      <c r="BH82" s="2" t="n">
        <v>180</v>
      </c>
      <c r="BI82" s="2" t="n">
        <v>48703.25</v>
      </c>
      <c r="BJ82" s="2" t="n">
        <v>99.91589743589743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1764.54288</v>
      </c>
      <c r="BQ82" s="2" t="n">
        <v>451.034188034188</v>
      </c>
      <c r="BR82" s="2" t="n">
        <v>52603.74296547008</v>
      </c>
      <c r="BS82" s="2" t="n">
        <v>869.1994017094017</v>
      </c>
      <c r="BT82" s="2" t="n">
        <v>0</v>
      </c>
      <c r="BU82" s="2" t="n">
        <v>10341.6798974359</v>
      </c>
      <c r="BV82" s="2" t="n">
        <v>11210.8792991453</v>
      </c>
      <c r="BW82" s="2" t="n">
        <v>63814.62226461538</v>
      </c>
      <c r="BX82" s="2" t="n">
        <v>126939.95</v>
      </c>
      <c r="BY82" s="2" t="n">
        <v>3766.93</v>
      </c>
      <c r="BZ82" s="2" t="n">
        <v>16399.84</v>
      </c>
      <c r="CA82" s="2" t="n">
        <v>130706.88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1264</v>
      </c>
      <c r="B83" t="inlineStr">
        <is>
          <t>Dworcowa 1, 66-400 Gorzów Wlkp</t>
        </is>
      </c>
      <c r="C83" t="inlineStr">
        <is>
          <t>Gorzów Wielkopolski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2171.03</v>
      </c>
      <c r="L83" s="2" t="n">
        <v>180.7181453703704</v>
      </c>
      <c r="M83" s="2" t="n">
        <v>2010.212962962963</v>
      </c>
      <c r="N83" s="2" t="n">
        <v>353</v>
      </c>
      <c r="O83" s="2" t="n">
        <v>1635.61</v>
      </c>
      <c r="P83" s="2" t="n">
        <v>182.42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13064.54</v>
      </c>
      <c r="AP83" s="2" t="n">
        <v>955.6469074074074</v>
      </c>
      <c r="AQ83" s="2" t="n">
        <v>12096.7962962963</v>
      </c>
      <c r="AR83" s="2" t="n">
        <v>4061.58</v>
      </c>
      <c r="AS83" s="2" t="n">
        <v>8281.190000000001</v>
      </c>
      <c r="AT83" s="2" t="n">
        <v>721.77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15235.57</v>
      </c>
      <c r="BB83" s="2" t="n">
        <v>10820.99</v>
      </c>
      <c r="BC83" s="2">
        <f>F83+L83+R83+X83+AD83+AJ83+AP83+AV83+IF(BE83="",0,BE83)</f>
        <v/>
      </c>
      <c r="BD83" s="2" t="n">
        <v>166.643246</v>
      </c>
      <c r="BE83" s="2" t="n"/>
      <c r="BF83" s="2" t="n">
        <v>14107.00925925926</v>
      </c>
      <c r="BG83" s="2" t="n">
        <v>366.96</v>
      </c>
      <c r="BH83" s="2" t="n">
        <v>255</v>
      </c>
      <c r="BI83" s="2" t="n">
        <v>48703.25</v>
      </c>
      <c r="BJ83" s="2" t="n">
        <v>99.91589743589743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146.083365</v>
      </c>
      <c r="BQ83" s="2" t="n">
        <v>451.034188034188</v>
      </c>
      <c r="BR83" s="2" t="n">
        <v>50047.24345047008</v>
      </c>
      <c r="BS83" s="2" t="n">
        <v>869.1994017094017</v>
      </c>
      <c r="BT83" s="2" t="n">
        <v>0</v>
      </c>
      <c r="BU83" s="2" t="n">
        <v>10154.0718974359</v>
      </c>
      <c r="BV83" s="2" t="n">
        <v>11023.2712991453</v>
      </c>
      <c r="BW83" s="2" t="n">
        <v>61070.51474961538</v>
      </c>
      <c r="BX83" s="2" t="n">
        <v>9916.800000000001</v>
      </c>
      <c r="BY83" s="2" t="n">
        <v>904.1899999999999</v>
      </c>
      <c r="BZ83" s="2" t="n">
        <v>4414.58</v>
      </c>
      <c r="CA83" s="2" t="n">
        <v>10820.99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1265</v>
      </c>
      <c r="B84" t="inlineStr">
        <is>
          <t>pl. Kolejarza 1, 65-024 Zielona Góra</t>
        </is>
      </c>
      <c r="C84" t="inlineStr">
        <is>
          <t>Zielona Góra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5844.65</v>
      </c>
      <c r="L84" s="2" t="n">
        <v>486.5129953703704</v>
      </c>
      <c r="M84" s="2" t="n">
        <v>5411.712962962963</v>
      </c>
      <c r="N84" s="2" t="n">
        <v>1737.98</v>
      </c>
      <c r="O84" s="2" t="n">
        <v>3248.81</v>
      </c>
      <c r="P84" s="2" t="n">
        <v>857.86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9830.67</v>
      </c>
      <c r="AP84" s="2" t="n">
        <v>719.0953055555555</v>
      </c>
      <c r="AQ84" s="2" t="n">
        <v>9102.472222222221</v>
      </c>
      <c r="AR84" s="2" t="n">
        <v>4512.5</v>
      </c>
      <c r="AS84" s="2" t="n">
        <v>3931.94</v>
      </c>
      <c r="AT84" s="2" t="n">
        <v>1386.23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15675.32</v>
      </c>
      <c r="BB84" s="2" t="n">
        <v>9424.84</v>
      </c>
      <c r="BC84" s="2">
        <f>F84+L84+R84+X84+AD84+AJ84+AP84+AV84+IF(BE84="",0,BE84)</f>
        <v/>
      </c>
      <c r="BD84" s="2" t="n">
        <v>145.142536</v>
      </c>
      <c r="BE84" s="2" t="n"/>
      <c r="BF84" s="2" t="n">
        <v>14514.18518518518</v>
      </c>
      <c r="BG84" s="2" t="n">
        <v>366.96</v>
      </c>
      <c r="BH84" s="2" t="n">
        <v>155</v>
      </c>
      <c r="BI84" s="2" t="n">
        <v>48703.25</v>
      </c>
      <c r="BJ84" s="2" t="n">
        <v>99.91589743589743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127.23534</v>
      </c>
      <c r="BQ84" s="2" t="n">
        <v>451.034188034188</v>
      </c>
      <c r="BR84" s="2" t="n">
        <v>49928.39542547008</v>
      </c>
      <c r="BS84" s="2" t="n">
        <v>869.1994017094017</v>
      </c>
      <c r="BT84" s="2" t="n">
        <v>0</v>
      </c>
      <c r="BU84" s="2" t="n">
        <v>10134.0718974359</v>
      </c>
      <c r="BV84" s="2" t="n">
        <v>11003.2712991453</v>
      </c>
      <c r="BW84" s="2" t="n">
        <v>60931.66672461538</v>
      </c>
      <c r="BX84" s="2" t="n">
        <v>7180.75</v>
      </c>
      <c r="BY84" s="2" t="n">
        <v>2244.09</v>
      </c>
      <c r="BZ84" s="2" t="n">
        <v>6250.48</v>
      </c>
      <c r="CA84" s="2" t="n">
        <v>9424.84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1266</v>
      </c>
      <c r="B85" t="inlineStr">
        <is>
          <t>Dworcowa 1, 64-100 Leszno</t>
        </is>
      </c>
      <c r="C85" t="inlineStr">
        <is>
          <t>Leszno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7724.87</v>
      </c>
      <c r="L85" s="2" t="n">
        <v>643.0239009259259</v>
      </c>
      <c r="M85" s="2" t="n">
        <v>7152.657407407407</v>
      </c>
      <c r="N85" s="2" t="n">
        <v>1915.87</v>
      </c>
      <c r="O85" s="2" t="n">
        <v>5376.61</v>
      </c>
      <c r="P85" s="2" t="n">
        <v>432.39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5340.71</v>
      </c>
      <c r="AD85" s="2" t="n">
        <v>341.2120277777778</v>
      </c>
      <c r="AE85" s="2" t="n">
        <v>4945.101851851851</v>
      </c>
      <c r="AF85" s="2" t="n">
        <v>1777.66</v>
      </c>
      <c r="AG85" s="2" t="n">
        <v>3394.23</v>
      </c>
      <c r="AH85" s="2" t="n">
        <v>168.82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3792.31</v>
      </c>
      <c r="AP85" s="2" t="n">
        <v>277.4004537037037</v>
      </c>
      <c r="AQ85" s="2" t="n">
        <v>3511.398148148148</v>
      </c>
      <c r="AR85" s="2" t="n">
        <v>1013.15</v>
      </c>
      <c r="AS85" s="2" t="n">
        <v>2659.99</v>
      </c>
      <c r="AT85" s="2" t="n">
        <v>119.17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16857.89</v>
      </c>
      <c r="BB85" s="2" t="n">
        <v>12151.21</v>
      </c>
      <c r="BC85" s="2">
        <f>F85+L85+R85+X85+AD85+AJ85+AP85+AV85+IF(BE85="",0,BE85)</f>
        <v/>
      </c>
      <c r="BD85" s="2" t="n">
        <v>187.128634</v>
      </c>
      <c r="BE85" s="2" t="n"/>
      <c r="BF85" s="2" t="n">
        <v>15609.15740740741</v>
      </c>
      <c r="BG85" s="2" t="n">
        <v>0</v>
      </c>
      <c r="BH85" s="2" t="n">
        <v>121.8</v>
      </c>
      <c r="BI85" s="2" t="n">
        <v>48703.25</v>
      </c>
      <c r="BJ85" s="2" t="n">
        <v>99.91589743589743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164.041335</v>
      </c>
      <c r="BQ85" s="2" t="n">
        <v>451.034188034188</v>
      </c>
      <c r="BR85" s="2" t="n">
        <v>49565.04142047009</v>
      </c>
      <c r="BS85" s="2" t="n">
        <v>869.1994017094017</v>
      </c>
      <c r="BT85" s="2" t="n">
        <v>0</v>
      </c>
      <c r="BU85" s="2" t="n">
        <v>10054.0398974359</v>
      </c>
      <c r="BV85" s="2" t="n">
        <v>10923.2392991453</v>
      </c>
      <c r="BW85" s="2" t="n">
        <v>60488.28071961539</v>
      </c>
      <c r="BX85" s="2" t="n">
        <v>11430.83</v>
      </c>
      <c r="BY85" s="2" t="n">
        <v>720.38</v>
      </c>
      <c r="BZ85" s="2" t="n">
        <v>4706.679999999999</v>
      </c>
      <c r="CA85" s="2" t="n">
        <v>12151.21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1267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19505.37</v>
      </c>
      <c r="L86" s="2" t="n">
        <v>1623.641447222222</v>
      </c>
      <c r="M86" s="2" t="n">
        <v>18060.52777777778</v>
      </c>
      <c r="N86" s="2" t="n">
        <v>3654</v>
      </c>
      <c r="O86" s="2" t="n">
        <v>15100.79</v>
      </c>
      <c r="P86" s="2" t="n">
        <v>750.58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31451.79</v>
      </c>
      <c r="X86" s="2" t="n">
        <v>750</v>
      </c>
      <c r="Y86" s="2" t="n">
        <v>29122.02777777778</v>
      </c>
      <c r="Z86" s="2" t="n">
        <v>2692.49</v>
      </c>
      <c r="AA86" s="2" t="n">
        <v>28220.87</v>
      </c>
      <c r="AB86" s="2" t="n">
        <v>538.4299999999999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7144.11</v>
      </c>
      <c r="AP86" s="2" t="n">
        <v>522.5784166666666</v>
      </c>
      <c r="AQ86" s="2" t="n">
        <v>6614.916666666666</v>
      </c>
      <c r="AR86" s="2" t="n">
        <v>1153.47</v>
      </c>
      <c r="AS86" s="2" t="n">
        <v>5603.36</v>
      </c>
      <c r="AT86" s="2" t="n">
        <v>387.28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58101.27</v>
      </c>
      <c r="BB86" s="2" t="n">
        <v>50601.31</v>
      </c>
      <c r="BC86" s="2">
        <f>F86+L86+R86+X86+AD86+AJ86+AP86+AV86+IF(BE86="",0,BE86)</f>
        <v/>
      </c>
      <c r="BD86" s="2" t="n">
        <v>724.6175040000001</v>
      </c>
      <c r="BE86" s="2" t="n"/>
      <c r="BF86" s="2" t="n">
        <v>53797.47222222222</v>
      </c>
      <c r="BG86" s="2" t="n">
        <v>0</v>
      </c>
      <c r="BH86" s="2" t="n">
        <v>0</v>
      </c>
      <c r="BI86" s="2" t="n">
        <v>48703.25</v>
      </c>
      <c r="BJ86" s="2" t="n">
        <v>99.91589743589743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683.1176849999999</v>
      </c>
      <c r="BQ86" s="2" t="n">
        <v>451.034188034188</v>
      </c>
      <c r="BR86" s="2" t="n">
        <v>49962.31777047008</v>
      </c>
      <c r="BS86" s="2" t="n">
        <v>869.1994017094017</v>
      </c>
      <c r="BT86" s="2" t="n">
        <v>0</v>
      </c>
      <c r="BU86" s="2" t="n">
        <v>10029.6798974359</v>
      </c>
      <c r="BV86" s="2" t="n">
        <v>10898.8792991453</v>
      </c>
      <c r="BW86" s="2" t="n">
        <v>60861.19706961538</v>
      </c>
      <c r="BX86" s="2" t="n">
        <v>48925.02</v>
      </c>
      <c r="BY86" s="2" t="n">
        <v>1676.29</v>
      </c>
      <c r="BZ86" s="2" t="n">
        <v>7499.96</v>
      </c>
      <c r="CA86" s="2" t="n">
        <v>50601.31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1268</v>
      </c>
      <c r="B87" t="inlineStr">
        <is>
          <t>Kolejowa 5, 83-200 Starogard Gdański</t>
        </is>
      </c>
      <c r="C87" t="inlineStr">
        <is>
          <t>Starogard Gdański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28247.51</v>
      </c>
      <c r="AP87" s="2" t="n">
        <v>4177</v>
      </c>
      <c r="AQ87" s="2" t="n">
        <v>26155.10185185185</v>
      </c>
      <c r="AR87" s="2" t="n">
        <v>9764.33</v>
      </c>
      <c r="AS87" s="2" t="n">
        <v>17413.25</v>
      </c>
      <c r="AT87" s="2" t="n">
        <v>1069.93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28247.51</v>
      </c>
      <c r="BB87" s="2" t="n">
        <v>18483.18</v>
      </c>
      <c r="BC87" s="2">
        <f>F87+L87+R87+X87+AD87+AJ87+AP87+AV87+IF(BE87="",0,BE87)</f>
        <v/>
      </c>
      <c r="BD87" s="2" t="n">
        <v>284.640972</v>
      </c>
      <c r="BE87" s="2" t="n"/>
      <c r="BF87" s="2" t="n">
        <v>26155.10185185185</v>
      </c>
      <c r="BG87" s="2" t="n">
        <v>0</v>
      </c>
      <c r="BH87" s="2" t="n">
        <v>0</v>
      </c>
      <c r="BI87" s="2" t="n">
        <v>48703.25</v>
      </c>
      <c r="BJ87" s="2" t="n">
        <v>99.91589743589743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249.52293</v>
      </c>
      <c r="BQ87" s="2" t="n">
        <v>451.034188034188</v>
      </c>
      <c r="BR87" s="2" t="n">
        <v>49528.72301547008</v>
      </c>
      <c r="BS87" s="2" t="n">
        <v>869.1994017094017</v>
      </c>
      <c r="BT87" s="2" t="n">
        <v>0</v>
      </c>
      <c r="BU87" s="2" t="n">
        <v>10029.6798974359</v>
      </c>
      <c r="BV87" s="2" t="n">
        <v>10898.8792991453</v>
      </c>
      <c r="BW87" s="2" t="n">
        <v>60427.60231461538</v>
      </c>
      <c r="BX87" s="2" t="n">
        <v>17413.25</v>
      </c>
      <c r="BY87" s="2" t="n">
        <v>1069.93</v>
      </c>
      <c r="BZ87" s="2" t="n">
        <v>9764.33</v>
      </c>
      <c r="CA87" s="2" t="n">
        <v>18483.18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1269</v>
      </c>
      <c r="B88" t="inlineStr">
        <is>
          <t>Podwale Grodzkie 1, 80-895 Gdańsk</t>
        </is>
      </c>
      <c r="C88" t="inlineStr">
        <is>
          <t>Gdańsk Główny</t>
        </is>
      </c>
      <c r="D88" t="inlineStr">
        <is>
          <t>ST|40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24504</v>
      </c>
      <c r="L88" s="2" t="n">
        <v>2039.731111111111</v>
      </c>
      <c r="M88" s="2" t="n">
        <v>22688.88888888889</v>
      </c>
      <c r="N88" s="2" t="n">
        <v>6785.6</v>
      </c>
      <c r="O88" s="2" t="n">
        <v>17102.95</v>
      </c>
      <c r="P88" s="2" t="n">
        <v>615.45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13252.18</v>
      </c>
      <c r="AP88" s="2" t="n">
        <v>969.3724259259258</v>
      </c>
      <c r="AQ88" s="2" t="n">
        <v>12270.53703703703</v>
      </c>
      <c r="AR88" s="2" t="n">
        <v>3219.48</v>
      </c>
      <c r="AS88" s="2" t="n">
        <v>9666.559999999999</v>
      </c>
      <c r="AT88" s="2" t="n">
        <v>366.14</v>
      </c>
      <c r="AU88" s="2" t="n">
        <v>8226.949999999999</v>
      </c>
      <c r="AV88" s="2" t="n">
        <v>327.5544907407406</v>
      </c>
      <c r="AW88" s="2" t="n">
        <v>7617.546296296295</v>
      </c>
      <c r="AX88" s="2" t="n">
        <v>1014.4</v>
      </c>
      <c r="AY88" s="2" t="n">
        <v>6771.15</v>
      </c>
      <c r="AZ88" s="2" t="n">
        <v>441.4</v>
      </c>
      <c r="BA88" s="2" t="n">
        <v>45983.13</v>
      </c>
      <c r="BB88" s="2" t="n">
        <v>34963.64999999999</v>
      </c>
      <c r="BC88" s="2">
        <f>F88+L88+R88+X88+AD88+AJ88+AP88+AV88+IF(BE88="",0,BE88)</f>
        <v/>
      </c>
      <c r="BD88" s="2" t="n">
        <v>538.4402100000001</v>
      </c>
      <c r="BE88" s="2" t="n"/>
      <c r="BF88" s="2" t="n">
        <v>42576.97222222222</v>
      </c>
      <c r="BG88" s="2" t="n">
        <v>0</v>
      </c>
      <c r="BH88" s="2" t="n">
        <v>0</v>
      </c>
      <c r="BI88" s="2" t="n">
        <v>48703.25</v>
      </c>
      <c r="BJ88" s="2" t="n">
        <v>99.91589743589743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472.009275</v>
      </c>
      <c r="BQ88" s="2" t="n">
        <v>451.034188034188</v>
      </c>
      <c r="BR88" s="2" t="n">
        <v>49751.20936047008</v>
      </c>
      <c r="BS88" s="2" t="n">
        <v>869.1994017094017</v>
      </c>
      <c r="BT88" s="2" t="n">
        <v>0</v>
      </c>
      <c r="BU88" s="2" t="n">
        <v>10029.6798974359</v>
      </c>
      <c r="BV88" s="2" t="n">
        <v>10898.8792991453</v>
      </c>
      <c r="BW88" s="2" t="n">
        <v>60650.08865961538</v>
      </c>
      <c r="BX88" s="2" t="n">
        <v>33540.66</v>
      </c>
      <c r="BY88" s="2" t="n">
        <v>1422.99</v>
      </c>
      <c r="BZ88" s="2" t="n">
        <v>11019.48</v>
      </c>
      <c r="CA88" s="2" t="n">
        <v>34963.65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1270</v>
      </c>
      <c r="B89" t="inlineStr">
        <is>
          <t>Marii Konopnickiej 10, 10-168 Olsztyn</t>
        </is>
      </c>
      <c r="C89" t="inlineStr">
        <is>
          <t>Olsztyn Zachodni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18165.73</v>
      </c>
      <c r="L89" s="2" t="n">
        <v>1512.128821296296</v>
      </c>
      <c r="M89" s="2" t="n">
        <v>16820.12037037037</v>
      </c>
      <c r="N89" s="2" t="n">
        <v>4567.85</v>
      </c>
      <c r="O89" s="2" t="n">
        <v>12621.22</v>
      </c>
      <c r="P89" s="2" t="n">
        <v>976.66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11272.91</v>
      </c>
      <c r="AP89" s="2" t="n">
        <v>824.5924907407408</v>
      </c>
      <c r="AQ89" s="2" t="n">
        <v>10437.87962962963</v>
      </c>
      <c r="AR89" s="2" t="n">
        <v>2588.69</v>
      </c>
      <c r="AS89" s="2" t="n">
        <v>8167.16</v>
      </c>
      <c r="AT89" s="2" t="n">
        <v>517.0599999999999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29438.64</v>
      </c>
      <c r="BB89" s="2" t="n">
        <v>22282.1</v>
      </c>
      <c r="BC89" s="2">
        <f>F89+L89+R89+X89+AD89+AJ89+AP89+AV89+IF(BE89="",0,BE89)</f>
        <v/>
      </c>
      <c r="BD89" s="2" t="n">
        <v>343.14434</v>
      </c>
      <c r="BE89" s="2" t="n"/>
      <c r="BF89" s="2" t="n">
        <v>27258</v>
      </c>
      <c r="BG89" s="2" t="n">
        <v>343</v>
      </c>
      <c r="BH89" s="2" t="n">
        <v>0</v>
      </c>
      <c r="BI89" s="2" t="n">
        <v>48703.25</v>
      </c>
      <c r="BJ89" s="2" t="n">
        <v>99.91589743589743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300.80835</v>
      </c>
      <c r="BQ89" s="2" t="n">
        <v>451.034188034188</v>
      </c>
      <c r="BR89" s="2" t="n">
        <v>49923.00843547008</v>
      </c>
      <c r="BS89" s="2" t="n">
        <v>869.1994017094017</v>
      </c>
      <c r="BT89" s="2" t="n">
        <v>0</v>
      </c>
      <c r="BU89" s="2" t="n">
        <v>10098.2798974359</v>
      </c>
      <c r="BV89" s="2" t="n">
        <v>10967.4792991453</v>
      </c>
      <c r="BW89" s="2" t="n">
        <v>60890.48773461538</v>
      </c>
      <c r="BX89" s="2" t="n">
        <v>20788.38</v>
      </c>
      <c r="BY89" s="2" t="n">
        <v>1493.72</v>
      </c>
      <c r="BZ89" s="2" t="n">
        <v>7156.540000000001</v>
      </c>
      <c r="CA89" s="2" t="n">
        <v>22282.1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1271</v>
      </c>
      <c r="B90" t="inlineStr">
        <is>
          <t>Zygmunta Augusta 7, 85-082 Bydgoszcz</t>
        </is>
      </c>
      <c r="C90" t="inlineStr">
        <is>
          <t>Bydgoszcz</t>
        </is>
      </c>
      <c r="D90" t="inlineStr">
        <is>
          <t>FAA2000</t>
        </is>
      </c>
      <c r="E90" s="2" t="n">
        <v>8658</v>
      </c>
      <c r="F90" s="2" t="n">
        <v>1000</v>
      </c>
      <c r="G90" s="2" t="n">
        <v>8016.666666666666</v>
      </c>
      <c r="H90" s="2" t="n">
        <v>2026.59</v>
      </c>
      <c r="I90" s="2" t="n">
        <v>5901.99</v>
      </c>
      <c r="J90" s="2" t="n">
        <v>729.42</v>
      </c>
      <c r="K90" s="2" t="n">
        <v>16606.84</v>
      </c>
      <c r="L90" s="2" t="n">
        <v>1382.365662962963</v>
      </c>
      <c r="M90" s="2" t="n">
        <v>15376.7037037037</v>
      </c>
      <c r="N90" s="2" t="n">
        <v>3554.47</v>
      </c>
      <c r="O90" s="2" t="n">
        <v>12201.99</v>
      </c>
      <c r="P90" s="2" t="n">
        <v>850.38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23186.31</v>
      </c>
      <c r="AP90" s="2" t="n">
        <v>1696.035638888889</v>
      </c>
      <c r="AQ90" s="2" t="n">
        <v>21468.80555555555</v>
      </c>
      <c r="AR90" s="2" t="n">
        <v>5688.5</v>
      </c>
      <c r="AS90" s="2" t="n">
        <v>16391.72</v>
      </c>
      <c r="AT90" s="2" t="n">
        <v>1106.09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48451.15</v>
      </c>
      <c r="BB90" s="2" t="n">
        <v>37181.59</v>
      </c>
      <c r="BC90" s="2">
        <f>F90+L90+R90+X90+AD90+AJ90+AP90+AV90+IF(BE90="",0,BE90)</f>
        <v/>
      </c>
      <c r="BD90" s="2" t="n">
        <v>572.5964860000001</v>
      </c>
      <c r="BE90" s="2" t="n"/>
      <c r="BF90" s="2" t="n">
        <v>44862.17592592593</v>
      </c>
      <c r="BG90" s="2" t="n">
        <v>381.38</v>
      </c>
      <c r="BH90" s="2" t="n">
        <v>148.23</v>
      </c>
      <c r="BI90" s="2" t="n">
        <v>48703.25</v>
      </c>
      <c r="BJ90" s="2" t="n">
        <v>99.91589743589743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501.951465</v>
      </c>
      <c r="BQ90" s="2" t="n">
        <v>451.034188034188</v>
      </c>
      <c r="BR90" s="2" t="n">
        <v>50310.76155047008</v>
      </c>
      <c r="BS90" s="2" t="n">
        <v>869.1994017094017</v>
      </c>
      <c r="BT90" s="2" t="n">
        <v>0</v>
      </c>
      <c r="BU90" s="2" t="n">
        <v>10135.6018974359</v>
      </c>
      <c r="BV90" s="2" t="n">
        <v>11004.8012991453</v>
      </c>
      <c r="BW90" s="2" t="n">
        <v>61315.56284961538</v>
      </c>
      <c r="BX90" s="2" t="n">
        <v>34495.7</v>
      </c>
      <c r="BY90" s="2" t="n">
        <v>2685.89</v>
      </c>
      <c r="BZ90" s="2" t="n">
        <v>11269.56</v>
      </c>
      <c r="CA90" s="2" t="n">
        <v>37181.59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1272</v>
      </c>
      <c r="B91" t="inlineStr">
        <is>
          <t>Dworcowa 115, 88-110 Inowrocław</t>
        </is>
      </c>
      <c r="C91" t="inlineStr">
        <is>
          <t>Inowrocław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10439.65</v>
      </c>
      <c r="L91" s="2" t="n">
        <v>869.004199074074</v>
      </c>
      <c r="M91" s="2" t="n">
        <v>9666.342592592591</v>
      </c>
      <c r="N91" s="2" t="n">
        <v>3283.75</v>
      </c>
      <c r="O91" s="2" t="n">
        <v>6402.14</v>
      </c>
      <c r="P91" s="2" t="n">
        <v>753.76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12519.65</v>
      </c>
      <c r="AP91" s="2" t="n">
        <v>915.789212962963</v>
      </c>
      <c r="AQ91" s="2" t="n">
        <v>11592.26851851852</v>
      </c>
      <c r="AR91" s="2" t="n">
        <v>4401.06</v>
      </c>
      <c r="AS91" s="2" t="n">
        <v>7522.83</v>
      </c>
      <c r="AT91" s="2" t="n">
        <v>595.76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22959.3</v>
      </c>
      <c r="BB91" s="2" t="n">
        <v>15274.49</v>
      </c>
      <c r="BC91" s="2">
        <f>F91+L91+R91+X91+AD91+AJ91+AP91+AV91+IF(BE91="",0,BE91)</f>
        <v/>
      </c>
      <c r="BD91" s="2" t="n">
        <v>235.227146</v>
      </c>
      <c r="BE91" s="2" t="n"/>
      <c r="BF91" s="2" t="n">
        <v>21258.61111111111</v>
      </c>
      <c r="BG91" s="2" t="n">
        <v>382</v>
      </c>
      <c r="BH91" s="2" t="n">
        <v>146.3</v>
      </c>
      <c r="BI91" s="2" t="n">
        <v>48703.25</v>
      </c>
      <c r="BJ91" s="2" t="n">
        <v>99.91589743589743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206.205615</v>
      </c>
      <c r="BQ91" s="2" t="n">
        <v>451.034188034188</v>
      </c>
      <c r="BR91" s="2" t="n">
        <v>50013.70570047008</v>
      </c>
      <c r="BS91" s="2" t="n">
        <v>869.1994017094017</v>
      </c>
      <c r="BT91" s="2" t="n">
        <v>0</v>
      </c>
      <c r="BU91" s="2" t="n">
        <v>10135.3398974359</v>
      </c>
      <c r="BV91" s="2" t="n">
        <v>11004.5392991453</v>
      </c>
      <c r="BW91" s="2" t="n">
        <v>61018.24499961539</v>
      </c>
      <c r="BX91" s="2" t="n">
        <v>13924.97</v>
      </c>
      <c r="BY91" s="2" t="n">
        <v>1349.52</v>
      </c>
      <c r="BZ91" s="2" t="n">
        <v>7684.81</v>
      </c>
      <c r="CA91" s="2" t="n">
        <v>15274.49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1273</v>
      </c>
      <c r="B92" t="inlineStr">
        <is>
          <t>Towarowa 5, 84-120 Władysławowo</t>
        </is>
      </c>
      <c r="C92" t="inlineStr">
        <is>
          <t>Władysławowo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7207.68</v>
      </c>
      <c r="L92" s="2" t="n">
        <v>599.9726222222222</v>
      </c>
      <c r="M92" s="2" t="n">
        <v>6673.777777777777</v>
      </c>
      <c r="N92" s="2" t="n">
        <v>0</v>
      </c>
      <c r="O92" s="2" t="n">
        <v>6444.27</v>
      </c>
      <c r="P92" s="2" t="n">
        <v>763.41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63728.79</v>
      </c>
      <c r="AP92" s="2" t="n">
        <v>5475</v>
      </c>
      <c r="AQ92" s="2" t="n">
        <v>59008.13888888888</v>
      </c>
      <c r="AR92" s="2" t="n">
        <v>0</v>
      </c>
      <c r="AS92" s="2" t="n">
        <v>52052.85</v>
      </c>
      <c r="AT92" s="2" t="n">
        <v>11675.94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70936.47</v>
      </c>
      <c r="BB92" s="2" t="n">
        <v>70936.47</v>
      </c>
      <c r="BC92" s="2">
        <f>F92+L92+R92+X92+AD92+AJ92+AP92+AV92+IF(BE92="",0,BE92)</f>
        <v/>
      </c>
      <c r="BD92" s="2" t="n">
        <v>1092.421638</v>
      </c>
      <c r="BE92" s="2" t="n"/>
      <c r="BF92" s="2" t="n">
        <v>65681.91666666666</v>
      </c>
      <c r="BG92" s="2" t="n">
        <v>0</v>
      </c>
      <c r="BH92" s="2" t="n">
        <v>0</v>
      </c>
      <c r="BI92" s="2" t="n">
        <v>48703.25</v>
      </c>
      <c r="BJ92" s="2" t="n">
        <v>99.91589743589743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957.642345</v>
      </c>
      <c r="BQ92" s="2" t="n">
        <v>451.034188034188</v>
      </c>
      <c r="BR92" s="2" t="n">
        <v>50236.84243047008</v>
      </c>
      <c r="BS92" s="2" t="n">
        <v>869.1994017094017</v>
      </c>
      <c r="BT92" s="2" t="n">
        <v>0</v>
      </c>
      <c r="BU92" s="2" t="n">
        <v>10029.6798974359</v>
      </c>
      <c r="BV92" s="2" t="n">
        <v>10898.8792991453</v>
      </c>
      <c r="BW92" s="2" t="n">
        <v>61135.72172961538</v>
      </c>
      <c r="BX92" s="2" t="n">
        <v>58497.12</v>
      </c>
      <c r="BY92" s="2" t="n">
        <v>12439.35</v>
      </c>
      <c r="BZ92" s="2" t="n">
        <v>0</v>
      </c>
      <c r="CA92" s="2" t="n">
        <v>70936.47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1274</v>
      </c>
      <c r="B93" t="inlineStr">
        <is>
          <t>Czersk</t>
        </is>
      </c>
      <c r="C93" t="inlineStr">
        <is>
          <t>Czersk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4028.41</v>
      </c>
      <c r="AP93" s="2" t="n">
        <v>3900</v>
      </c>
      <c r="AQ93" s="2" t="n">
        <v>3730.009259259259</v>
      </c>
      <c r="AR93" s="2" t="n">
        <v>0</v>
      </c>
      <c r="AS93" s="2" t="n">
        <v>3428.51</v>
      </c>
      <c r="AT93" s="2" t="n">
        <v>599.9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4028.41</v>
      </c>
      <c r="BB93" s="2" t="n">
        <v>4028.41</v>
      </c>
      <c r="BC93" s="2">
        <f>F93+L93+R93+X93+AD93+AJ93+AP93+AV93+IF(BE93="",0,BE93)</f>
        <v/>
      </c>
      <c r="BD93" s="2" t="n">
        <v>62.03751400000001</v>
      </c>
      <c r="BE93" s="2" t="n"/>
      <c r="BF93" s="2" t="n">
        <v>3730.009259259259</v>
      </c>
      <c r="BG93" s="2" t="n">
        <v>0</v>
      </c>
      <c r="BH93" s="2" t="n">
        <v>0</v>
      </c>
      <c r="BI93" s="2" t="n">
        <v>48703.25</v>
      </c>
      <c r="BJ93" s="2" t="n">
        <v>99.91589743589743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54.383535</v>
      </c>
      <c r="BQ93" s="2" t="n">
        <v>451.034188034188</v>
      </c>
      <c r="BR93" s="2" t="n">
        <v>49333.58362047008</v>
      </c>
      <c r="BS93" s="2" t="n">
        <v>869.1994017094017</v>
      </c>
      <c r="BT93" s="2" t="n">
        <v>0</v>
      </c>
      <c r="BU93" s="2" t="n">
        <v>10029.6798974359</v>
      </c>
      <c r="BV93" s="2" t="n">
        <v>10898.8792991453</v>
      </c>
      <c r="BW93" s="2" t="n">
        <v>60232.46291961538</v>
      </c>
      <c r="BX93" s="2" t="n">
        <v>3428.51</v>
      </c>
      <c r="BY93" s="2" t="n">
        <v>599.9</v>
      </c>
      <c r="BZ93" s="2" t="n">
        <v>0</v>
      </c>
      <c r="CA93" s="2" t="n">
        <v>4028.41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1275</v>
      </c>
      <c r="B94" t="inlineStr">
        <is>
          <t>Rzeszow Glowny</t>
        </is>
      </c>
      <c r="C94" t="inlineStr">
        <is>
          <t>Poznań Dębiec</t>
        </is>
      </c>
      <c r="D94" t="inlineStr">
        <is>
          <t>FAA2000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19872.98</v>
      </c>
      <c r="L94" s="2" t="n">
        <v>1654.241575925926</v>
      </c>
      <c r="M94" s="2" t="n">
        <v>18400.90740740741</v>
      </c>
      <c r="N94" s="2" t="n">
        <v>3256.85</v>
      </c>
      <c r="O94" s="2" t="n">
        <v>15916.39</v>
      </c>
      <c r="P94" s="2" t="n">
        <v>699.74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31812.11</v>
      </c>
      <c r="AP94" s="2" t="n">
        <v>2326.996935185186</v>
      </c>
      <c r="AQ94" s="2" t="n">
        <v>29455.65740740741</v>
      </c>
      <c r="AR94" s="2" t="n">
        <v>7367.29</v>
      </c>
      <c r="AS94" s="2" t="n">
        <v>23596.74</v>
      </c>
      <c r="AT94" s="2" t="n">
        <v>848.08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51685.09</v>
      </c>
      <c r="BB94" s="2" t="n">
        <v>41060.95</v>
      </c>
      <c r="BC94" s="2">
        <f>F94+L94+R94+X94+AD94+AJ94+AP94+AV94+IF(BE94="",0,BE94)</f>
        <v/>
      </c>
      <c r="BD94" s="2" t="n">
        <v>632.3386300000001</v>
      </c>
      <c r="BE94" s="2" t="n"/>
      <c r="BF94" s="2" t="n">
        <v>47856.56481481482</v>
      </c>
      <c r="BG94" s="2" t="n">
        <v>0</v>
      </c>
      <c r="BH94" s="2" t="n">
        <v>0</v>
      </c>
      <c r="BI94" s="2" t="n">
        <v>48703.25</v>
      </c>
      <c r="BJ94" s="2" t="n">
        <v>99.91589743589743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554.3228250000001</v>
      </c>
      <c r="BQ94" s="2" t="n">
        <v>451.034188034188</v>
      </c>
      <c r="BR94" s="2" t="n">
        <v>49833.52291047008</v>
      </c>
      <c r="BS94" s="2" t="n">
        <v>869.1994017094017</v>
      </c>
      <c r="BT94" s="2" t="n">
        <v>0</v>
      </c>
      <c r="BU94" s="2" t="n">
        <v>10029.6798974359</v>
      </c>
      <c r="BV94" s="2" t="n">
        <v>10898.8792991453</v>
      </c>
      <c r="BW94" s="2" t="n">
        <v>60732.40220961539</v>
      </c>
      <c r="BX94" s="2" t="n">
        <v>39513.13</v>
      </c>
      <c r="BY94" s="2" t="n">
        <v>1547.82</v>
      </c>
      <c r="BZ94" s="2" t="n">
        <v>10624.14</v>
      </c>
      <c r="CA94" s="2" t="n">
        <v>41060.95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1276</v>
      </c>
      <c r="B95" t="inlineStr">
        <is>
          <t>GDA-STR</t>
        </is>
      </c>
      <c r="C95" t="inlineStr">
        <is>
          <t>Gdańsk Strzyża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9501.369999999999</v>
      </c>
      <c r="AP95" s="2" t="n">
        <v>0</v>
      </c>
      <c r="AQ95" s="2" t="n">
        <v>8797.564814814814</v>
      </c>
      <c r="AR95" s="2" t="n">
        <v>1820.53</v>
      </c>
      <c r="AS95" s="2" t="n">
        <v>7453.95</v>
      </c>
      <c r="AT95" s="2" t="n">
        <v>226.89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9501.369999999999</v>
      </c>
      <c r="BB95" s="2" t="n">
        <v>7680.84</v>
      </c>
      <c r="BC95" s="2">
        <f>F95+L95+R95+X95+AD95+AJ95+AP95+AV95+IF(BE95="",0,BE95)</f>
        <v/>
      </c>
      <c r="BD95" s="2" t="n">
        <v>118.284936</v>
      </c>
      <c r="BE95" s="2" t="n"/>
      <c r="BF95" s="2" t="n">
        <v>8797.564814814814</v>
      </c>
      <c r="BG95" s="2" t="n">
        <v>0</v>
      </c>
      <c r="BH95" s="2" t="n">
        <v>0</v>
      </c>
      <c r="BI95" s="2" t="n">
        <v>48703.25</v>
      </c>
      <c r="BJ95" s="2" t="n">
        <v>99.91589743589743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103.69134</v>
      </c>
      <c r="BQ95" s="2" t="n">
        <v>451.034188034188</v>
      </c>
      <c r="BR95" s="2" t="n">
        <v>49382.89142547008</v>
      </c>
      <c r="BS95" s="2" t="n">
        <v>869.1994017094017</v>
      </c>
      <c r="BT95" s="2" t="n">
        <v>0</v>
      </c>
      <c r="BU95" s="2" t="n">
        <v>10029.6798974359</v>
      </c>
      <c r="BV95" s="2" t="n">
        <v>10898.8792991453</v>
      </c>
      <c r="BW95" s="2" t="n">
        <v>60281.77072461538</v>
      </c>
      <c r="BX95" s="2" t="n">
        <v>7453.95</v>
      </c>
      <c r="BY95" s="2" t="n">
        <v>226.89</v>
      </c>
      <c r="BZ95" s="2" t="n">
        <v>1820.53</v>
      </c>
      <c r="CA95" s="2" t="n">
        <v>7680.84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1277</v>
      </c>
      <c r="B96" t="inlineStr">
        <is>
          <t>Plac Konstytucji 1, 81-354 Gdynia</t>
        </is>
      </c>
      <c r="C96" t="inlineStr">
        <is>
          <t>Gdynia Główna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20598.72</v>
      </c>
      <c r="L96" s="2" t="n">
        <v>1714.652711111111</v>
      </c>
      <c r="M96" s="2" t="n">
        <v>19072.88888888889</v>
      </c>
      <c r="N96" s="2" t="n">
        <v>5430.6</v>
      </c>
      <c r="O96" s="2" t="n">
        <v>14406.22</v>
      </c>
      <c r="P96" s="2" t="n">
        <v>761.9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40134.99</v>
      </c>
      <c r="AP96" s="2" t="n">
        <v>2935.800194444444</v>
      </c>
      <c r="AQ96" s="2" t="n">
        <v>37162.02777777777</v>
      </c>
      <c r="AR96" s="2" t="n">
        <v>8644.209999999999</v>
      </c>
      <c r="AS96" s="2" t="n">
        <v>30028.26</v>
      </c>
      <c r="AT96" s="2" t="n">
        <v>1462.52</v>
      </c>
      <c r="AU96" s="2" t="n">
        <v>41731.8</v>
      </c>
      <c r="AV96" s="2" t="n">
        <v>1661.543888888889</v>
      </c>
      <c r="AW96" s="2" t="n">
        <v>38640.55555555555</v>
      </c>
      <c r="AX96" s="2" t="n">
        <v>5605.35</v>
      </c>
      <c r="AY96" s="2" t="n">
        <v>34302.15</v>
      </c>
      <c r="AZ96" s="2" t="n">
        <v>1824.3</v>
      </c>
      <c r="BA96" s="2" t="n">
        <v>102465.51</v>
      </c>
      <c r="BB96" s="2" t="n">
        <v>82785.35000000001</v>
      </c>
      <c r="BC96" s="2">
        <f>F96+L96+R96+X96+AD96+AJ96+AP96+AV96+IF(BE96="",0,BE96)</f>
        <v/>
      </c>
      <c r="BD96" s="2" t="n">
        <v>1274.89439</v>
      </c>
      <c r="BE96" s="2" t="n"/>
      <c r="BF96" s="2" t="n">
        <v>94875.47222222222</v>
      </c>
      <c r="BG96" s="2" t="n">
        <v>971.34</v>
      </c>
      <c r="BH96" s="2" t="n">
        <v>93.59999999999999</v>
      </c>
      <c r="BI96" s="2" t="n">
        <v>48703.25</v>
      </c>
      <c r="BJ96" s="2" t="n">
        <v>99.91589743589743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1117.602225</v>
      </c>
      <c r="BQ96" s="2" t="n">
        <v>451.034188034188</v>
      </c>
      <c r="BR96" s="2" t="n">
        <v>51461.74231047009</v>
      </c>
      <c r="BS96" s="2" t="n">
        <v>869.1994017094017</v>
      </c>
      <c r="BT96" s="2" t="n">
        <v>0</v>
      </c>
      <c r="BU96" s="2" t="n">
        <v>10242.6678974359</v>
      </c>
      <c r="BV96" s="2" t="n">
        <v>11111.8672991453</v>
      </c>
      <c r="BW96" s="2" t="n">
        <v>62573.60960961539</v>
      </c>
      <c r="BX96" s="2" t="n">
        <v>78736.63</v>
      </c>
      <c r="BY96" s="2" t="n">
        <v>4048.72</v>
      </c>
      <c r="BZ96" s="2" t="n">
        <v>19680.16</v>
      </c>
      <c r="CA96" s="2" t="n">
        <v>82785.35000000001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1278</v>
      </c>
      <c r="B97" t="inlineStr">
        <is>
          <t>Plac Konstytucji 1, 81-354 Gdynia</t>
        </is>
      </c>
      <c r="C97" t="inlineStr">
        <is>
          <t>Gdynia Główna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11782.67</v>
      </c>
      <c r="L97" s="2" t="n">
        <v>980.7981787037038</v>
      </c>
      <c r="M97" s="2" t="n">
        <v>10909.87962962963</v>
      </c>
      <c r="N97" s="2" t="n">
        <v>1019.24</v>
      </c>
      <c r="O97" s="2" t="n">
        <v>9878.74</v>
      </c>
      <c r="P97" s="2" t="n">
        <v>884.6900000000001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30762.56</v>
      </c>
      <c r="AP97" s="2" t="n">
        <v>2250.224296296296</v>
      </c>
      <c r="AQ97" s="2" t="n">
        <v>28483.85185185185</v>
      </c>
      <c r="AR97" s="2" t="n">
        <v>3150.83</v>
      </c>
      <c r="AS97" s="2" t="n">
        <v>25057.68</v>
      </c>
      <c r="AT97" s="2" t="n">
        <v>2554.05</v>
      </c>
      <c r="AU97" s="2" t="n">
        <v>35305.95</v>
      </c>
      <c r="AV97" s="2" t="n">
        <v>1405.699861111111</v>
      </c>
      <c r="AW97" s="2" t="n">
        <v>32690.69444444444</v>
      </c>
      <c r="AX97" s="2" t="n">
        <v>3907.2</v>
      </c>
      <c r="AY97" s="2" t="n">
        <v>29419.1</v>
      </c>
      <c r="AZ97" s="2" t="n">
        <v>1979.65</v>
      </c>
      <c r="BA97" s="2" t="n">
        <v>77851.17999999999</v>
      </c>
      <c r="BB97" s="2" t="n">
        <v>69773.91</v>
      </c>
      <c r="BC97" s="2">
        <f>F97+L97+R97+X97+AD97+AJ97+AP97+AV97+IF(BE97="",0,BE97)</f>
        <v/>
      </c>
      <c r="BD97" s="2" t="n">
        <v>1074.518214</v>
      </c>
      <c r="BE97" s="2" t="n"/>
      <c r="BF97" s="2" t="n">
        <v>72084.42592592593</v>
      </c>
      <c r="BG97" s="2" t="n">
        <v>1216.91</v>
      </c>
      <c r="BH97" s="2" t="n">
        <v>117</v>
      </c>
      <c r="BI97" s="2" t="n">
        <v>48703.25</v>
      </c>
      <c r="BJ97" s="2" t="n">
        <v>99.91589743589743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941.9477850000001</v>
      </c>
      <c r="BQ97" s="2" t="n">
        <v>451.034188034188</v>
      </c>
      <c r="BR97" s="2" t="n">
        <v>51555.05787047008</v>
      </c>
      <c r="BS97" s="2" t="n">
        <v>869.1994017094017</v>
      </c>
      <c r="BT97" s="2" t="n">
        <v>0</v>
      </c>
      <c r="BU97" s="2" t="n">
        <v>10296.4618974359</v>
      </c>
      <c r="BV97" s="2" t="n">
        <v>11165.6612991453</v>
      </c>
      <c r="BW97" s="2" t="n">
        <v>62720.71916961538</v>
      </c>
      <c r="BX97" s="2" t="n">
        <v>64355.52</v>
      </c>
      <c r="BY97" s="2" t="n">
        <v>5418.39</v>
      </c>
      <c r="BZ97" s="2" t="n">
        <v>8077.27</v>
      </c>
      <c r="CA97" s="2" t="n">
        <v>69773.91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1279</v>
      </c>
      <c r="B98" t="inlineStr">
        <is>
          <t>GDA-GL</t>
        </is>
      </c>
      <c r="C98" t="inlineStr">
        <is>
          <t>Gdańsk Brętowo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4912</v>
      </c>
      <c r="AP98" s="2" t="n">
        <v>0</v>
      </c>
      <c r="AQ98" s="2" t="n">
        <v>4548.148148148148</v>
      </c>
      <c r="AR98" s="2" t="n">
        <v>695.74</v>
      </c>
      <c r="AS98" s="2" t="n">
        <v>4131.83</v>
      </c>
      <c r="AT98" s="2" t="n">
        <v>84.43000000000001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4912</v>
      </c>
      <c r="BB98" s="2" t="n">
        <v>4216.26</v>
      </c>
      <c r="BC98" s="2">
        <f>F98+L98+R98+X98+AD98+AJ98+AP98+AV98+IF(BE98="",0,BE98)</f>
        <v/>
      </c>
      <c r="BD98" s="2" t="n">
        <v>64.93040400000001</v>
      </c>
      <c r="BE98" s="2" t="n"/>
      <c r="BF98" s="2" t="n">
        <v>4548.148148148148</v>
      </c>
      <c r="BG98" s="2" t="n">
        <v>0</v>
      </c>
      <c r="BH98" s="2" t="n">
        <v>0</v>
      </c>
      <c r="BI98" s="2" t="n">
        <v>48703.25</v>
      </c>
      <c r="BJ98" s="2" t="n">
        <v>99.91589743589743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56.91951</v>
      </c>
      <c r="BQ98" s="2" t="n">
        <v>451.034188034188</v>
      </c>
      <c r="BR98" s="2" t="n">
        <v>49336.11959547008</v>
      </c>
      <c r="BS98" s="2" t="n">
        <v>869.1994017094017</v>
      </c>
      <c r="BT98" s="2" t="n">
        <v>0</v>
      </c>
      <c r="BU98" s="2" t="n">
        <v>10029.6798974359</v>
      </c>
      <c r="BV98" s="2" t="n">
        <v>10898.8792991453</v>
      </c>
      <c r="BW98" s="2" t="n">
        <v>60234.99889461538</v>
      </c>
      <c r="BX98" s="2" t="n">
        <v>4131.83</v>
      </c>
      <c r="BY98" s="2" t="n">
        <v>84.43000000000001</v>
      </c>
      <c r="BZ98" s="2" t="n">
        <v>695.74</v>
      </c>
      <c r="CA98" s="2" t="n">
        <v>4216.26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1280</v>
      </c>
      <c r="B99" t="inlineStr">
        <is>
          <t>GRODZW</t>
        </is>
      </c>
      <c r="C99" t="inlineStr">
        <is>
          <t>Gdańsk Jasień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9518.940000000001</v>
      </c>
      <c r="AP99" s="2" t="n">
        <v>0</v>
      </c>
      <c r="AQ99" s="2" t="n">
        <v>8813.833333333334</v>
      </c>
      <c r="AR99" s="2" t="n">
        <v>1390.09</v>
      </c>
      <c r="AS99" s="2" t="n">
        <v>7772.77</v>
      </c>
      <c r="AT99" s="2" t="n">
        <v>356.08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9518.940000000001</v>
      </c>
      <c r="BB99" s="2" t="n">
        <v>8128.85</v>
      </c>
      <c r="BC99" s="2">
        <f>F99+L99+R99+X99+AD99+AJ99+AP99+AV99+IF(BE99="",0,BE99)</f>
        <v/>
      </c>
      <c r="BD99" s="2" t="n">
        <v>125.18429</v>
      </c>
      <c r="BE99" s="2" t="n"/>
      <c r="BF99" s="2" t="n">
        <v>8813.833333333334</v>
      </c>
      <c r="BG99" s="2" t="n">
        <v>0</v>
      </c>
      <c r="BH99" s="2" t="n">
        <v>0</v>
      </c>
      <c r="BI99" s="2" t="n">
        <v>48703.25</v>
      </c>
      <c r="BJ99" s="2" t="n">
        <v>99.91589743589743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109.739475</v>
      </c>
      <c r="BQ99" s="2" t="n">
        <v>451.034188034188</v>
      </c>
      <c r="BR99" s="2" t="n">
        <v>49388.93956047008</v>
      </c>
      <c r="BS99" s="2" t="n">
        <v>869.1994017094017</v>
      </c>
      <c r="BT99" s="2" t="n">
        <v>0</v>
      </c>
      <c r="BU99" s="2" t="n">
        <v>10029.6798974359</v>
      </c>
      <c r="BV99" s="2" t="n">
        <v>10898.8792991453</v>
      </c>
      <c r="BW99" s="2" t="n">
        <v>60287.81885961539</v>
      </c>
      <c r="BX99" s="2" t="n">
        <v>7772.77</v>
      </c>
      <c r="BY99" s="2" t="n">
        <v>356.08</v>
      </c>
      <c r="BZ99" s="2" t="n">
        <v>1390.09</v>
      </c>
      <c r="CA99" s="2" t="n">
        <v>8128.85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1281</v>
      </c>
      <c r="B100" t="inlineStr">
        <is>
          <t>GRANOW</t>
        </is>
      </c>
      <c r="C100" t="inlineStr">
        <is>
          <t>Gdańsk Kiełpinek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12534.35</v>
      </c>
      <c r="AP100" s="2" t="n">
        <v>0</v>
      </c>
      <c r="AQ100" s="2" t="n">
        <v>11605.87962962963</v>
      </c>
      <c r="AR100" s="2" t="n">
        <v>1657.87</v>
      </c>
      <c r="AS100" s="2" t="n">
        <v>10514.32</v>
      </c>
      <c r="AT100" s="2" t="n">
        <v>362.16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12534.35</v>
      </c>
      <c r="BB100" s="2" t="n">
        <v>10876.48</v>
      </c>
      <c r="BC100" s="2">
        <f>F100+L100+R100+X100+AD100+AJ100+AP100+AV100+IF(BE100="",0,BE100)</f>
        <v/>
      </c>
      <c r="BD100" s="2" t="n">
        <v>167.497792</v>
      </c>
      <c r="BE100" s="2" t="n"/>
      <c r="BF100" s="2" t="n">
        <v>11605.87962962963</v>
      </c>
      <c r="BG100" s="2" t="n">
        <v>0</v>
      </c>
      <c r="BH100" s="2" t="n">
        <v>0</v>
      </c>
      <c r="BI100" s="2" t="n">
        <v>48703.25</v>
      </c>
      <c r="BJ100" s="2" t="n">
        <v>99.91589743589743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146.83248</v>
      </c>
      <c r="BQ100" s="2" t="n">
        <v>451.034188034188</v>
      </c>
      <c r="BR100" s="2" t="n">
        <v>49426.03256547008</v>
      </c>
      <c r="BS100" s="2" t="n">
        <v>869.1994017094017</v>
      </c>
      <c r="BT100" s="2" t="n">
        <v>0</v>
      </c>
      <c r="BU100" s="2" t="n">
        <v>10029.6798974359</v>
      </c>
      <c r="BV100" s="2" t="n">
        <v>10898.8792991453</v>
      </c>
      <c r="BW100" s="2" t="n">
        <v>60324.91186461538</v>
      </c>
      <c r="BX100" s="2" t="n">
        <v>10514.32</v>
      </c>
      <c r="BY100" s="2" t="n">
        <v>362.16</v>
      </c>
      <c r="BZ100" s="2" t="n">
        <v>1657.87</v>
      </c>
      <c r="CA100" s="2" t="n">
        <v>10876.48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1282</v>
      </c>
      <c r="B101" t="inlineStr">
        <is>
          <t>STESZEW</t>
        </is>
      </c>
      <c r="C101" t="inlineStr">
        <is>
          <t>Gdańsk Port Lotniczy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45533.47</v>
      </c>
      <c r="AP101" s="2" t="n">
        <v>0</v>
      </c>
      <c r="AQ101" s="2" t="n">
        <v>42160.62037037037</v>
      </c>
      <c r="AR101" s="2" t="n">
        <v>6616.32</v>
      </c>
      <c r="AS101" s="2" t="n">
        <v>37429.1</v>
      </c>
      <c r="AT101" s="2" t="n">
        <v>1488.05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45533.47</v>
      </c>
      <c r="BB101" s="2" t="n">
        <v>38917.15</v>
      </c>
      <c r="BC101" s="2">
        <f>F101+L101+R101+X101+AD101+AJ101+AP101+AV101+IF(BE101="",0,BE101)</f>
        <v/>
      </c>
      <c r="BD101" s="2" t="n">
        <v>599.32411</v>
      </c>
      <c r="BE101" s="2" t="n"/>
      <c r="BF101" s="2" t="n">
        <v>42160.62037037037</v>
      </c>
      <c r="BG101" s="2" t="n">
        <v>0</v>
      </c>
      <c r="BH101" s="2" t="n">
        <v>0</v>
      </c>
      <c r="BI101" s="2" t="n">
        <v>48703.25</v>
      </c>
      <c r="BJ101" s="2" t="n">
        <v>99.91589743589743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525.381525</v>
      </c>
      <c r="BQ101" s="2" t="n">
        <v>451.034188034188</v>
      </c>
      <c r="BR101" s="2" t="n">
        <v>49804.58161047008</v>
      </c>
      <c r="BS101" s="2" t="n">
        <v>869.1994017094017</v>
      </c>
      <c r="BT101" s="2" t="n">
        <v>0</v>
      </c>
      <c r="BU101" s="2" t="n">
        <v>10029.6798974359</v>
      </c>
      <c r="BV101" s="2" t="n">
        <v>10898.8792991453</v>
      </c>
      <c r="BW101" s="2" t="n">
        <v>60703.46090961538</v>
      </c>
      <c r="BX101" s="2" t="n">
        <v>37429.1</v>
      </c>
      <c r="BY101" s="2" t="n">
        <v>1488.05</v>
      </c>
      <c r="BZ101" s="2" t="n">
        <v>6616.32</v>
      </c>
      <c r="CA101" s="2" t="n">
        <v>38917.15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1283</v>
      </c>
      <c r="B102" t="inlineStr">
        <is>
          <t>CZERWO</t>
        </is>
      </c>
      <c r="C102" t="inlineStr">
        <is>
          <t>Gdańsk Port Lotniczy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36394.35</v>
      </c>
      <c r="AP102" s="2" t="n">
        <v>0</v>
      </c>
      <c r="AQ102" s="2" t="n">
        <v>33698.47222222222</v>
      </c>
      <c r="AR102" s="2" t="n">
        <v>5392.37</v>
      </c>
      <c r="AS102" s="2" t="n">
        <v>29616.74</v>
      </c>
      <c r="AT102" s="2" t="n">
        <v>1385.24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36394.35</v>
      </c>
      <c r="BB102" s="2" t="n">
        <v>31001.98</v>
      </c>
      <c r="BC102" s="2">
        <f>F102+L102+R102+X102+AD102+AJ102+AP102+AV102+IF(BE102="",0,BE102)</f>
        <v/>
      </c>
      <c r="BD102" s="2" t="n">
        <v>477.4304920000001</v>
      </c>
      <c r="BE102" s="2" t="n"/>
      <c r="BF102" s="2" t="n">
        <v>33698.47222222222</v>
      </c>
      <c r="BG102" s="2" t="n">
        <v>0</v>
      </c>
      <c r="BH102" s="2" t="n">
        <v>0</v>
      </c>
      <c r="BI102" s="2" t="n">
        <v>48703.25</v>
      </c>
      <c r="BJ102" s="2" t="n">
        <v>99.91589743589743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418.52673</v>
      </c>
      <c r="BQ102" s="2" t="n">
        <v>451.034188034188</v>
      </c>
      <c r="BR102" s="2" t="n">
        <v>49697.72681547008</v>
      </c>
      <c r="BS102" s="2" t="n">
        <v>869.1994017094017</v>
      </c>
      <c r="BT102" s="2" t="n">
        <v>0</v>
      </c>
      <c r="BU102" s="2" t="n">
        <v>10029.6798974359</v>
      </c>
      <c r="BV102" s="2" t="n">
        <v>10898.8792991453</v>
      </c>
      <c r="BW102" s="2" t="n">
        <v>60596.60611461538</v>
      </c>
      <c r="BX102" s="2" t="n">
        <v>29616.74</v>
      </c>
      <c r="BY102" s="2" t="n">
        <v>1385.24</v>
      </c>
      <c r="BZ102" s="2" t="n">
        <v>5392.37</v>
      </c>
      <c r="CA102" s="2" t="n">
        <v>31001.98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1284</v>
      </c>
      <c r="B103" t="inlineStr">
        <is>
          <t>OWINSK</t>
        </is>
      </c>
      <c r="C103" t="inlineStr">
        <is>
          <t>Gdańsk Rębiechowo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5091.27</v>
      </c>
      <c r="AP103" s="2" t="n">
        <v>0</v>
      </c>
      <c r="AQ103" s="2" t="n">
        <v>4714.138888888888</v>
      </c>
      <c r="AR103" s="2" t="n">
        <v>782.03</v>
      </c>
      <c r="AS103" s="2" t="n">
        <v>4093.88</v>
      </c>
      <c r="AT103" s="2" t="n">
        <v>215.36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5091.27</v>
      </c>
      <c r="BB103" s="2" t="n">
        <v>4309.24</v>
      </c>
      <c r="BC103" s="2">
        <f>F103+L103+R103+X103+AD103+AJ103+AP103+AV103+IF(BE103="",0,BE103)</f>
        <v/>
      </c>
      <c r="BD103" s="2" t="n">
        <v>66.362296</v>
      </c>
      <c r="BE103" s="2" t="n"/>
      <c r="BF103" s="2" t="n">
        <v>4714.138888888888</v>
      </c>
      <c r="BG103" s="2" t="n">
        <v>0</v>
      </c>
      <c r="BH103" s="2" t="n">
        <v>0</v>
      </c>
      <c r="BI103" s="2" t="n">
        <v>48703.25</v>
      </c>
      <c r="BJ103" s="2" t="n">
        <v>99.91589743589743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58.17474</v>
      </c>
      <c r="BQ103" s="2" t="n">
        <v>451.034188034188</v>
      </c>
      <c r="BR103" s="2" t="n">
        <v>49337.37482547008</v>
      </c>
      <c r="BS103" s="2" t="n">
        <v>869.1994017094017</v>
      </c>
      <c r="BT103" s="2" t="n">
        <v>0</v>
      </c>
      <c r="BU103" s="2" t="n">
        <v>10029.6798974359</v>
      </c>
      <c r="BV103" s="2" t="n">
        <v>10898.8792991453</v>
      </c>
      <c r="BW103" s="2" t="n">
        <v>60236.25412461539</v>
      </c>
      <c r="BX103" s="2" t="n">
        <v>4093.88</v>
      </c>
      <c r="BY103" s="2" t="n">
        <v>215.36</v>
      </c>
      <c r="BZ103" s="2" t="n">
        <v>782.03</v>
      </c>
      <c r="CA103" s="2" t="n">
        <v>4309.24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1285</v>
      </c>
      <c r="B104" t="inlineStr">
        <is>
          <t>ZIELWZG</t>
        </is>
      </c>
      <c r="C104" t="inlineStr">
        <is>
          <t>Gdańsk Osowa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8100.04</v>
      </c>
      <c r="AP104" s="2" t="n">
        <v>0</v>
      </c>
      <c r="AQ104" s="2" t="n">
        <v>7500.037037037036</v>
      </c>
      <c r="AR104" s="2" t="n">
        <v>1026.82</v>
      </c>
      <c r="AS104" s="2" t="n">
        <v>6650.02</v>
      </c>
      <c r="AT104" s="2" t="n">
        <v>423.2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8100.04</v>
      </c>
      <c r="BB104" s="2" t="n">
        <v>7073.22</v>
      </c>
      <c r="BC104" s="2">
        <f>F104+L104+R104+X104+AD104+AJ104+AP104+AV104+IF(BE104="",0,BE104)</f>
        <v/>
      </c>
      <c r="BD104" s="2" t="n">
        <v>108.927588</v>
      </c>
      <c r="BE104" s="2" t="n"/>
      <c r="BF104" s="2" t="n">
        <v>7500.037037037036</v>
      </c>
      <c r="BG104" s="2" t="n">
        <v>0</v>
      </c>
      <c r="BH104" s="2" t="n">
        <v>0</v>
      </c>
      <c r="BI104" s="2" t="n">
        <v>48703.25</v>
      </c>
      <c r="BJ104" s="2" t="n">
        <v>99.91589743589743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95.48847000000001</v>
      </c>
      <c r="BQ104" s="2" t="n">
        <v>451.034188034188</v>
      </c>
      <c r="BR104" s="2" t="n">
        <v>49374.68855547008</v>
      </c>
      <c r="BS104" s="2" t="n">
        <v>869.1994017094017</v>
      </c>
      <c r="BT104" s="2" t="n">
        <v>0</v>
      </c>
      <c r="BU104" s="2" t="n">
        <v>10029.6798974359</v>
      </c>
      <c r="BV104" s="2" t="n">
        <v>10898.8792991453</v>
      </c>
      <c r="BW104" s="2" t="n">
        <v>60273.56785461538</v>
      </c>
      <c r="BX104" s="2" t="n">
        <v>6650.02</v>
      </c>
      <c r="BY104" s="2" t="n">
        <v>423.2</v>
      </c>
      <c r="BZ104" s="2" t="n">
        <v>1026.82</v>
      </c>
      <c r="CA104" s="2" t="n">
        <v>7073.22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1286</v>
      </c>
      <c r="B105" t="inlineStr">
        <is>
          <t>Dworcowa 2, 61-801 Poznań</t>
        </is>
      </c>
      <c r="C105" t="inlineStr">
        <is>
          <t>Poznań Główny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5674.97</v>
      </c>
      <c r="L105" s="2" t="n">
        <v>472.3887064814816</v>
      </c>
      <c r="M105" s="2" t="n">
        <v>5254.601851851852</v>
      </c>
      <c r="N105" s="2" t="n">
        <v>654.41</v>
      </c>
      <c r="O105" s="2" t="n">
        <v>4443.67</v>
      </c>
      <c r="P105" s="2" t="n">
        <v>576.89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12175.39</v>
      </c>
      <c r="AD105" s="2" t="n">
        <v>777.8721388888889</v>
      </c>
      <c r="AE105" s="2" t="n">
        <v>11273.50925925926</v>
      </c>
      <c r="AF105" s="2" t="n">
        <v>684.67</v>
      </c>
      <c r="AG105" s="2" t="n">
        <v>10872.87</v>
      </c>
      <c r="AH105" s="2" t="n">
        <v>617.85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4726.07</v>
      </c>
      <c r="AP105" s="2" t="n">
        <v>345.7032685185185</v>
      </c>
      <c r="AQ105" s="2" t="n">
        <v>4375.99074074074</v>
      </c>
      <c r="AR105" s="2" t="n">
        <v>117.35</v>
      </c>
      <c r="AS105" s="2" t="n">
        <v>4400.74</v>
      </c>
      <c r="AT105" s="2" t="n">
        <v>207.98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22576.43</v>
      </c>
      <c r="BB105" s="2" t="n">
        <v>21120</v>
      </c>
      <c r="BC105" s="2">
        <f>F105+L105+R105+X105+AD105+AJ105+AP105+AV105+IF(BE105="",0,BE105)</f>
        <v/>
      </c>
      <c r="BD105" s="2" t="n">
        <v>325.248</v>
      </c>
      <c r="BE105" s="2" t="n"/>
      <c r="BF105" s="2" t="n">
        <v>20904.10185185185</v>
      </c>
      <c r="BG105" s="2" t="n">
        <v>458.58</v>
      </c>
      <c r="BH105" s="2" t="n">
        <v>0</v>
      </c>
      <c r="BI105" s="2" t="n">
        <v>48703.25</v>
      </c>
      <c r="BJ105" s="2" t="n">
        <v>99.91589743589743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285.12</v>
      </c>
      <c r="BQ105" s="2" t="n">
        <v>451.034188034188</v>
      </c>
      <c r="BR105" s="2" t="n">
        <v>50022.90008547009</v>
      </c>
      <c r="BS105" s="2" t="n">
        <v>869.1994017094017</v>
      </c>
      <c r="BT105" s="2" t="n">
        <v>0</v>
      </c>
      <c r="BU105" s="2" t="n">
        <v>10121.3958974359</v>
      </c>
      <c r="BV105" s="2" t="n">
        <v>10990.5952991453</v>
      </c>
      <c r="BW105" s="2" t="n">
        <v>61013.49538461539</v>
      </c>
      <c r="BX105" s="2" t="n">
        <v>19717.28</v>
      </c>
      <c r="BY105" s="2" t="n">
        <v>1402.72</v>
      </c>
      <c r="BZ105" s="2" t="n">
        <v>1456.43</v>
      </c>
      <c r="CA105" s="2" t="n">
        <v>21120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1287</v>
      </c>
      <c r="B106" t="inlineStr">
        <is>
          <t>Kościuszki 54, 82-500 Kwidzyn</t>
        </is>
      </c>
      <c r="C106" t="inlineStr">
        <is>
          <t>Kwidzyn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4604.860000000001</v>
      </c>
      <c r="AP106" s="2" t="n">
        <v>4060</v>
      </c>
      <c r="AQ106" s="2" t="n">
        <v>4263.759259259259</v>
      </c>
      <c r="AR106" s="2" t="n">
        <v>0</v>
      </c>
      <c r="AS106" s="2" t="n">
        <v>4230.88</v>
      </c>
      <c r="AT106" s="2" t="n">
        <v>373.98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4604.860000000001</v>
      </c>
      <c r="BB106" s="2" t="n">
        <v>4604.860000000001</v>
      </c>
      <c r="BC106" s="2">
        <f>F106+L106+R106+X106+AD106+AJ106+AP106+AV106+IF(BE106="",0,BE106)</f>
        <v/>
      </c>
      <c r="BD106" s="2" t="n">
        <v>70.91484400000002</v>
      </c>
      <c r="BE106" s="2" t="n"/>
      <c r="BF106" s="2" t="n">
        <v>4263.759259259259</v>
      </c>
      <c r="BG106" s="2" t="n">
        <v>0</v>
      </c>
      <c r="BH106" s="2" t="n">
        <v>0</v>
      </c>
      <c r="BI106" s="2" t="n">
        <v>48703.25</v>
      </c>
      <c r="BJ106" s="2" t="n">
        <v>99.91589743589743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62.16561000000001</v>
      </c>
      <c r="BQ106" s="2" t="n">
        <v>451.034188034188</v>
      </c>
      <c r="BR106" s="2" t="n">
        <v>49341.36569547008</v>
      </c>
      <c r="BS106" s="2" t="n">
        <v>869.1994017094017</v>
      </c>
      <c r="BT106" s="2" t="n">
        <v>0</v>
      </c>
      <c r="BU106" s="2" t="n">
        <v>10029.6798974359</v>
      </c>
      <c r="BV106" s="2" t="n">
        <v>10898.8792991453</v>
      </c>
      <c r="BW106" s="2" t="n">
        <v>60240.24499461538</v>
      </c>
      <c r="BX106" s="2" t="n">
        <v>4230.88</v>
      </c>
      <c r="BY106" s="2" t="n">
        <v>373.98</v>
      </c>
      <c r="BZ106" s="2" t="n">
        <v>0</v>
      </c>
      <c r="CA106" s="2" t="n">
        <v>4604.860000000001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1288</v>
      </c>
      <c r="B107" t="inlineStr">
        <is>
          <t>Ks. Stefańskiego 6, 84-140 Jastarnia</t>
        </is>
      </c>
      <c r="C107" t="inlineStr">
        <is>
          <t>Jastania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93368.75999999999</v>
      </c>
      <c r="AP107" s="2" t="n">
        <v>4494</v>
      </c>
      <c r="AQ107" s="2" t="n">
        <v>86452.55555555555</v>
      </c>
      <c r="AR107" s="2" t="n">
        <v>0</v>
      </c>
      <c r="AS107" s="2" t="n">
        <v>80176.75</v>
      </c>
      <c r="AT107" s="2" t="n">
        <v>13192.01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93368.75999999999</v>
      </c>
      <c r="BB107" s="2" t="n">
        <v>93368.75999999999</v>
      </c>
      <c r="BC107" s="2">
        <f>F107+L107+R107+X107+AD107+AJ107+AP107+AV107+IF(BE107="",0,BE107)</f>
        <v/>
      </c>
      <c r="BD107" s="2" t="n">
        <v>1437.878904</v>
      </c>
      <c r="BE107" s="2" t="n"/>
      <c r="BF107" s="2" t="n">
        <v>86452.55555555555</v>
      </c>
      <c r="BG107" s="2" t="n">
        <v>0</v>
      </c>
      <c r="BH107" s="2" t="n">
        <v>0</v>
      </c>
      <c r="BI107" s="2" t="n">
        <v>48703.25</v>
      </c>
      <c r="BJ107" s="2" t="n">
        <v>99.91589743589743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1260.47826</v>
      </c>
      <c r="BQ107" s="2" t="n">
        <v>451.034188034188</v>
      </c>
      <c r="BR107" s="2" t="n">
        <v>50539.67834547008</v>
      </c>
      <c r="BS107" s="2" t="n">
        <v>869.1994017094017</v>
      </c>
      <c r="BT107" s="2" t="n">
        <v>0</v>
      </c>
      <c r="BU107" s="2" t="n">
        <v>10029.6798974359</v>
      </c>
      <c r="BV107" s="2" t="n">
        <v>10898.8792991453</v>
      </c>
      <c r="BW107" s="2" t="n">
        <v>61438.55764461538</v>
      </c>
      <c r="BX107" s="2" t="n">
        <v>80176.75</v>
      </c>
      <c r="BY107" s="2" t="n">
        <v>13192.01</v>
      </c>
      <c r="BZ107" s="2" t="n">
        <v>0</v>
      </c>
      <c r="CA107" s="2" t="n">
        <v>93368.75999999999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1289</v>
      </c>
      <c r="B108" t="inlineStr">
        <is>
          <t>Dworcowa 1, 84-150 Hel</t>
        </is>
      </c>
      <c r="C108" t="inlineStr">
        <is>
          <t>Hel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86245.5</v>
      </c>
      <c r="AP108" s="2" t="n">
        <v>4494</v>
      </c>
      <c r="AQ108" s="2" t="n">
        <v>79856.94444444444</v>
      </c>
      <c r="AR108" s="2" t="n">
        <v>0</v>
      </c>
      <c r="AS108" s="2" t="n">
        <v>73999.28</v>
      </c>
      <c r="AT108" s="2" t="n">
        <v>12246.22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86245.5</v>
      </c>
      <c r="BB108" s="2" t="n">
        <v>86245.5</v>
      </c>
      <c r="BC108" s="2">
        <f>F108+L108+R108+X108+AD108+AJ108+AP108+AV108+IF(BE108="",0,BE108)</f>
        <v/>
      </c>
      <c r="BD108" s="2" t="n">
        <v>1328.1807</v>
      </c>
      <c r="BE108" s="2" t="n"/>
      <c r="BF108" s="2" t="n">
        <v>79856.94444444444</v>
      </c>
      <c r="BG108" s="2" t="n">
        <v>0</v>
      </c>
      <c r="BH108" s="2" t="n">
        <v>0</v>
      </c>
      <c r="BI108" s="2" t="n">
        <v>48703.25</v>
      </c>
      <c r="BJ108" s="2" t="n">
        <v>99.91589743589743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1164.31425</v>
      </c>
      <c r="BQ108" s="2" t="n">
        <v>451.034188034188</v>
      </c>
      <c r="BR108" s="2" t="n">
        <v>50443.51433547008</v>
      </c>
      <c r="BS108" s="2" t="n">
        <v>869.1994017094017</v>
      </c>
      <c r="BT108" s="2" t="n">
        <v>0</v>
      </c>
      <c r="BU108" s="2" t="n">
        <v>10029.6798974359</v>
      </c>
      <c r="BV108" s="2" t="n">
        <v>10898.8792991453</v>
      </c>
      <c r="BW108" s="2" t="n">
        <v>61342.39363461539</v>
      </c>
      <c r="BX108" s="2" t="n">
        <v>73999.28</v>
      </c>
      <c r="BY108" s="2" t="n">
        <v>12246.22</v>
      </c>
      <c r="BZ108" s="2" t="n">
        <v>0</v>
      </c>
      <c r="CA108" s="2" t="n">
        <v>86245.5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1290</v>
      </c>
      <c r="B109" t="inlineStr">
        <is>
          <t>Kolumba 2, 70-035 Szczecin</t>
        </is>
      </c>
      <c r="C109" t="inlineStr">
        <is>
          <t>Szczecin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21726.6</v>
      </c>
      <c r="L109" s="2" t="n">
        <v>1808.538277777778</v>
      </c>
      <c r="M109" s="2" t="n">
        <v>20117.22222222222</v>
      </c>
      <c r="N109" s="2" t="n">
        <v>7103.37</v>
      </c>
      <c r="O109" s="2" t="n">
        <v>13311.06</v>
      </c>
      <c r="P109" s="2" t="n">
        <v>1312.17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49466.32</v>
      </c>
      <c r="AP109" s="2" t="n">
        <v>3618.369703703704</v>
      </c>
      <c r="AQ109" s="2" t="n">
        <v>45802.14814814815</v>
      </c>
      <c r="AR109" s="2" t="n">
        <v>15477.09</v>
      </c>
      <c r="AS109" s="2" t="n">
        <v>30789.49</v>
      </c>
      <c r="AT109" s="2" t="n">
        <v>3199.74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71192.92</v>
      </c>
      <c r="BB109" s="2" t="n">
        <v>48612.46000000001</v>
      </c>
      <c r="BC109" s="2">
        <f>F109+L109+R109+X109+AD109+AJ109+AP109+AV109+IF(BE109="",0,BE109)</f>
        <v/>
      </c>
      <c r="BD109" s="2" t="n">
        <v>748.6318840000001</v>
      </c>
      <c r="BE109" s="2" t="n"/>
      <c r="BF109" s="2" t="n">
        <v>65919.37037037036</v>
      </c>
      <c r="BG109" s="2" t="n">
        <v>1387.63</v>
      </c>
      <c r="BH109" s="2" t="n">
        <v>177.6</v>
      </c>
      <c r="BI109" s="2" t="n">
        <v>48703.25</v>
      </c>
      <c r="BJ109" s="2" t="n">
        <v>99.91589743589743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656.2682100000001</v>
      </c>
      <c r="BQ109" s="2" t="n">
        <v>451.034188034188</v>
      </c>
      <c r="BR109" s="2" t="n">
        <v>51500.69829547009</v>
      </c>
      <c r="BS109" s="2" t="n">
        <v>869.1994017094017</v>
      </c>
      <c r="BT109" s="2" t="n">
        <v>0</v>
      </c>
      <c r="BU109" s="2" t="n">
        <v>10342.7258974359</v>
      </c>
      <c r="BV109" s="2" t="n">
        <v>11211.9252991453</v>
      </c>
      <c r="BW109" s="2" t="n">
        <v>62712.62359461539</v>
      </c>
      <c r="BX109" s="2" t="n">
        <v>44100.55</v>
      </c>
      <c r="BY109" s="2" t="n">
        <v>4511.91</v>
      </c>
      <c r="BZ109" s="2" t="n">
        <v>22580.46</v>
      </c>
      <c r="CA109" s="2" t="n">
        <v>48612.46000000001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1291</v>
      </c>
      <c r="B110" t="inlineStr">
        <is>
          <t>pl. Dworcowy 1, 82-300 Elbląg</t>
        </is>
      </c>
      <c r="C110" t="inlineStr">
        <is>
          <t>Elbląg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11181.75</v>
      </c>
      <c r="L110" s="2" t="n">
        <v>930.7771527777779</v>
      </c>
      <c r="M110" s="2" t="n">
        <v>10353.47222222222</v>
      </c>
      <c r="N110" s="2" t="n">
        <v>1920.19</v>
      </c>
      <c r="O110" s="2" t="n">
        <v>9033.52</v>
      </c>
      <c r="P110" s="2" t="n">
        <v>228.04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29382.6</v>
      </c>
      <c r="AP110" s="2" t="n">
        <v>2149.282777777778</v>
      </c>
      <c r="AQ110" s="2" t="n">
        <v>27206.11111111111</v>
      </c>
      <c r="AR110" s="2" t="n">
        <v>7129.17</v>
      </c>
      <c r="AS110" s="2" t="n">
        <v>21086.87</v>
      </c>
      <c r="AT110" s="2" t="n">
        <v>1166.56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40564.35000000001</v>
      </c>
      <c r="BB110" s="2" t="n">
        <v>31514.99</v>
      </c>
      <c r="BC110" s="2">
        <f>F110+L110+R110+X110+AD110+AJ110+AP110+AV110+IF(BE110="",0,BE110)</f>
        <v/>
      </c>
      <c r="BD110" s="2" t="n">
        <v>485.3308460000001</v>
      </c>
      <c r="BE110" s="2" t="n"/>
      <c r="BF110" s="2" t="n">
        <v>37559.58333333334</v>
      </c>
      <c r="BG110" s="2" t="n">
        <v>372.81</v>
      </c>
      <c r="BH110" s="2" t="n">
        <v>177.6</v>
      </c>
      <c r="BI110" s="2" t="n">
        <v>48703.25</v>
      </c>
      <c r="BJ110" s="2" t="n">
        <v>99.91589743589743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425.452365</v>
      </c>
      <c r="BQ110" s="2" t="n">
        <v>451.034188034188</v>
      </c>
      <c r="BR110" s="2" t="n">
        <v>50255.06245047008</v>
      </c>
      <c r="BS110" s="2" t="n">
        <v>869.1994017094017</v>
      </c>
      <c r="BT110" s="2" t="n">
        <v>0</v>
      </c>
      <c r="BU110" s="2" t="n">
        <v>10139.7618974359</v>
      </c>
      <c r="BV110" s="2" t="n">
        <v>11008.9612991453</v>
      </c>
      <c r="BW110" s="2" t="n">
        <v>61264.02374961539</v>
      </c>
      <c r="BX110" s="2" t="n">
        <v>30120.39</v>
      </c>
      <c r="BY110" s="2" t="n">
        <v>1394.6</v>
      </c>
      <c r="BZ110" s="2" t="n">
        <v>9049.360000000001</v>
      </c>
      <c r="CA110" s="2" t="n">
        <v>31514.99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1292</v>
      </c>
      <c r="B111" t="inlineStr">
        <is>
          <t>Dworcowa 8A, 84-310 Lębork</t>
        </is>
      </c>
      <c r="C111" t="inlineStr">
        <is>
          <t>Lębork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5528.2</v>
      </c>
      <c r="L111" s="2" t="n">
        <v>460.171462962963</v>
      </c>
      <c r="M111" s="2" t="n">
        <v>5118.703703703703</v>
      </c>
      <c r="N111" s="2" t="n">
        <v>2413.79</v>
      </c>
      <c r="O111" s="2" t="n">
        <v>2593.16</v>
      </c>
      <c r="P111" s="2" t="n">
        <v>521.25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10173.93</v>
      </c>
      <c r="AP111" s="2" t="n">
        <v>4127</v>
      </c>
      <c r="AQ111" s="2" t="n">
        <v>9420.305555555555</v>
      </c>
      <c r="AR111" s="2" t="n">
        <v>4429.71</v>
      </c>
      <c r="AS111" s="2" t="n">
        <v>4880.9</v>
      </c>
      <c r="AT111" s="2" t="n">
        <v>863.3200000000001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15702.13</v>
      </c>
      <c r="BB111" s="2" t="n">
        <v>8858.629999999999</v>
      </c>
      <c r="BC111" s="2">
        <f>F111+L111+R111+X111+AD111+AJ111+AP111+AV111+IF(BE111="",0,BE111)</f>
        <v/>
      </c>
      <c r="BD111" s="2" t="n">
        <v>136.422902</v>
      </c>
      <c r="BE111" s="2" t="n"/>
      <c r="BF111" s="2" t="n">
        <v>14539.00925925926</v>
      </c>
      <c r="BG111" s="2" t="n">
        <v>0</v>
      </c>
      <c r="BH111" s="2" t="n">
        <v>0</v>
      </c>
      <c r="BI111" s="2" t="n">
        <v>48703.25</v>
      </c>
      <c r="BJ111" s="2" t="n">
        <v>99.91589743589743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119.591505</v>
      </c>
      <c r="BQ111" s="2" t="n">
        <v>451.034188034188</v>
      </c>
      <c r="BR111" s="2" t="n">
        <v>49398.79159047008</v>
      </c>
      <c r="BS111" s="2" t="n">
        <v>869.1994017094017</v>
      </c>
      <c r="BT111" s="2" t="n">
        <v>0</v>
      </c>
      <c r="BU111" s="2" t="n">
        <v>10029.6798974359</v>
      </c>
      <c r="BV111" s="2" t="n">
        <v>10898.8792991453</v>
      </c>
      <c r="BW111" s="2" t="n">
        <v>60297.67088961538</v>
      </c>
      <c r="BX111" s="2" t="n">
        <v>7474.059999999999</v>
      </c>
      <c r="BY111" s="2" t="n">
        <v>1384.57</v>
      </c>
      <c r="BZ111" s="2" t="n">
        <v>6843.5</v>
      </c>
      <c r="CA111" s="2" t="n">
        <v>8858.629999999999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1293</v>
      </c>
      <c r="B112" t="inlineStr">
        <is>
          <t>Dworcowa 10, 84-100 Puck</t>
        </is>
      </c>
      <c r="C112" t="inlineStr">
        <is>
          <t>Puck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1051.2</v>
      </c>
      <c r="L112" s="2" t="n">
        <v>87.50266666666666</v>
      </c>
      <c r="M112" s="2" t="n">
        <v>973.3333333333331</v>
      </c>
      <c r="N112" s="2" t="n">
        <v>164.8</v>
      </c>
      <c r="O112" s="2" t="n">
        <v>828.05</v>
      </c>
      <c r="P112" s="2" t="n">
        <v>58.35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13856.5</v>
      </c>
      <c r="AP112" s="2" t="n">
        <v>4227</v>
      </c>
      <c r="AQ112" s="2" t="n">
        <v>12830.09259259259</v>
      </c>
      <c r="AR112" s="2" t="n">
        <v>2117.17</v>
      </c>
      <c r="AS112" s="2" t="n">
        <v>10048.5</v>
      </c>
      <c r="AT112" s="2" t="n">
        <v>1690.83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14907.7</v>
      </c>
      <c r="BB112" s="2" t="n">
        <v>12625.73</v>
      </c>
      <c r="BC112" s="2">
        <f>F112+L112+R112+X112+AD112+AJ112+AP112+AV112+IF(BE112="",0,BE112)</f>
        <v/>
      </c>
      <c r="BD112" s="2" t="n">
        <v>194.436242</v>
      </c>
      <c r="BE112" s="2" t="n"/>
      <c r="BF112" s="2" t="n">
        <v>13803.42592592593</v>
      </c>
      <c r="BG112" s="2" t="n">
        <v>0</v>
      </c>
      <c r="BH112" s="2" t="n">
        <v>0</v>
      </c>
      <c r="BI112" s="2" t="n">
        <v>48703.25</v>
      </c>
      <c r="BJ112" s="2" t="n">
        <v>99.91589743589743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170.447355</v>
      </c>
      <c r="BQ112" s="2" t="n">
        <v>451.034188034188</v>
      </c>
      <c r="BR112" s="2" t="n">
        <v>49449.64744047008</v>
      </c>
      <c r="BS112" s="2" t="n">
        <v>869.1994017094017</v>
      </c>
      <c r="BT112" s="2" t="n">
        <v>0</v>
      </c>
      <c r="BU112" s="2" t="n">
        <v>10029.6798974359</v>
      </c>
      <c r="BV112" s="2" t="n">
        <v>10898.8792991453</v>
      </c>
      <c r="BW112" s="2" t="n">
        <v>60348.52673961538</v>
      </c>
      <c r="BX112" s="2" t="n">
        <v>10876.55</v>
      </c>
      <c r="BY112" s="2" t="n">
        <v>1749.18</v>
      </c>
      <c r="BZ112" s="2" t="n">
        <v>2281.97</v>
      </c>
      <c r="CA112" s="2" t="n">
        <v>12625.73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1294</v>
      </c>
      <c r="B113" t="inlineStr">
        <is>
          <t>Plac Dworcowy 3, 49-300 Brzeg</t>
        </is>
      </c>
      <c r="C113" t="inlineStr">
        <is>
          <t>Brzeg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13527.25</v>
      </c>
      <c r="L113" s="2" t="n">
        <v>1126.018310185185</v>
      </c>
      <c r="M113" s="2" t="n">
        <v>12525.23148148148</v>
      </c>
      <c r="N113" s="2" t="n">
        <v>2031.44</v>
      </c>
      <c r="O113" s="2" t="n">
        <v>10961.22</v>
      </c>
      <c r="P113" s="2" t="n">
        <v>534.59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21085.93</v>
      </c>
      <c r="AP113" s="2" t="n">
        <v>1542.396731481482</v>
      </c>
      <c r="AQ113" s="2" t="n">
        <v>19524.00925925926</v>
      </c>
      <c r="AR113" s="2" t="n">
        <v>3774.41</v>
      </c>
      <c r="AS113" s="2" t="n">
        <v>16406.18</v>
      </c>
      <c r="AT113" s="2" t="n">
        <v>905.34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34613.18</v>
      </c>
      <c r="BB113" s="2" t="n">
        <v>28807.33</v>
      </c>
      <c r="BC113" s="2">
        <f>F113+L113+R113+X113+AD113+AJ113+AP113+AV113+IF(BE113="",0,BE113)</f>
        <v/>
      </c>
      <c r="BD113" s="2" t="n">
        <v>443.632882</v>
      </c>
      <c r="BE113" s="2" t="n"/>
      <c r="BF113" s="2" t="n">
        <v>32049.24074074074</v>
      </c>
      <c r="BG113" s="2" t="n">
        <v>0</v>
      </c>
      <c r="BH113" s="2" t="n">
        <v>219.2</v>
      </c>
      <c r="BI113" s="2" t="n">
        <v>48703.25</v>
      </c>
      <c r="BJ113" s="2" t="n">
        <v>99.91589743589743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388.898955</v>
      </c>
      <c r="BQ113" s="2" t="n">
        <v>451.034188034188</v>
      </c>
      <c r="BR113" s="2" t="n">
        <v>49887.29904047008</v>
      </c>
      <c r="BS113" s="2" t="n">
        <v>869.1994017094017</v>
      </c>
      <c r="BT113" s="2" t="n">
        <v>0</v>
      </c>
      <c r="BU113" s="2" t="n">
        <v>10073.5198974359</v>
      </c>
      <c r="BV113" s="2" t="n">
        <v>10942.7192991453</v>
      </c>
      <c r="BW113" s="2" t="n">
        <v>60830.01833961537</v>
      </c>
      <c r="BX113" s="2" t="n">
        <v>27367.4</v>
      </c>
      <c r="BY113" s="2" t="n">
        <v>1439.93</v>
      </c>
      <c r="BZ113" s="2" t="n">
        <v>5805.85</v>
      </c>
      <c r="CA113" s="2" t="n">
        <v>28807.33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1295</v>
      </c>
      <c r="B114" t="inlineStr">
        <is>
          <t>Zygmunta Starego 1, 64-920 Piła</t>
        </is>
      </c>
      <c r="C114" t="inlineStr">
        <is>
          <t>Piła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8308.610000000001</v>
      </c>
      <c r="L114" s="2" t="n">
        <v>691.614850925926</v>
      </c>
      <c r="M114" s="2" t="n">
        <v>7693.157407407408</v>
      </c>
      <c r="N114" s="2" t="n">
        <v>2151.94</v>
      </c>
      <c r="O114" s="2" t="n">
        <v>5763.26</v>
      </c>
      <c r="P114" s="2" t="n">
        <v>393.41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5925.900000000001</v>
      </c>
      <c r="AD114" s="2" t="n">
        <v>378.5991666666667</v>
      </c>
      <c r="AE114" s="2" t="n">
        <v>5486.944444444444</v>
      </c>
      <c r="AF114" s="2" t="n">
        <v>1484.78</v>
      </c>
      <c r="AG114" s="2" t="n">
        <v>3939.15</v>
      </c>
      <c r="AH114" s="2" t="n">
        <v>501.97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19686.94</v>
      </c>
      <c r="AP114" s="2" t="n">
        <v>1440.063203703704</v>
      </c>
      <c r="AQ114" s="2" t="n">
        <v>18228.64814814815</v>
      </c>
      <c r="AR114" s="2" t="n">
        <v>5361.31</v>
      </c>
      <c r="AS114" s="2" t="n">
        <v>13129.27</v>
      </c>
      <c r="AT114" s="2" t="n">
        <v>1196.36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33921.45</v>
      </c>
      <c r="BB114" s="2" t="n">
        <v>24923.42</v>
      </c>
      <c r="BC114" s="2">
        <f>F114+L114+R114+X114+AD114+AJ114+AP114+AV114+IF(BE114="",0,BE114)</f>
        <v/>
      </c>
      <c r="BD114" s="2" t="n">
        <v>383.820668</v>
      </c>
      <c r="BE114" s="2" t="n"/>
      <c r="BF114" s="2" t="n">
        <v>31408.75</v>
      </c>
      <c r="BG114" s="2" t="n">
        <v>0</v>
      </c>
      <c r="BH114" s="2" t="n">
        <v>0</v>
      </c>
      <c r="BI114" s="2" t="n">
        <v>48703.25</v>
      </c>
      <c r="BJ114" s="2" t="n">
        <v>99.91589743589743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336.46617</v>
      </c>
      <c r="BQ114" s="2" t="n">
        <v>451.034188034188</v>
      </c>
      <c r="BR114" s="2" t="n">
        <v>49615.66625547008</v>
      </c>
      <c r="BS114" s="2" t="n">
        <v>869.1994017094017</v>
      </c>
      <c r="BT114" s="2" t="n">
        <v>0</v>
      </c>
      <c r="BU114" s="2" t="n">
        <v>10029.6798974359</v>
      </c>
      <c r="BV114" s="2" t="n">
        <v>10898.8792991453</v>
      </c>
      <c r="BW114" s="2" t="n">
        <v>60514.54555461538</v>
      </c>
      <c r="BX114" s="2" t="n">
        <v>22831.68</v>
      </c>
      <c r="BY114" s="2" t="n">
        <v>2091.74</v>
      </c>
      <c r="BZ114" s="2" t="n">
        <v>8998.030000000001</v>
      </c>
      <c r="CA114" s="2" t="n">
        <v>24923.42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1296</v>
      </c>
      <c r="B115" t="inlineStr">
        <is>
          <t>Dworcowa 2, 61-801 Poznań</t>
        </is>
      </c>
      <c r="C115" t="inlineStr">
        <is>
          <t>Poznań Główny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13073.16</v>
      </c>
      <c r="L115" s="2" t="n">
        <v>1088.219522222222</v>
      </c>
      <c r="M115" s="2" t="n">
        <v>12104.77777777778</v>
      </c>
      <c r="N115" s="2" t="n">
        <v>2886.9</v>
      </c>
      <c r="O115" s="2" t="n">
        <v>9520.139999999999</v>
      </c>
      <c r="P115" s="2" t="n">
        <v>666.12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23235.8</v>
      </c>
      <c r="AD115" s="2" t="n">
        <v>1484.509444444444</v>
      </c>
      <c r="AE115" s="2" t="n">
        <v>21514.62962962962</v>
      </c>
      <c r="AF115" s="2" t="n">
        <v>3789.01</v>
      </c>
      <c r="AG115" s="2" t="n">
        <v>18141.51</v>
      </c>
      <c r="AH115" s="2" t="n">
        <v>1305.28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7893.29</v>
      </c>
      <c r="AP115" s="2" t="n">
        <v>577.3795462962962</v>
      </c>
      <c r="AQ115" s="2" t="n">
        <v>7308.601851851851</v>
      </c>
      <c r="AR115" s="2" t="n">
        <v>1228.04</v>
      </c>
      <c r="AS115" s="2" t="n">
        <v>6260.53</v>
      </c>
      <c r="AT115" s="2" t="n">
        <v>404.72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44202.24999999999</v>
      </c>
      <c r="BB115" s="2" t="n">
        <v>36298.3</v>
      </c>
      <c r="BC115" s="2">
        <f>F115+L115+R115+X115+AD115+AJ115+AP115+AV115+IF(BE115="",0,BE115)</f>
        <v/>
      </c>
      <c r="BD115" s="2" t="n">
        <v>558.9938199999999</v>
      </c>
      <c r="BE115" s="2" t="n"/>
      <c r="BF115" s="2" t="n">
        <v>40928.00925925926</v>
      </c>
      <c r="BG115" s="2" t="n">
        <v>458.58</v>
      </c>
      <c r="BH115" s="2" t="n">
        <v>0</v>
      </c>
      <c r="BI115" s="2" t="n">
        <v>48703.25</v>
      </c>
      <c r="BJ115" s="2" t="n">
        <v>99.91589743589743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490.0270499999999</v>
      </c>
      <c r="BQ115" s="2" t="n">
        <v>451.034188034188</v>
      </c>
      <c r="BR115" s="2" t="n">
        <v>50227.80713547008</v>
      </c>
      <c r="BS115" s="2" t="n">
        <v>869.1994017094017</v>
      </c>
      <c r="BT115" s="2" t="n">
        <v>0</v>
      </c>
      <c r="BU115" s="2" t="n">
        <v>10121.3958974359</v>
      </c>
      <c r="BV115" s="2" t="n">
        <v>10990.5952991453</v>
      </c>
      <c r="BW115" s="2" t="n">
        <v>61218.40243461538</v>
      </c>
      <c r="BX115" s="2" t="n">
        <v>33922.18</v>
      </c>
      <c r="BY115" s="2" t="n">
        <v>2376.12</v>
      </c>
      <c r="BZ115" s="2" t="n">
        <v>7903.95</v>
      </c>
      <c r="CA115" s="2" t="n">
        <v>36298.3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1297</v>
      </c>
      <c r="B116" t="inlineStr">
        <is>
          <t>Dworcowa 2, 61-801 Poznań</t>
        </is>
      </c>
      <c r="C116" t="inlineStr">
        <is>
          <t>Poznań Główny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14435.51</v>
      </c>
      <c r="L116" s="2" t="n">
        <v>1201.62254537037</v>
      </c>
      <c r="M116" s="2" t="n">
        <v>13366.21296296296</v>
      </c>
      <c r="N116" s="2" t="n">
        <v>3547.93</v>
      </c>
      <c r="O116" s="2" t="n">
        <v>9642.459999999999</v>
      </c>
      <c r="P116" s="2" t="n">
        <v>1245.12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20749.31</v>
      </c>
      <c r="AD116" s="2" t="n">
        <v>1325.650361111111</v>
      </c>
      <c r="AE116" s="2" t="n">
        <v>19212.32407407407</v>
      </c>
      <c r="AF116" s="2" t="n">
        <v>2991.75</v>
      </c>
      <c r="AG116" s="2" t="n">
        <v>16257.57</v>
      </c>
      <c r="AH116" s="2" t="n">
        <v>1499.99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7046.43</v>
      </c>
      <c r="AP116" s="2" t="n">
        <v>515.4333055555555</v>
      </c>
      <c r="AQ116" s="2" t="n">
        <v>6524.472222222222</v>
      </c>
      <c r="AR116" s="2" t="n">
        <v>1212.06</v>
      </c>
      <c r="AS116" s="2" t="n">
        <v>5431.63</v>
      </c>
      <c r="AT116" s="2" t="n">
        <v>402.74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42231.25</v>
      </c>
      <c r="BB116" s="2" t="n">
        <v>34479.51</v>
      </c>
      <c r="BC116" s="2">
        <f>F116+L116+R116+X116+AD116+AJ116+AP116+AV116+IF(BE116="",0,BE116)</f>
        <v/>
      </c>
      <c r="BD116" s="2" t="n">
        <v>530.984454</v>
      </c>
      <c r="BE116" s="2" t="n"/>
      <c r="BF116" s="2" t="n">
        <v>39103.00925925926</v>
      </c>
      <c r="BG116" s="2" t="n">
        <v>458.58</v>
      </c>
      <c r="BH116" s="2" t="n">
        <v>0</v>
      </c>
      <c r="BI116" s="2" t="n">
        <v>48703.25</v>
      </c>
      <c r="BJ116" s="2" t="n">
        <v>99.91589743589743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465.473385</v>
      </c>
      <c r="BQ116" s="2" t="n">
        <v>451.034188034188</v>
      </c>
      <c r="BR116" s="2" t="n">
        <v>50203.25347047008</v>
      </c>
      <c r="BS116" s="2" t="n">
        <v>869.1994017094017</v>
      </c>
      <c r="BT116" s="2" t="n">
        <v>0</v>
      </c>
      <c r="BU116" s="2" t="n">
        <v>10121.3958974359</v>
      </c>
      <c r="BV116" s="2" t="n">
        <v>10990.5952991453</v>
      </c>
      <c r="BW116" s="2" t="n">
        <v>61193.84876961538</v>
      </c>
      <c r="BX116" s="2" t="n">
        <v>31331.66</v>
      </c>
      <c r="BY116" s="2" t="n">
        <v>3147.849999999999</v>
      </c>
      <c r="BZ116" s="2" t="n">
        <v>7751.74</v>
      </c>
      <c r="CA116" s="2" t="n">
        <v>34479.51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1298</v>
      </c>
      <c r="B117" t="inlineStr">
        <is>
          <t>Kolumba 2, 70-035 Szczecin</t>
        </is>
      </c>
      <c r="C117" t="inlineStr">
        <is>
          <t>Szczecin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19110.6</v>
      </c>
      <c r="L117" s="2" t="n">
        <v>1590.7805</v>
      </c>
      <c r="M117" s="2" t="n">
        <v>17695</v>
      </c>
      <c r="N117" s="2" t="n">
        <v>7743.36</v>
      </c>
      <c r="O117" s="2" t="n">
        <v>10268.51</v>
      </c>
      <c r="P117" s="2" t="n">
        <v>1098.73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37812.51</v>
      </c>
      <c r="AP117" s="2" t="n">
        <v>2765.915083333334</v>
      </c>
      <c r="AQ117" s="2" t="n">
        <v>35011.58333333334</v>
      </c>
      <c r="AR117" s="2" t="n">
        <v>13050.9</v>
      </c>
      <c r="AS117" s="2" t="n">
        <v>22589.21</v>
      </c>
      <c r="AT117" s="2" t="n">
        <v>2172.4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56923.11</v>
      </c>
      <c r="BB117" s="2" t="n">
        <v>36128.85</v>
      </c>
      <c r="BC117" s="2">
        <f>F117+L117+R117+X117+AD117+AJ117+AP117+AV117+IF(BE117="",0,BE117)</f>
        <v/>
      </c>
      <c r="BD117" s="2" t="n">
        <v>556.38429</v>
      </c>
      <c r="BE117" s="2" t="n"/>
      <c r="BF117" s="2" t="n">
        <v>52706.58333333333</v>
      </c>
      <c r="BG117" s="2" t="n">
        <v>1387.63</v>
      </c>
      <c r="BH117" s="2" t="n">
        <v>177.6</v>
      </c>
      <c r="BI117" s="2" t="n">
        <v>48703.25</v>
      </c>
      <c r="BJ117" s="2" t="n">
        <v>99.91589743589743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487.739475</v>
      </c>
      <c r="BQ117" s="2" t="n">
        <v>451.034188034188</v>
      </c>
      <c r="BR117" s="2" t="n">
        <v>51332.16956047009</v>
      </c>
      <c r="BS117" s="2" t="n">
        <v>869.1994017094017</v>
      </c>
      <c r="BT117" s="2" t="n">
        <v>0</v>
      </c>
      <c r="BU117" s="2" t="n">
        <v>10342.7258974359</v>
      </c>
      <c r="BV117" s="2" t="n">
        <v>11211.9252991453</v>
      </c>
      <c r="BW117" s="2" t="n">
        <v>62544.09485961539</v>
      </c>
      <c r="BX117" s="2" t="n">
        <v>32857.72</v>
      </c>
      <c r="BY117" s="2" t="n">
        <v>3271.13</v>
      </c>
      <c r="BZ117" s="2" t="n">
        <v>20794.26</v>
      </c>
      <c r="CA117" s="2" t="n">
        <v>36128.85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1299</v>
      </c>
      <c r="B118" t="inlineStr">
        <is>
          <t>Pawia 5a, 31-154 Kraków</t>
        </is>
      </c>
      <c r="C118" t="inlineStr">
        <is>
          <t>Kraków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23312.13</v>
      </c>
      <c r="L118" s="2" t="n">
        <v>1940.518969444445</v>
      </c>
      <c r="M118" s="2" t="n">
        <v>21585.30555555556</v>
      </c>
      <c r="N118" s="2" t="n">
        <v>7226.43</v>
      </c>
      <c r="O118" s="2" t="n">
        <v>15114.62</v>
      </c>
      <c r="P118" s="2" t="n">
        <v>971.08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16855.57</v>
      </c>
      <c r="X118" s="2" t="n">
        <v>750</v>
      </c>
      <c r="Y118" s="2" t="n">
        <v>15607.00925925926</v>
      </c>
      <c r="Z118" s="2" t="n">
        <v>2885.35</v>
      </c>
      <c r="AA118" s="2" t="n">
        <v>13711.52</v>
      </c>
      <c r="AB118" s="2" t="n">
        <v>258.7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10087.06</v>
      </c>
      <c r="AP118" s="2" t="n">
        <v>737.8497592592591</v>
      </c>
      <c r="AQ118" s="2" t="n">
        <v>9339.870370370369</v>
      </c>
      <c r="AR118" s="2" t="n">
        <v>2464.39</v>
      </c>
      <c r="AS118" s="2" t="n">
        <v>7268.35</v>
      </c>
      <c r="AT118" s="2" t="n">
        <v>354.32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50254.76</v>
      </c>
      <c r="BB118" s="2" t="n">
        <v>37678.59</v>
      </c>
      <c r="BC118" s="2">
        <f>F118+L118+R118+X118+AD118+AJ118+AP118+AV118+IF(BE118="",0,BE118)</f>
        <v/>
      </c>
      <c r="BD118" s="2" t="n">
        <v>553.7068680000001</v>
      </c>
      <c r="BE118" s="2" t="n"/>
      <c r="BF118" s="2" t="n">
        <v>46532.18518518518</v>
      </c>
      <c r="BG118" s="2" t="n">
        <v>600</v>
      </c>
      <c r="BH118" s="2" t="n">
        <v>100</v>
      </c>
      <c r="BI118" s="2" t="n">
        <v>48703.25</v>
      </c>
      <c r="BJ118" s="2" t="n">
        <v>99.91589743589743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508.660965</v>
      </c>
      <c r="BQ118" s="2" t="n">
        <v>451.034188034188</v>
      </c>
      <c r="BR118" s="2" t="n">
        <v>50487.86105047008</v>
      </c>
      <c r="BS118" s="2" t="n">
        <v>869.1994017094017</v>
      </c>
      <c r="BT118" s="2" t="n">
        <v>0</v>
      </c>
      <c r="BU118" s="2" t="n">
        <v>10169.6798974359</v>
      </c>
      <c r="BV118" s="2" t="n">
        <v>11038.8792991453</v>
      </c>
      <c r="BW118" s="2" t="n">
        <v>61526.74034961539</v>
      </c>
      <c r="BX118" s="2" t="n">
        <v>36094.49</v>
      </c>
      <c r="BY118" s="2" t="n">
        <v>1584.1</v>
      </c>
      <c r="BZ118" s="2" t="n">
        <v>12576.17</v>
      </c>
      <c r="CA118" s="2" t="n">
        <v>37678.59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s="3" t="inlineStr">
        <is>
          <t>PODSUMOWANIE</t>
        </is>
      </c>
      <c r="B119" s="3" t="n"/>
      <c r="C119" s="3" t="n"/>
      <c r="D119" s="3" t="n"/>
      <c r="E119" s="4">
        <f>SUM(E2:E118)</f>
        <v/>
      </c>
      <c r="F119" s="4">
        <f>SUM(F2:F118)</f>
        <v/>
      </c>
      <c r="G119" s="4">
        <f>SUM(G2:G118)</f>
        <v/>
      </c>
      <c r="H119" s="4">
        <f>SUM(H2:H118)</f>
        <v/>
      </c>
      <c r="I119" s="4">
        <f>SUM(I2:I118)</f>
        <v/>
      </c>
      <c r="J119" s="4">
        <f>SUM(J2:J118)</f>
        <v/>
      </c>
      <c r="K119" s="4">
        <f>SUM(K2:K118)</f>
        <v/>
      </c>
      <c r="L119" s="4">
        <f>SUM(L2:L118)</f>
        <v/>
      </c>
      <c r="M119" s="4">
        <f>SUM(M2:M118)</f>
        <v/>
      </c>
      <c r="N119" s="4">
        <f>SUM(N2:N118)</f>
        <v/>
      </c>
      <c r="O119" s="4">
        <f>SUM(O2:O118)</f>
        <v/>
      </c>
      <c r="P119" s="4">
        <f>SUM(P2:P118)</f>
        <v/>
      </c>
      <c r="Q119" s="4">
        <f>SUM(Q2:Q118)</f>
        <v/>
      </c>
      <c r="R119" s="4">
        <f>SUM(R2:R118)</f>
        <v/>
      </c>
      <c r="S119" s="4">
        <f>SUM(S2:S118)</f>
        <v/>
      </c>
      <c r="T119" s="4">
        <f>SUM(T2:T118)</f>
        <v/>
      </c>
      <c r="U119" s="4">
        <f>SUM(U2:U118)</f>
        <v/>
      </c>
      <c r="V119" s="4">
        <f>SUM(V2:V118)</f>
        <v/>
      </c>
      <c r="W119" s="4">
        <f>SUM(W2:W118)</f>
        <v/>
      </c>
      <c r="X119" s="4">
        <f>SUM(X2:X118)</f>
        <v/>
      </c>
      <c r="Y119" s="4">
        <f>SUM(Y2:Y118)</f>
        <v/>
      </c>
      <c r="Z119" s="4">
        <f>SUM(Z2:Z118)</f>
        <v/>
      </c>
      <c r="AA119" s="4">
        <f>SUM(AA2:AA118)</f>
        <v/>
      </c>
      <c r="AB119" s="4">
        <f>SUM(AB2:AB118)</f>
        <v/>
      </c>
      <c r="AC119" s="4">
        <f>SUM(AC2:AC118)</f>
        <v/>
      </c>
      <c r="AD119" s="4">
        <f>SUM(AD2:AD118)</f>
        <v/>
      </c>
      <c r="AE119" s="4">
        <f>SUM(AE2:AE118)</f>
        <v/>
      </c>
      <c r="AF119" s="4">
        <f>SUM(AF2:AF118)</f>
        <v/>
      </c>
      <c r="AG119" s="4">
        <f>SUM(AG2:AG118)</f>
        <v/>
      </c>
      <c r="AH119" s="4">
        <f>SUM(AH2:AH118)</f>
        <v/>
      </c>
      <c r="AI119" s="4">
        <f>SUM(AI2:AI118)</f>
        <v/>
      </c>
      <c r="AJ119" s="4">
        <f>SUM(AJ2:AJ118)</f>
        <v/>
      </c>
      <c r="AK119" s="4">
        <f>SUM(AK2:AK118)</f>
        <v/>
      </c>
      <c r="AL119" s="4">
        <f>SUM(AL2:AL118)</f>
        <v/>
      </c>
      <c r="AM119" s="4">
        <f>SUM(AM2:AM118)</f>
        <v/>
      </c>
      <c r="AN119" s="4">
        <f>SUM(AN2:AN118)</f>
        <v/>
      </c>
      <c r="AO119" s="4">
        <f>SUM(AO2:AO118)</f>
        <v/>
      </c>
      <c r="AP119" s="4">
        <f>SUM(AP2:AP118)</f>
        <v/>
      </c>
      <c r="AQ119" s="4">
        <f>SUM(AQ2:AQ118)</f>
        <v/>
      </c>
      <c r="AR119" s="4">
        <f>SUM(AR2:AR118)</f>
        <v/>
      </c>
      <c r="AS119" s="4">
        <f>SUM(AS2:AS118)</f>
        <v/>
      </c>
      <c r="AT119" s="4">
        <f>SUM(AT2:AT118)</f>
        <v/>
      </c>
      <c r="AU119" s="4">
        <f>SUM(AU2:AU118)</f>
        <v/>
      </c>
      <c r="AV119" s="4">
        <f>SUM(AV2:AV118)</f>
        <v/>
      </c>
      <c r="AW119" s="4">
        <f>SUM(AW2:AW118)</f>
        <v/>
      </c>
      <c r="AX119" s="4">
        <f>SUM(AX2:AX118)</f>
        <v/>
      </c>
      <c r="AY119" s="4">
        <f>SUM(AY2:AY118)</f>
        <v/>
      </c>
      <c r="AZ119" s="4">
        <f>SUM(AZ2:AZ118)</f>
        <v/>
      </c>
      <c r="BA119" s="4">
        <f>SUM(BA2:BA118)</f>
        <v/>
      </c>
      <c r="BB119" s="4">
        <f>SUM(BB2:BB118)</f>
        <v/>
      </c>
      <c r="BC119" s="4">
        <f>SUM(BC2:BC118)</f>
        <v/>
      </c>
      <c r="BD119" s="4">
        <f>SUM(BD2:BD118)</f>
        <v/>
      </c>
      <c r="BE119" s="4">
        <f>SUM(BE2:BE118)</f>
        <v/>
      </c>
      <c r="BF119" s="4">
        <f>SUM(BF2:BF118)</f>
        <v/>
      </c>
      <c r="BG119" s="4">
        <f>SUM(BG2:BG118)</f>
        <v/>
      </c>
      <c r="BH119" s="4">
        <f>SUM(BH2:BH118)</f>
        <v/>
      </c>
      <c r="BI119" s="4">
        <f>SUM(BI2:BI118)</f>
        <v/>
      </c>
      <c r="BJ119" s="4">
        <f>SUM(BJ2:BJ118)</f>
        <v/>
      </c>
      <c r="BK119" s="4">
        <f>SUM(BK2:BK118)</f>
        <v/>
      </c>
      <c r="BL119" s="4">
        <f>SUM(BL2:BL118)</f>
        <v/>
      </c>
      <c r="BM119" s="4">
        <f>SUM(BM2:BM118)</f>
        <v/>
      </c>
      <c r="BN119" s="4">
        <f>SUM(BN2:BN118)</f>
        <v/>
      </c>
      <c r="BO119" s="4">
        <f>SUM(BO2:BO118)</f>
        <v/>
      </c>
      <c r="BP119" s="4">
        <f>SUM(BP2:BP118)</f>
        <v/>
      </c>
      <c r="BQ119" s="4">
        <f>SUM(BQ2:BQ118)</f>
        <v/>
      </c>
      <c r="BR119" s="4">
        <f>SUM(BR2:BR118)</f>
        <v/>
      </c>
      <c r="BS119" s="4">
        <f>SUM(BS2:BS118)</f>
        <v/>
      </c>
      <c r="BT119" s="4">
        <f>SUM(BT2:BT118)</f>
        <v/>
      </c>
      <c r="BU119" s="4">
        <f>SUM(BU2:BU118)</f>
        <v/>
      </c>
      <c r="BV119" s="4">
        <f>SUM(BV2:BV118)</f>
        <v/>
      </c>
      <c r="BW119" s="4">
        <f>SUM(BW2:BW118)</f>
        <v/>
      </c>
      <c r="BX119" s="4">
        <f>SUM(BX2:BX118)</f>
        <v/>
      </c>
      <c r="BY119" s="4">
        <f>SUM(BY2:BY118)</f>
        <v/>
      </c>
      <c r="BZ119" s="4">
        <f>SUM(BZ2:BZ118)</f>
        <v/>
      </c>
      <c r="CA119" s="4">
        <f>SUM(CA2:CA118)</f>
        <v/>
      </c>
      <c r="CB119" s="4">
        <f>SUM(CB2:CB118)</f>
        <v/>
      </c>
      <c r="CC119" s="3" t="n"/>
    </row>
  </sheetData>
  <conditionalFormatting sqref="CB2:CB118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1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1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19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19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28556.2</v>
      </c>
      <c r="L2" s="2" t="n">
        <v>2377.03924074074</v>
      </c>
      <c r="M2" s="2" t="n">
        <v>26440.92592592592</v>
      </c>
      <c r="N2" s="2" t="n">
        <v>0</v>
      </c>
      <c r="O2" s="2" t="n">
        <v>27237.03</v>
      </c>
      <c r="P2" s="2" t="n">
        <v>1319.17</v>
      </c>
      <c r="Q2" s="2" t="n">
        <v>28.98</v>
      </c>
      <c r="R2" s="2" t="n">
        <v>2.0125</v>
      </c>
      <c r="S2" s="2" t="n">
        <v>26.83333333333333</v>
      </c>
      <c r="T2" s="2" t="n">
        <v>0</v>
      </c>
      <c r="U2" s="2" t="n">
        <v>28.98</v>
      </c>
      <c r="V2" s="2" t="n">
        <v>0</v>
      </c>
      <c r="W2" s="2" t="n">
        <v>36262.26</v>
      </c>
      <c r="X2" s="2" t="n">
        <v>750</v>
      </c>
      <c r="Y2" s="2" t="n">
        <v>33576.16666666666</v>
      </c>
      <c r="Z2" s="2" t="n">
        <v>0</v>
      </c>
      <c r="AA2" s="2" t="n">
        <v>34692.28</v>
      </c>
      <c r="AB2" s="2" t="n">
        <v>1569.98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19601.9</v>
      </c>
      <c r="AP2" s="2" t="n">
        <v>907.4953703703703</v>
      </c>
      <c r="AQ2" s="2" t="n">
        <v>18149.90740740741</v>
      </c>
      <c r="AR2" s="2" t="n">
        <v>0</v>
      </c>
      <c r="AS2" s="2" t="n">
        <v>18119.76</v>
      </c>
      <c r="AT2" s="2" t="n">
        <v>1482.14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84449.34</v>
      </c>
      <c r="BB2" s="2" t="n">
        <v>84449.34</v>
      </c>
      <c r="BC2" s="2">
        <f>F2+L2+R2+X2+AD2+AJ2+AP2+AV2+IF(BE2="",0,BE2)</f>
        <v/>
      </c>
      <c r="BD2" s="2" t="n">
        <v>1231.621542</v>
      </c>
      <c r="BE2" s="2" t="n"/>
      <c r="BF2" s="2" t="n">
        <v>78193.83333333331</v>
      </c>
      <c r="BG2" s="2" t="n">
        <v>1175.06</v>
      </c>
      <c r="BH2" s="2" t="n">
        <v>264</v>
      </c>
      <c r="BI2" s="2" t="n">
        <v>44995.2</v>
      </c>
      <c r="BJ2" s="2" t="n">
        <v>91.60226086956521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1140.06609</v>
      </c>
      <c r="BQ2" s="2" t="n">
        <v>0</v>
      </c>
      <c r="BR2" s="2" t="n">
        <v>47690.92835086956</v>
      </c>
      <c r="BS2" s="2" t="n">
        <v>857.2733043478261</v>
      </c>
      <c r="BT2" s="2" t="n">
        <v>0</v>
      </c>
      <c r="BU2" s="2" t="n">
        <v>9481.627113043478</v>
      </c>
      <c r="BV2" s="2" t="n">
        <v>10338.9004173913</v>
      </c>
      <c r="BW2" s="2" t="n">
        <v>58029.82876826086</v>
      </c>
      <c r="BX2" s="2" t="n">
        <v>80078.04999999999</v>
      </c>
      <c r="BY2" s="2" t="n">
        <v>4371.29</v>
      </c>
      <c r="BZ2" s="2" t="n">
        <v>0</v>
      </c>
      <c r="CA2" s="2" t="n">
        <v>84449.33999999998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3396.59</v>
      </c>
      <c r="L3" s="2" t="n">
        <v>282.7346675925926</v>
      </c>
      <c r="M3" s="2" t="n">
        <v>3144.990740740741</v>
      </c>
      <c r="N3" s="2" t="n">
        <v>0</v>
      </c>
      <c r="O3" s="2" t="n">
        <v>2734.38</v>
      </c>
      <c r="P3" s="2" t="n">
        <v>662.21</v>
      </c>
      <c r="Q3" s="2" t="n">
        <v>3724.17</v>
      </c>
      <c r="R3" s="2" t="n">
        <v>258.6229166666666</v>
      </c>
      <c r="S3" s="2" t="n">
        <v>3448.305555555555</v>
      </c>
      <c r="T3" s="2" t="n">
        <v>0</v>
      </c>
      <c r="U3" s="2" t="n">
        <v>3339.51</v>
      </c>
      <c r="V3" s="2" t="n">
        <v>384.66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9615.75</v>
      </c>
      <c r="AP3" s="2" t="n">
        <v>445.1736111111111</v>
      </c>
      <c r="AQ3" s="2" t="n">
        <v>8903.472222222221</v>
      </c>
      <c r="AR3" s="2" t="n">
        <v>0</v>
      </c>
      <c r="AS3" s="2" t="n">
        <v>9139.65</v>
      </c>
      <c r="AT3" s="2" t="n">
        <v>476.1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16736.51</v>
      </c>
      <c r="BB3" s="2" t="n">
        <v>16736.51</v>
      </c>
      <c r="BC3" s="2">
        <f>F3+L3+R3+X3+AD3+AJ3+AP3+AV3+IF(BE3="",0,BE3)</f>
        <v/>
      </c>
      <c r="BD3" s="2" t="n">
        <v>257.742254</v>
      </c>
      <c r="BE3" s="2" t="n"/>
      <c r="BF3" s="2" t="n">
        <v>15496.76851851852</v>
      </c>
      <c r="BG3" s="2" t="n">
        <v>0</v>
      </c>
      <c r="BH3" s="2" t="n">
        <v>0</v>
      </c>
      <c r="BI3" s="2" t="n">
        <v>44995.2</v>
      </c>
      <c r="BJ3" s="2" t="n">
        <v>91.60226086956521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225.942885</v>
      </c>
      <c r="BQ3" s="2" t="n">
        <v>0</v>
      </c>
      <c r="BR3" s="2" t="n">
        <v>45337.74514586956</v>
      </c>
      <c r="BS3" s="2" t="n">
        <v>857.2733043478261</v>
      </c>
      <c r="BT3" s="2" t="n">
        <v>0</v>
      </c>
      <c r="BU3" s="2" t="n">
        <v>9193.815113043478</v>
      </c>
      <c r="BV3" s="2" t="n">
        <v>10051.0884173913</v>
      </c>
      <c r="BW3" s="2" t="n">
        <v>55388.83356326087</v>
      </c>
      <c r="BX3" s="2" t="n">
        <v>15213.54</v>
      </c>
      <c r="BY3" s="2" t="n">
        <v>1522.97</v>
      </c>
      <c r="BZ3" s="2" t="n">
        <v>0</v>
      </c>
      <c r="CA3" s="2" t="n">
        <v>16736.51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9290.959999999999</v>
      </c>
      <c r="L4" s="2" t="n">
        <v>773.3863925925925</v>
      </c>
      <c r="M4" s="2" t="n">
        <v>8602.740740740739</v>
      </c>
      <c r="N4" s="2" t="n">
        <v>0</v>
      </c>
      <c r="O4" s="2" t="n">
        <v>7919.63</v>
      </c>
      <c r="P4" s="2" t="n">
        <v>1371.33</v>
      </c>
      <c r="Q4" s="2" t="n">
        <v>24263.87</v>
      </c>
      <c r="R4" s="2" t="n">
        <v>500</v>
      </c>
      <c r="S4" s="2" t="n">
        <v>22466.5462962963</v>
      </c>
      <c r="T4" s="2" t="n">
        <v>0</v>
      </c>
      <c r="U4" s="2" t="n">
        <v>22879.01</v>
      </c>
      <c r="V4" s="2" t="n">
        <v>1384.86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7163.8</v>
      </c>
      <c r="AP4" s="2" t="n">
        <v>331.6574074074074</v>
      </c>
      <c r="AQ4" s="2" t="n">
        <v>6633.148148148148</v>
      </c>
      <c r="AR4" s="2" t="n">
        <v>0</v>
      </c>
      <c r="AS4" s="2" t="n">
        <v>6706.37</v>
      </c>
      <c r="AT4" s="2" t="n">
        <v>457.43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40718.63</v>
      </c>
      <c r="BB4" s="2" t="n">
        <v>40718.63</v>
      </c>
      <c r="BC4" s="2">
        <f>F4+L4+R4+X4+AD4+AJ4+AP4+AV4+IF(BE4="",0,BE4)</f>
        <v/>
      </c>
      <c r="BD4" s="2" t="n">
        <v>627.066902</v>
      </c>
      <c r="BE4" s="2" t="n"/>
      <c r="BF4" s="2" t="n">
        <v>37702.43518518518</v>
      </c>
      <c r="BG4" s="2" t="n">
        <v>0</v>
      </c>
      <c r="BH4" s="2" t="n">
        <v>0</v>
      </c>
      <c r="BI4" s="2" t="n">
        <v>44995.2</v>
      </c>
      <c r="BJ4" s="2" t="n">
        <v>91.60226086956521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549.701505</v>
      </c>
      <c r="BQ4" s="2" t="n">
        <v>0</v>
      </c>
      <c r="BR4" s="2" t="n">
        <v>45661.50376586956</v>
      </c>
      <c r="BS4" s="2" t="n">
        <v>857.2733043478261</v>
      </c>
      <c r="BT4" s="2" t="n">
        <v>0</v>
      </c>
      <c r="BU4" s="2" t="n">
        <v>9193.815113043478</v>
      </c>
      <c r="BV4" s="2" t="n">
        <v>10051.0884173913</v>
      </c>
      <c r="BW4" s="2" t="n">
        <v>55712.59218326086</v>
      </c>
      <c r="BX4" s="2" t="n">
        <v>37505.01</v>
      </c>
      <c r="BY4" s="2" t="n">
        <v>3213.619999999999</v>
      </c>
      <c r="BZ4" s="2" t="n">
        <v>0</v>
      </c>
      <c r="CA4" s="2" t="n">
        <v>40718.63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27403.83</v>
      </c>
      <c r="L5" s="2" t="n">
        <v>2281.115108333333</v>
      </c>
      <c r="M5" s="2" t="n">
        <v>25373.91666666667</v>
      </c>
      <c r="N5" s="2" t="n">
        <v>0</v>
      </c>
      <c r="O5" s="2" t="n">
        <v>25205.02</v>
      </c>
      <c r="P5" s="2" t="n">
        <v>2198.81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46306.63</v>
      </c>
      <c r="AD5" s="2" t="n">
        <v>2958.479138888889</v>
      </c>
      <c r="AE5" s="2" t="n">
        <v>42876.50925925926</v>
      </c>
      <c r="AF5" s="2" t="n">
        <v>0</v>
      </c>
      <c r="AG5" s="2" t="n">
        <v>42541.95</v>
      </c>
      <c r="AH5" s="2" t="n">
        <v>3764.68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17463.18</v>
      </c>
      <c r="AP5" s="2" t="n">
        <v>808.4805555555555</v>
      </c>
      <c r="AQ5" s="2" t="n">
        <v>16169.61111111111</v>
      </c>
      <c r="AR5" s="2" t="n">
        <v>0</v>
      </c>
      <c r="AS5" s="2" t="n">
        <v>16513.87</v>
      </c>
      <c r="AT5" s="2" t="n">
        <v>949.3099999999999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91173.63999999998</v>
      </c>
      <c r="BB5" s="2" t="n">
        <v>91173.63999999998</v>
      </c>
      <c r="BC5" s="2">
        <f>F5+L5+R5+X5+AD5+AJ5+AP5+AV5+IF(BE5="",0,BE5)</f>
        <v/>
      </c>
      <c r="BD5" s="2" t="n">
        <v>1404.074056</v>
      </c>
      <c r="BE5" s="2" t="n"/>
      <c r="BF5" s="2" t="n">
        <v>84420.03703703704</v>
      </c>
      <c r="BG5" s="2" t="n">
        <v>0</v>
      </c>
      <c r="BH5" s="2" t="n">
        <v>0</v>
      </c>
      <c r="BI5" s="2" t="n">
        <v>44995.2</v>
      </c>
      <c r="BJ5" s="2" t="n">
        <v>91.60226086956521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1230.84414</v>
      </c>
      <c r="BQ5" s="2" t="n">
        <v>0</v>
      </c>
      <c r="BR5" s="2" t="n">
        <v>46342.64640086956</v>
      </c>
      <c r="BS5" s="2" t="n">
        <v>857.2733043478261</v>
      </c>
      <c r="BT5" s="2" t="n">
        <v>0</v>
      </c>
      <c r="BU5" s="2" t="n">
        <v>9193.815113043478</v>
      </c>
      <c r="BV5" s="2" t="n">
        <v>10051.0884173913</v>
      </c>
      <c r="BW5" s="2" t="n">
        <v>56393.73481826087</v>
      </c>
      <c r="BX5" s="2" t="n">
        <v>84260.84</v>
      </c>
      <c r="BY5" s="2" t="n">
        <v>6912.799999999999</v>
      </c>
      <c r="BZ5" s="2" t="n">
        <v>0</v>
      </c>
      <c r="CA5" s="2" t="n">
        <v>91173.64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7484.299999999999</v>
      </c>
      <c r="L6" s="2" t="n">
        <v>622.9986759259259</v>
      </c>
      <c r="M6" s="2" t="n">
        <v>6929.907407407406</v>
      </c>
      <c r="N6" s="2" t="n">
        <v>0</v>
      </c>
      <c r="O6" s="2" t="n">
        <v>6917.9</v>
      </c>
      <c r="P6" s="2" t="n">
        <v>566.4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18335.39</v>
      </c>
      <c r="AP6" s="2" t="n">
        <v>848.860648148148</v>
      </c>
      <c r="AQ6" s="2" t="n">
        <v>16977.21296296296</v>
      </c>
      <c r="AR6" s="2" t="n">
        <v>0</v>
      </c>
      <c r="AS6" s="2" t="n">
        <v>16589.11</v>
      </c>
      <c r="AT6" s="2" t="n">
        <v>1746.28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25819.69</v>
      </c>
      <c r="BB6" s="2" t="n">
        <v>25819.69</v>
      </c>
      <c r="BC6" s="2">
        <f>F6+L6+R6+X6+AD6+AJ6+AP6+AV6+IF(BE6="",0,BE6)</f>
        <v/>
      </c>
      <c r="BD6" s="2" t="n">
        <v>397.623226</v>
      </c>
      <c r="BE6" s="2" t="n"/>
      <c r="BF6" s="2" t="n">
        <v>23907.12037037036</v>
      </c>
      <c r="BG6" s="2" t="n">
        <v>0</v>
      </c>
      <c r="BH6" s="2" t="n">
        <v>0</v>
      </c>
      <c r="BI6" s="2" t="n">
        <v>44995.2</v>
      </c>
      <c r="BJ6" s="2" t="n">
        <v>91.60226086956521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348.565815</v>
      </c>
      <c r="BQ6" s="2" t="n">
        <v>0</v>
      </c>
      <c r="BR6" s="2" t="n">
        <v>45460.36807586956</v>
      </c>
      <c r="BS6" s="2" t="n">
        <v>857.2733043478261</v>
      </c>
      <c r="BT6" s="2" t="n">
        <v>0</v>
      </c>
      <c r="BU6" s="2" t="n">
        <v>9193.815113043478</v>
      </c>
      <c r="BV6" s="2" t="n">
        <v>10051.0884173913</v>
      </c>
      <c r="BW6" s="2" t="n">
        <v>55511.45649326086</v>
      </c>
      <c r="BX6" s="2" t="n">
        <v>23507.01</v>
      </c>
      <c r="BY6" s="2" t="n">
        <v>2312.68</v>
      </c>
      <c r="BZ6" s="2" t="n">
        <v>0</v>
      </c>
      <c r="CA6" s="2" t="n">
        <v>25819.69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11424.93</v>
      </c>
      <c r="L7" s="2" t="n">
        <v>951.0196361111111</v>
      </c>
      <c r="M7" s="2" t="n">
        <v>10578.63888888889</v>
      </c>
      <c r="N7" s="2" t="n">
        <v>0</v>
      </c>
      <c r="O7" s="2" t="n">
        <v>10508.9</v>
      </c>
      <c r="P7" s="2" t="n">
        <v>916.03</v>
      </c>
      <c r="Q7" s="2" t="n">
        <v>14.94</v>
      </c>
      <c r="R7" s="2" t="n">
        <v>1.0375</v>
      </c>
      <c r="S7" s="2" t="n">
        <v>13.83333333333333</v>
      </c>
      <c r="T7" s="2" t="n">
        <v>0</v>
      </c>
      <c r="U7" s="2" t="n">
        <v>14.94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67.40000000000001</v>
      </c>
      <c r="AD7" s="2" t="n">
        <v>4.306111111111112</v>
      </c>
      <c r="AE7" s="2" t="n">
        <v>62.40740740740741</v>
      </c>
      <c r="AF7" s="2" t="n">
        <v>0</v>
      </c>
      <c r="AG7" s="2" t="n">
        <v>67.40000000000001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32799.45</v>
      </c>
      <c r="AP7" s="2" t="n">
        <v>1518.493055555555</v>
      </c>
      <c r="AQ7" s="2" t="n">
        <v>30369.86111111111</v>
      </c>
      <c r="AR7" s="2" t="n">
        <v>0</v>
      </c>
      <c r="AS7" s="2" t="n">
        <v>29872.82</v>
      </c>
      <c r="AT7" s="2" t="n">
        <v>2926.63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44306.72</v>
      </c>
      <c r="BB7" s="2" t="n">
        <v>44306.72</v>
      </c>
      <c r="BC7" s="2">
        <f>F7+L7+R7+X7+AD7+AJ7+AP7+AV7+IF(BE7="",0,BE7)</f>
        <v/>
      </c>
      <c r="BD7" s="2" t="n">
        <v>682.323488</v>
      </c>
      <c r="BE7" s="2" t="n"/>
      <c r="BF7" s="2" t="n">
        <v>41024.74074074074</v>
      </c>
      <c r="BG7" s="2" t="n">
        <v>0</v>
      </c>
      <c r="BH7" s="2" t="n">
        <v>0</v>
      </c>
      <c r="BI7" s="2" t="n">
        <v>44995.2</v>
      </c>
      <c r="BJ7" s="2" t="n">
        <v>91.60226086956521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598.14072</v>
      </c>
      <c r="BQ7" s="2" t="n">
        <v>0</v>
      </c>
      <c r="BR7" s="2" t="n">
        <v>45709.94298086956</v>
      </c>
      <c r="BS7" s="2" t="n">
        <v>857.2733043478261</v>
      </c>
      <c r="BT7" s="2" t="n">
        <v>0</v>
      </c>
      <c r="BU7" s="2" t="n">
        <v>9193.815113043478</v>
      </c>
      <c r="BV7" s="2" t="n">
        <v>10051.0884173913</v>
      </c>
      <c r="BW7" s="2" t="n">
        <v>55761.03139826086</v>
      </c>
      <c r="BX7" s="2" t="n">
        <v>40464.06</v>
      </c>
      <c r="BY7" s="2" t="n">
        <v>3842.66</v>
      </c>
      <c r="BZ7" s="2" t="n">
        <v>0</v>
      </c>
      <c r="CA7" s="2" t="n">
        <v>44306.72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11935.55</v>
      </c>
      <c r="L8" s="2" t="n">
        <v>993.5240231481481</v>
      </c>
      <c r="M8" s="2" t="n">
        <v>11051.43518518518</v>
      </c>
      <c r="N8" s="2" t="n">
        <v>0</v>
      </c>
      <c r="O8" s="2" t="n">
        <v>10964.34</v>
      </c>
      <c r="P8" s="2" t="n">
        <v>971.21</v>
      </c>
      <c r="Q8" s="2" t="n">
        <v>112.25</v>
      </c>
      <c r="R8" s="2" t="n">
        <v>7.795138888888888</v>
      </c>
      <c r="S8" s="2" t="n">
        <v>103.9351851851852</v>
      </c>
      <c r="T8" s="2" t="n">
        <v>0</v>
      </c>
      <c r="U8" s="2" t="n">
        <v>112.25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23265.7</v>
      </c>
      <c r="AP8" s="2" t="n">
        <v>1077.115740740741</v>
      </c>
      <c r="AQ8" s="2" t="n">
        <v>21542.31481481481</v>
      </c>
      <c r="AR8" s="2" t="n">
        <v>0</v>
      </c>
      <c r="AS8" s="2" t="n">
        <v>21749.53</v>
      </c>
      <c r="AT8" s="2" t="n">
        <v>1516.17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35313.5</v>
      </c>
      <c r="BB8" s="2" t="n">
        <v>35313.5</v>
      </c>
      <c r="BC8" s="2">
        <f>F8+L8+R8+X8+AD8+AJ8+AP8+AV8+IF(BE8="",0,BE8)</f>
        <v/>
      </c>
      <c r="BD8" s="2" t="n">
        <v>543.8279</v>
      </c>
      <c r="BE8" s="2" t="n"/>
      <c r="BF8" s="2" t="n">
        <v>32697.68518518518</v>
      </c>
      <c r="BG8" s="2" t="n">
        <v>0</v>
      </c>
      <c r="BH8" s="2" t="n">
        <v>0</v>
      </c>
      <c r="BI8" s="2" t="n">
        <v>44995.2</v>
      </c>
      <c r="BJ8" s="2" t="n">
        <v>91.60226086956521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476.7322499999999</v>
      </c>
      <c r="BQ8" s="2" t="n">
        <v>0</v>
      </c>
      <c r="BR8" s="2" t="n">
        <v>45588.53451086956</v>
      </c>
      <c r="BS8" s="2" t="n">
        <v>857.2733043478261</v>
      </c>
      <c r="BT8" s="2" t="n">
        <v>0</v>
      </c>
      <c r="BU8" s="2" t="n">
        <v>9193.815113043478</v>
      </c>
      <c r="BV8" s="2" t="n">
        <v>10051.0884173913</v>
      </c>
      <c r="BW8" s="2" t="n">
        <v>55639.62292826087</v>
      </c>
      <c r="BX8" s="2" t="n">
        <v>32826.12</v>
      </c>
      <c r="BY8" s="2" t="n">
        <v>2487.38</v>
      </c>
      <c r="BZ8" s="2" t="n">
        <v>0</v>
      </c>
      <c r="CA8" s="2" t="n">
        <v>35313.49999999999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8885.4</v>
      </c>
      <c r="L9" s="2" t="n">
        <v>739.6272777777777</v>
      </c>
      <c r="M9" s="2" t="n">
        <v>8227.222222222221</v>
      </c>
      <c r="N9" s="2" t="n">
        <v>0</v>
      </c>
      <c r="O9" s="2" t="n">
        <v>8048.53</v>
      </c>
      <c r="P9" s="2" t="n">
        <v>836.87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27623.97</v>
      </c>
      <c r="AP9" s="2" t="n">
        <v>1278.8875</v>
      </c>
      <c r="AQ9" s="2" t="n">
        <v>25577.75</v>
      </c>
      <c r="AR9" s="2" t="n">
        <v>0</v>
      </c>
      <c r="AS9" s="2" t="n">
        <v>26282.6</v>
      </c>
      <c r="AT9" s="2" t="n">
        <v>1341.37</v>
      </c>
      <c r="AU9" s="2" t="n">
        <v>527.5500000000001</v>
      </c>
      <c r="AV9" s="2" t="n">
        <v>21.00430555555555</v>
      </c>
      <c r="AW9" s="2" t="n">
        <v>488.4722222222222</v>
      </c>
      <c r="AX9" s="2" t="n">
        <v>0</v>
      </c>
      <c r="AY9" s="2" t="n">
        <v>519.85</v>
      </c>
      <c r="AZ9" s="2" t="n">
        <v>7.7</v>
      </c>
      <c r="BA9" s="2" t="n">
        <v>37036.92</v>
      </c>
      <c r="BB9" s="2" t="n">
        <v>37036.92</v>
      </c>
      <c r="BC9" s="2">
        <f>F9+L9+R9+X9+AD9+AJ9+AP9+AV9+IF(BE9="",0,BE9)</f>
        <v/>
      </c>
      <c r="BD9" s="2" t="n">
        <v>570.368568</v>
      </c>
      <c r="BE9" s="2" t="n"/>
      <c r="BF9" s="2" t="n">
        <v>34293.44444444444</v>
      </c>
      <c r="BG9" s="2" t="n">
        <v>0</v>
      </c>
      <c r="BH9" s="2" t="n">
        <v>0</v>
      </c>
      <c r="BI9" s="2" t="n">
        <v>44995.2</v>
      </c>
      <c r="BJ9" s="2" t="n">
        <v>91.60226086956521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499.99842</v>
      </c>
      <c r="BQ9" s="2" t="n">
        <v>0</v>
      </c>
      <c r="BR9" s="2" t="n">
        <v>45611.80068086956</v>
      </c>
      <c r="BS9" s="2" t="n">
        <v>857.2733043478261</v>
      </c>
      <c r="BT9" s="2" t="n">
        <v>0</v>
      </c>
      <c r="BU9" s="2" t="n">
        <v>9193.815113043478</v>
      </c>
      <c r="BV9" s="2" t="n">
        <v>10051.0884173913</v>
      </c>
      <c r="BW9" s="2" t="n">
        <v>55662.88909826087</v>
      </c>
      <c r="BX9" s="2" t="n">
        <v>34850.98</v>
      </c>
      <c r="BY9" s="2" t="n">
        <v>2185.94</v>
      </c>
      <c r="BZ9" s="2" t="n">
        <v>0</v>
      </c>
      <c r="CA9" s="2" t="n">
        <v>37036.92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5243.41</v>
      </c>
      <c r="L10" s="2" t="n">
        <v>436.4653324074075</v>
      </c>
      <c r="M10" s="2" t="n">
        <v>4855.009259259259</v>
      </c>
      <c r="N10" s="2" t="n">
        <v>0</v>
      </c>
      <c r="O10" s="2" t="n">
        <v>4470.04</v>
      </c>
      <c r="P10" s="2" t="n">
        <v>773.37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6440.12</v>
      </c>
      <c r="AP10" s="2" t="n">
        <v>298.1537037037037</v>
      </c>
      <c r="AQ10" s="2" t="n">
        <v>5963.074074074074</v>
      </c>
      <c r="AR10" s="2" t="n">
        <v>0</v>
      </c>
      <c r="AS10" s="2" t="n">
        <v>6078.82</v>
      </c>
      <c r="AT10" s="2" t="n">
        <v>361.3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11683.53</v>
      </c>
      <c r="BB10" s="2" t="n">
        <v>11683.53</v>
      </c>
      <c r="BC10" s="2">
        <f>F10+L10+R10+X10+AD10+AJ10+AP10+AV10+IF(BE10="",0,BE10)</f>
        <v/>
      </c>
      <c r="BD10" s="2" t="n">
        <v>179.926362</v>
      </c>
      <c r="BE10" s="2" t="n"/>
      <c r="BF10" s="2" t="n">
        <v>10818.08333333333</v>
      </c>
      <c r="BG10" s="2" t="n">
        <v>0</v>
      </c>
      <c r="BH10" s="2" t="n">
        <v>0</v>
      </c>
      <c r="BI10" s="2" t="n">
        <v>44995.2</v>
      </c>
      <c r="BJ10" s="2" t="n">
        <v>91.60226086956521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157.727655</v>
      </c>
      <c r="BQ10" s="2" t="n">
        <v>0</v>
      </c>
      <c r="BR10" s="2" t="n">
        <v>45269.52991586956</v>
      </c>
      <c r="BS10" s="2" t="n">
        <v>857.2733043478261</v>
      </c>
      <c r="BT10" s="2" t="n">
        <v>0</v>
      </c>
      <c r="BU10" s="2" t="n">
        <v>9193.815113043478</v>
      </c>
      <c r="BV10" s="2" t="n">
        <v>10051.0884173913</v>
      </c>
      <c r="BW10" s="2" t="n">
        <v>55320.61833326086</v>
      </c>
      <c r="BX10" s="2" t="n">
        <v>10548.86</v>
      </c>
      <c r="BY10" s="2" t="n">
        <v>1134.67</v>
      </c>
      <c r="BZ10" s="2" t="n">
        <v>0</v>
      </c>
      <c r="CA10" s="2" t="n">
        <v>11683.53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3319.29</v>
      </c>
      <c r="L11" s="2" t="n">
        <v>276.3001583333333</v>
      </c>
      <c r="M11" s="2" t="n">
        <v>3073.416666666667</v>
      </c>
      <c r="N11" s="2" t="n">
        <v>0</v>
      </c>
      <c r="O11" s="2" t="n">
        <v>3185.57</v>
      </c>
      <c r="P11" s="2" t="n">
        <v>133.72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7655.7</v>
      </c>
      <c r="AP11" s="2" t="n">
        <v>354.4305555555555</v>
      </c>
      <c r="AQ11" s="2" t="n">
        <v>7088.61111111111</v>
      </c>
      <c r="AR11" s="2" t="n">
        <v>0</v>
      </c>
      <c r="AS11" s="2" t="n">
        <v>6918.41</v>
      </c>
      <c r="AT11" s="2" t="n">
        <v>737.29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10974.99</v>
      </c>
      <c r="BB11" s="2" t="n">
        <v>10974.99</v>
      </c>
      <c r="BC11" s="2">
        <f>F11+L11+R11+X11+AD11+AJ11+AP11+AV11+IF(BE11="",0,BE11)</f>
        <v/>
      </c>
      <c r="BD11" s="2" t="n">
        <v>169.014846</v>
      </c>
      <c r="BE11" s="2" t="n"/>
      <c r="BF11" s="2" t="n">
        <v>10162.02777777778</v>
      </c>
      <c r="BG11" s="2" t="n">
        <v>0</v>
      </c>
      <c r="BH11" s="2" t="n">
        <v>0</v>
      </c>
      <c r="BI11" s="2" t="n">
        <v>44995.2</v>
      </c>
      <c r="BJ11" s="2" t="n">
        <v>91.60226086956521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148.162365</v>
      </c>
      <c r="BQ11" s="2" t="n">
        <v>0</v>
      </c>
      <c r="BR11" s="2" t="n">
        <v>45259.96462586956</v>
      </c>
      <c r="BS11" s="2" t="n">
        <v>857.2733043478261</v>
      </c>
      <c r="BT11" s="2" t="n">
        <v>0</v>
      </c>
      <c r="BU11" s="2" t="n">
        <v>9193.815113043478</v>
      </c>
      <c r="BV11" s="2" t="n">
        <v>10051.0884173913</v>
      </c>
      <c r="BW11" s="2" t="n">
        <v>55311.05304326086</v>
      </c>
      <c r="BX11" s="2" t="n">
        <v>10103.98</v>
      </c>
      <c r="BY11" s="2" t="n">
        <v>871.01</v>
      </c>
      <c r="BZ11" s="2" t="n">
        <v>0</v>
      </c>
      <c r="CA11" s="2" t="n">
        <v>10974.99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1343.74</v>
      </c>
      <c r="L12" s="2" t="n">
        <v>111.853912962963</v>
      </c>
      <c r="M12" s="2" t="n">
        <v>1244.203703703704</v>
      </c>
      <c r="N12" s="2" t="n">
        <v>0</v>
      </c>
      <c r="O12" s="2" t="n">
        <v>1089.74</v>
      </c>
      <c r="P12" s="2" t="n">
        <v>254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10234.78</v>
      </c>
      <c r="AP12" s="2" t="n">
        <v>3500</v>
      </c>
      <c r="AQ12" s="2" t="n">
        <v>9476.648148148146</v>
      </c>
      <c r="AR12" s="2" t="n">
        <v>0</v>
      </c>
      <c r="AS12" s="2" t="n">
        <v>9620.73</v>
      </c>
      <c r="AT12" s="2" t="n">
        <v>614.05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11578.52</v>
      </c>
      <c r="BB12" s="2" t="n">
        <v>11578.52</v>
      </c>
      <c r="BC12" s="2">
        <f>F12+L12+R12+X12+AD12+AJ12+AP12+AV12+IF(BE12="",0,BE12)</f>
        <v/>
      </c>
      <c r="BD12" s="2" t="n">
        <v>178.309208</v>
      </c>
      <c r="BE12" s="2" t="n"/>
      <c r="BF12" s="2" t="n">
        <v>10720.85185185185</v>
      </c>
      <c r="BG12" s="2" t="n">
        <v>0</v>
      </c>
      <c r="BH12" s="2" t="n">
        <v>0</v>
      </c>
      <c r="BI12" s="2" t="n">
        <v>44995.2</v>
      </c>
      <c r="BJ12" s="2" t="n">
        <v>91.60226086956521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156.31002</v>
      </c>
      <c r="BQ12" s="2" t="n">
        <v>0</v>
      </c>
      <c r="BR12" s="2" t="n">
        <v>45268.11228086956</v>
      </c>
      <c r="BS12" s="2" t="n">
        <v>857.2733043478261</v>
      </c>
      <c r="BT12" s="2" t="n">
        <v>0</v>
      </c>
      <c r="BU12" s="2" t="n">
        <v>9193.815113043478</v>
      </c>
      <c r="BV12" s="2" t="n">
        <v>10051.0884173913</v>
      </c>
      <c r="BW12" s="2" t="n">
        <v>55319.20069826086</v>
      </c>
      <c r="BX12" s="2" t="n">
        <v>10710.47</v>
      </c>
      <c r="BY12" s="2" t="n">
        <v>868.05</v>
      </c>
      <c r="BZ12" s="2" t="n">
        <v>0</v>
      </c>
      <c r="CA12" s="2" t="n">
        <v>11578.52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2953.81</v>
      </c>
      <c r="F13" s="2" t="n">
        <v>191.4506481481482</v>
      </c>
      <c r="G13" s="2" t="n">
        <v>2735.009259259259</v>
      </c>
      <c r="H13" s="2" t="n">
        <v>0</v>
      </c>
      <c r="I13" s="2" t="n">
        <v>2791.9</v>
      </c>
      <c r="J13" s="2" t="n">
        <v>161.91</v>
      </c>
      <c r="K13" s="2" t="n">
        <v>1187.7</v>
      </c>
      <c r="L13" s="2" t="n">
        <v>98.86502777777778</v>
      </c>
      <c r="M13" s="2" t="n">
        <v>1099.722222222222</v>
      </c>
      <c r="N13" s="2" t="n">
        <v>0</v>
      </c>
      <c r="O13" s="2" t="n">
        <v>983.8200000000001</v>
      </c>
      <c r="P13" s="2" t="n">
        <v>203.88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9728.84</v>
      </c>
      <c r="AP13" s="2" t="n">
        <v>3740</v>
      </c>
      <c r="AQ13" s="2" t="n">
        <v>9008.185185185184</v>
      </c>
      <c r="AR13" s="2" t="n">
        <v>0</v>
      </c>
      <c r="AS13" s="2" t="n">
        <v>8741.93</v>
      </c>
      <c r="AT13" s="2" t="n">
        <v>986.91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13870.35</v>
      </c>
      <c r="BB13" s="2" t="n">
        <v>13870.35</v>
      </c>
      <c r="BC13" s="2">
        <f>F13+L13+R13+X13+AD13+AJ13+AP13+AV13+IF(BE13="",0,BE13)</f>
        <v/>
      </c>
      <c r="BD13" s="2" t="n">
        <v>213.60339</v>
      </c>
      <c r="BE13" s="2" t="n"/>
      <c r="BF13" s="2" t="n">
        <v>12842.91666666667</v>
      </c>
      <c r="BG13" s="2" t="n">
        <v>0</v>
      </c>
      <c r="BH13" s="2" t="n">
        <v>0</v>
      </c>
      <c r="BI13" s="2" t="n">
        <v>44995.2</v>
      </c>
      <c r="BJ13" s="2" t="n">
        <v>91.60226086956521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187.249725</v>
      </c>
      <c r="BQ13" s="2" t="n">
        <v>0</v>
      </c>
      <c r="BR13" s="2" t="n">
        <v>45299.05198586956</v>
      </c>
      <c r="BS13" s="2" t="n">
        <v>857.2733043478261</v>
      </c>
      <c r="BT13" s="2" t="n">
        <v>0</v>
      </c>
      <c r="BU13" s="2" t="n">
        <v>9193.815113043478</v>
      </c>
      <c r="BV13" s="2" t="n">
        <v>10051.0884173913</v>
      </c>
      <c r="BW13" s="2" t="n">
        <v>55350.14040326087</v>
      </c>
      <c r="BX13" s="2" t="n">
        <v>12517.65</v>
      </c>
      <c r="BY13" s="2" t="n">
        <v>1352.7</v>
      </c>
      <c r="BZ13" s="2" t="n">
        <v>0</v>
      </c>
      <c r="CA13" s="2" t="n">
        <v>13870.35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10111.01</v>
      </c>
      <c r="L14" s="2" t="n">
        <v>841.647962037037</v>
      </c>
      <c r="M14" s="2" t="n">
        <v>9362.046296296296</v>
      </c>
      <c r="N14" s="2" t="n">
        <v>0</v>
      </c>
      <c r="O14" s="2" t="n">
        <v>9342.4</v>
      </c>
      <c r="P14" s="2" t="n">
        <v>768.61</v>
      </c>
      <c r="Q14" s="2" t="n">
        <v>455.48</v>
      </c>
      <c r="R14" s="2" t="n">
        <v>31.63055555555555</v>
      </c>
      <c r="S14" s="2" t="n">
        <v>421.7407407407407</v>
      </c>
      <c r="T14" s="2" t="n">
        <v>0</v>
      </c>
      <c r="U14" s="2" t="n">
        <v>394.1</v>
      </c>
      <c r="V14" s="2" t="n">
        <v>61.38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14120.42</v>
      </c>
      <c r="AP14" s="2" t="n">
        <v>4100</v>
      </c>
      <c r="AQ14" s="2" t="n">
        <v>13074.46296296296</v>
      </c>
      <c r="AR14" s="2" t="n">
        <v>0</v>
      </c>
      <c r="AS14" s="2" t="n">
        <v>12963.96</v>
      </c>
      <c r="AT14" s="2" t="n">
        <v>1156.46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24686.91</v>
      </c>
      <c r="BB14" s="2" t="n">
        <v>24686.91</v>
      </c>
      <c r="BC14" s="2">
        <f>F14+L14+R14+X14+AD14+AJ14+AP14+AV14+IF(BE14="",0,BE14)</f>
        <v/>
      </c>
      <c r="BD14" s="2" t="n">
        <v>380.178414</v>
      </c>
      <c r="BE14" s="2" t="n"/>
      <c r="BF14" s="2" t="n">
        <v>22858.25</v>
      </c>
      <c r="BG14" s="2" t="n">
        <v>0</v>
      </c>
      <c r="BH14" s="2" t="n">
        <v>0</v>
      </c>
      <c r="BI14" s="2" t="n">
        <v>44995.2</v>
      </c>
      <c r="BJ14" s="2" t="n">
        <v>91.60226086956521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333.273285</v>
      </c>
      <c r="BQ14" s="2" t="n">
        <v>0</v>
      </c>
      <c r="BR14" s="2" t="n">
        <v>45445.07554586956</v>
      </c>
      <c r="BS14" s="2" t="n">
        <v>857.2733043478261</v>
      </c>
      <c r="BT14" s="2" t="n">
        <v>0</v>
      </c>
      <c r="BU14" s="2" t="n">
        <v>9193.815113043478</v>
      </c>
      <c r="BV14" s="2" t="n">
        <v>10051.0884173913</v>
      </c>
      <c r="BW14" s="2" t="n">
        <v>55496.16396326087</v>
      </c>
      <c r="BX14" s="2" t="n">
        <v>22700.46</v>
      </c>
      <c r="BY14" s="2" t="n">
        <v>1986.45</v>
      </c>
      <c r="BZ14" s="2" t="n">
        <v>0</v>
      </c>
      <c r="CA14" s="2" t="n">
        <v>24686.91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31</v>
      </c>
      <c r="F15" s="2" t="n">
        <v>2.00925925925926</v>
      </c>
      <c r="G15" s="2" t="n">
        <v>28.7037037037037</v>
      </c>
      <c r="H15" s="2" t="n">
        <v>0</v>
      </c>
      <c r="I15" s="2" t="n">
        <v>31</v>
      </c>
      <c r="J15" s="2" t="n">
        <v>0</v>
      </c>
      <c r="K15" s="2" t="n">
        <v>116</v>
      </c>
      <c r="L15" s="2" t="n">
        <v>9.655925925925926</v>
      </c>
      <c r="M15" s="2" t="n">
        <v>107.4074074074074</v>
      </c>
      <c r="N15" s="2" t="n">
        <v>0</v>
      </c>
      <c r="O15" s="2" t="n">
        <v>116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3211.9</v>
      </c>
      <c r="AP15" s="2" t="n">
        <v>3500</v>
      </c>
      <c r="AQ15" s="2" t="n">
        <v>2973.981481481481</v>
      </c>
      <c r="AR15" s="2" t="n">
        <v>0</v>
      </c>
      <c r="AS15" s="2" t="n">
        <v>2898.27</v>
      </c>
      <c r="AT15" s="2" t="n">
        <v>313.63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3358.9</v>
      </c>
      <c r="BB15" s="2" t="n">
        <v>3358.9</v>
      </c>
      <c r="BC15" s="2">
        <f>F15+L15+R15+X15+AD15+AJ15+AP15+AV15+IF(BE15="",0,BE15)</f>
        <v/>
      </c>
      <c r="BD15" s="2" t="n">
        <v>51.72706000000001</v>
      </c>
      <c r="BE15" s="2" t="n"/>
      <c r="BF15" s="2" t="n">
        <v>3110.092592592593</v>
      </c>
      <c r="BG15" s="2" t="n">
        <v>0</v>
      </c>
      <c r="BH15" s="2" t="n">
        <v>0</v>
      </c>
      <c r="BI15" s="2" t="n">
        <v>44995.2</v>
      </c>
      <c r="BJ15" s="2" t="n">
        <v>91.60226086956521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45.34515</v>
      </c>
      <c r="BQ15" s="2" t="n">
        <v>0</v>
      </c>
      <c r="BR15" s="2" t="n">
        <v>45157.14741086956</v>
      </c>
      <c r="BS15" s="2" t="n">
        <v>857.2733043478261</v>
      </c>
      <c r="BT15" s="2" t="n">
        <v>0</v>
      </c>
      <c r="BU15" s="2" t="n">
        <v>9193.815113043478</v>
      </c>
      <c r="BV15" s="2" t="n">
        <v>10051.0884173913</v>
      </c>
      <c r="BW15" s="2" t="n">
        <v>55208.23582826086</v>
      </c>
      <c r="BX15" s="2" t="n">
        <v>3045.27</v>
      </c>
      <c r="BY15" s="2" t="n">
        <v>313.63</v>
      </c>
      <c r="BZ15" s="2" t="n">
        <v>0</v>
      </c>
      <c r="CA15" s="2" t="n">
        <v>3358.9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18626.85</v>
      </c>
      <c r="L16" s="2" t="n">
        <v>1550.512791666667</v>
      </c>
      <c r="M16" s="2" t="n">
        <v>17247.08333333333</v>
      </c>
      <c r="N16" s="2" t="n">
        <v>0</v>
      </c>
      <c r="O16" s="2" t="n">
        <v>17736.12</v>
      </c>
      <c r="P16" s="2" t="n">
        <v>890.73</v>
      </c>
      <c r="Q16" s="2" t="n">
        <v>6.7</v>
      </c>
      <c r="R16" s="2" t="n">
        <v>0.4652777777777777</v>
      </c>
      <c r="S16" s="2" t="n">
        <v>6.203703703703703</v>
      </c>
      <c r="T16" s="2" t="n">
        <v>0</v>
      </c>
      <c r="U16" s="2" t="n">
        <v>6.7</v>
      </c>
      <c r="V16" s="2" t="n">
        <v>0</v>
      </c>
      <c r="W16" s="2" t="n">
        <v>48997.34</v>
      </c>
      <c r="X16" s="2" t="n">
        <v>750</v>
      </c>
      <c r="Y16" s="2" t="n">
        <v>45367.90740740741</v>
      </c>
      <c r="Z16" s="2" t="n">
        <v>0</v>
      </c>
      <c r="AA16" s="2" t="n">
        <v>47794.87</v>
      </c>
      <c r="AB16" s="2" t="n">
        <v>1202.47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10845.9</v>
      </c>
      <c r="AP16" s="2" t="n">
        <v>4150</v>
      </c>
      <c r="AQ16" s="2" t="n">
        <v>10042.5</v>
      </c>
      <c r="AR16" s="2" t="n">
        <v>0</v>
      </c>
      <c r="AS16" s="2" t="n">
        <v>10123.99</v>
      </c>
      <c r="AT16" s="2" t="n">
        <v>721.91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78476.78999999999</v>
      </c>
      <c r="BB16" s="2" t="n">
        <v>78476.78999999999</v>
      </c>
      <c r="BC16" s="2">
        <f>F16+L16+R16+X16+AD16+AJ16+AP16+AV16+IF(BE16="",0,BE16)</f>
        <v/>
      </c>
      <c r="BD16" s="2" t="n">
        <v>1115.44762</v>
      </c>
      <c r="BE16" s="2" t="n"/>
      <c r="BF16" s="2" t="n">
        <v>72663.69444444444</v>
      </c>
      <c r="BG16" s="2" t="n">
        <v>1056.72</v>
      </c>
      <c r="BH16" s="2" t="n">
        <v>317.4</v>
      </c>
      <c r="BI16" s="2" t="n">
        <v>44995.2</v>
      </c>
      <c r="BJ16" s="2" t="n">
        <v>91.60226086956521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1059.436665</v>
      </c>
      <c r="BQ16" s="2" t="n">
        <v>0</v>
      </c>
      <c r="BR16" s="2" t="n">
        <v>47545.35892586956</v>
      </c>
      <c r="BS16" s="2" t="n">
        <v>857.2733043478261</v>
      </c>
      <c r="BT16" s="2" t="n">
        <v>0</v>
      </c>
      <c r="BU16" s="2" t="n">
        <v>9468.639113043479</v>
      </c>
      <c r="BV16" s="2" t="n">
        <v>10325.9124173913</v>
      </c>
      <c r="BW16" s="2" t="n">
        <v>57871.27134326087</v>
      </c>
      <c r="BX16" s="2" t="n">
        <v>75661.68000000001</v>
      </c>
      <c r="BY16" s="2" t="n">
        <v>2815.11</v>
      </c>
      <c r="BZ16" s="2" t="n">
        <v>0</v>
      </c>
      <c r="CA16" s="2" t="n">
        <v>78476.79000000001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2090.9</v>
      </c>
      <c r="AP17" s="2" t="n">
        <v>3500</v>
      </c>
      <c r="AQ17" s="2" t="n">
        <v>1936.018518518518</v>
      </c>
      <c r="AR17" s="2" t="n">
        <v>0</v>
      </c>
      <c r="AS17" s="2" t="n">
        <v>1911.48</v>
      </c>
      <c r="AT17" s="2" t="n">
        <v>179.42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2090.9</v>
      </c>
      <c r="BB17" s="2" t="n">
        <v>2090.9</v>
      </c>
      <c r="BC17" s="2">
        <f>F17+L17+R17+X17+AD17+AJ17+AP17+AV17+IF(BE17="",0,BE17)</f>
        <v/>
      </c>
      <c r="BD17" s="2" t="n">
        <v>32.19986</v>
      </c>
      <c r="BE17" s="2" t="n"/>
      <c r="BF17" s="2" t="n">
        <v>1936.018518518518</v>
      </c>
      <c r="BG17" s="2" t="n">
        <v>0</v>
      </c>
      <c r="BH17" s="2" t="n">
        <v>0</v>
      </c>
      <c r="BI17" s="2" t="n">
        <v>44995.2</v>
      </c>
      <c r="BJ17" s="2" t="n">
        <v>91.60226086956521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28.22715</v>
      </c>
      <c r="BQ17" s="2" t="n">
        <v>0</v>
      </c>
      <c r="BR17" s="2" t="n">
        <v>45140.02941086956</v>
      </c>
      <c r="BS17" s="2" t="n">
        <v>857.2733043478261</v>
      </c>
      <c r="BT17" s="2" t="n">
        <v>0</v>
      </c>
      <c r="BU17" s="2" t="n">
        <v>9193.815113043478</v>
      </c>
      <c r="BV17" s="2" t="n">
        <v>10051.0884173913</v>
      </c>
      <c r="BW17" s="2" t="n">
        <v>55191.11782826086</v>
      </c>
      <c r="BX17" s="2" t="n">
        <v>1911.48</v>
      </c>
      <c r="BY17" s="2" t="n">
        <v>179.42</v>
      </c>
      <c r="BZ17" s="2" t="n">
        <v>0</v>
      </c>
      <c r="CA17" s="2" t="n">
        <v>2090.9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10775.5</v>
      </c>
      <c r="L18" s="2" t="n">
        <v>896.9606018518518</v>
      </c>
      <c r="M18" s="2" t="n">
        <v>9977.314814814814</v>
      </c>
      <c r="N18" s="2" t="n">
        <v>0</v>
      </c>
      <c r="O18" s="2" t="n">
        <v>10312.69</v>
      </c>
      <c r="P18" s="2" t="n">
        <v>462.81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5536.07</v>
      </c>
      <c r="AP18" s="2" t="n">
        <v>4150</v>
      </c>
      <c r="AQ18" s="2" t="n">
        <v>5125.99074074074</v>
      </c>
      <c r="AR18" s="2" t="n">
        <v>0</v>
      </c>
      <c r="AS18" s="2" t="n">
        <v>5107.49</v>
      </c>
      <c r="AT18" s="2" t="n">
        <v>428.58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16311.57</v>
      </c>
      <c r="BB18" s="2" t="n">
        <v>16311.57</v>
      </c>
      <c r="BC18" s="2">
        <f>F18+L18+R18+X18+AD18+AJ18+AP18+AV18+IF(BE18="",0,BE18)</f>
        <v/>
      </c>
      <c r="BD18" s="2" t="n">
        <v>251.198178</v>
      </c>
      <c r="BE18" s="2" t="n"/>
      <c r="BF18" s="2" t="n">
        <v>15103.30555555555</v>
      </c>
      <c r="BG18" s="2" t="n">
        <v>0</v>
      </c>
      <c r="BH18" s="2" t="n">
        <v>0</v>
      </c>
      <c r="BI18" s="2" t="n">
        <v>44995.2</v>
      </c>
      <c r="BJ18" s="2" t="n">
        <v>91.60226086956521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220.206195</v>
      </c>
      <c r="BQ18" s="2" t="n">
        <v>0</v>
      </c>
      <c r="BR18" s="2" t="n">
        <v>45332.00845586956</v>
      </c>
      <c r="BS18" s="2" t="n">
        <v>857.2733043478261</v>
      </c>
      <c r="BT18" s="2" t="n">
        <v>0</v>
      </c>
      <c r="BU18" s="2" t="n">
        <v>9193.815113043478</v>
      </c>
      <c r="BV18" s="2" t="n">
        <v>10051.0884173913</v>
      </c>
      <c r="BW18" s="2" t="n">
        <v>55383.09687326086</v>
      </c>
      <c r="BX18" s="2" t="n">
        <v>15420.18</v>
      </c>
      <c r="BY18" s="2" t="n">
        <v>891.39</v>
      </c>
      <c r="BZ18" s="2" t="n">
        <v>0</v>
      </c>
      <c r="CA18" s="2" t="n">
        <v>16311.57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8755.380000000001</v>
      </c>
      <c r="L19" s="2" t="n">
        <v>728.8043166666668</v>
      </c>
      <c r="M19" s="2" t="n">
        <v>8106.833333333334</v>
      </c>
      <c r="N19" s="2" t="n">
        <v>0</v>
      </c>
      <c r="O19" s="2" t="n">
        <v>7813.05</v>
      </c>
      <c r="P19" s="2" t="n">
        <v>942.33</v>
      </c>
      <c r="Q19" s="2" t="n">
        <v>23576.89</v>
      </c>
      <c r="R19" s="2" t="n">
        <v>1637.284027777778</v>
      </c>
      <c r="S19" s="2" t="n">
        <v>21830.4537037037</v>
      </c>
      <c r="T19" s="2" t="n">
        <v>0</v>
      </c>
      <c r="U19" s="2" t="n">
        <v>21968.18</v>
      </c>
      <c r="V19" s="2" t="n">
        <v>1608.71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29.7</v>
      </c>
      <c r="AD19" s="2" t="n">
        <v>1.8975</v>
      </c>
      <c r="AE19" s="2" t="n">
        <v>27.5</v>
      </c>
      <c r="AF19" s="2" t="n">
        <v>0</v>
      </c>
      <c r="AG19" s="2" t="n">
        <v>29.7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9618.400000000001</v>
      </c>
      <c r="AP19" s="2" t="n">
        <v>4150</v>
      </c>
      <c r="AQ19" s="2" t="n">
        <v>8905.925925925927</v>
      </c>
      <c r="AR19" s="2" t="n">
        <v>0</v>
      </c>
      <c r="AS19" s="2" t="n">
        <v>9062.040000000001</v>
      </c>
      <c r="AT19" s="2" t="n">
        <v>556.36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41980.37</v>
      </c>
      <c r="BB19" s="2" t="n">
        <v>41980.37</v>
      </c>
      <c r="BC19" s="2">
        <f>F19+L19+R19+X19+AD19+AJ19+AP19+AV19+IF(BE19="",0,BE19)</f>
        <v/>
      </c>
      <c r="BD19" s="2" t="n">
        <v>646.497698</v>
      </c>
      <c r="BE19" s="2" t="n"/>
      <c r="BF19" s="2" t="n">
        <v>38870.71296296296</v>
      </c>
      <c r="BG19" s="2" t="n">
        <v>0</v>
      </c>
      <c r="BH19" s="2" t="n">
        <v>0</v>
      </c>
      <c r="BI19" s="2" t="n">
        <v>44995.2</v>
      </c>
      <c r="BJ19" s="2" t="n">
        <v>91.60226086956521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566.734995</v>
      </c>
      <c r="BQ19" s="2" t="n">
        <v>0</v>
      </c>
      <c r="BR19" s="2" t="n">
        <v>45678.53725586956</v>
      </c>
      <c r="BS19" s="2" t="n">
        <v>857.2733043478261</v>
      </c>
      <c r="BT19" s="2" t="n">
        <v>0</v>
      </c>
      <c r="BU19" s="2" t="n">
        <v>9193.815113043478</v>
      </c>
      <c r="BV19" s="2" t="n">
        <v>10051.0884173913</v>
      </c>
      <c r="BW19" s="2" t="n">
        <v>55729.62567326086</v>
      </c>
      <c r="BX19" s="2" t="n">
        <v>38872.97</v>
      </c>
      <c r="BY19" s="2" t="n">
        <v>3107.4</v>
      </c>
      <c r="BZ19" s="2" t="n">
        <v>0</v>
      </c>
      <c r="CA19" s="2" t="n">
        <v>41980.37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2284.86</v>
      </c>
      <c r="L20" s="2" t="n">
        <v>190.1934388888889</v>
      </c>
      <c r="M20" s="2" t="n">
        <v>2115.611111111111</v>
      </c>
      <c r="N20" s="2" t="n">
        <v>0</v>
      </c>
      <c r="O20" s="2" t="n">
        <v>2095.86</v>
      </c>
      <c r="P20" s="2" t="n">
        <v>189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4611.05</v>
      </c>
      <c r="AP20" s="2" t="n">
        <v>4150</v>
      </c>
      <c r="AQ20" s="2" t="n">
        <v>4269.490740740741</v>
      </c>
      <c r="AR20" s="2" t="n">
        <v>0</v>
      </c>
      <c r="AS20" s="2" t="n">
        <v>4287.17</v>
      </c>
      <c r="AT20" s="2" t="n">
        <v>323.88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6895.91</v>
      </c>
      <c r="BB20" s="2" t="n">
        <v>6895.91</v>
      </c>
      <c r="BC20" s="2">
        <f>F20+L20+R20+X20+AD20+AJ20+AP20+AV20+IF(BE20="",0,BE20)</f>
        <v/>
      </c>
      <c r="BD20" s="2" t="n">
        <v>106.197014</v>
      </c>
      <c r="BE20" s="2" t="n"/>
      <c r="BF20" s="2" t="n">
        <v>6385.101851851852</v>
      </c>
      <c r="BG20" s="2" t="n">
        <v>0</v>
      </c>
      <c r="BH20" s="2" t="n">
        <v>0</v>
      </c>
      <c r="BI20" s="2" t="n">
        <v>44995.2</v>
      </c>
      <c r="BJ20" s="2" t="n">
        <v>91.60226086956521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93.094785</v>
      </c>
      <c r="BQ20" s="2" t="n">
        <v>0</v>
      </c>
      <c r="BR20" s="2" t="n">
        <v>45204.89704586956</v>
      </c>
      <c r="BS20" s="2" t="n">
        <v>857.2733043478261</v>
      </c>
      <c r="BT20" s="2" t="n">
        <v>0</v>
      </c>
      <c r="BU20" s="2" t="n">
        <v>9193.815113043478</v>
      </c>
      <c r="BV20" s="2" t="n">
        <v>10051.0884173913</v>
      </c>
      <c r="BW20" s="2" t="n">
        <v>55255.98546326086</v>
      </c>
      <c r="BX20" s="2" t="n">
        <v>6383.030000000001</v>
      </c>
      <c r="BY20" s="2" t="n">
        <v>512.88</v>
      </c>
      <c r="BZ20" s="2" t="n">
        <v>0</v>
      </c>
      <c r="CA20" s="2" t="n">
        <v>6895.910000000001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2820.7</v>
      </c>
      <c r="L21" s="2" t="n">
        <v>234.7971574074074</v>
      </c>
      <c r="M21" s="2" t="n">
        <v>2611.759259259259</v>
      </c>
      <c r="N21" s="2" t="n">
        <v>0</v>
      </c>
      <c r="O21" s="2" t="n">
        <v>2594.65</v>
      </c>
      <c r="P21" s="2" t="n">
        <v>226.05</v>
      </c>
      <c r="Q21" s="2" t="n">
        <v>223.6</v>
      </c>
      <c r="R21" s="2" t="n">
        <v>15.52777777777778</v>
      </c>
      <c r="S21" s="2" t="n">
        <v>207.037037037037</v>
      </c>
      <c r="T21" s="2" t="n">
        <v>0</v>
      </c>
      <c r="U21" s="2" t="n">
        <v>223.6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11325.69</v>
      </c>
      <c r="AP21" s="2" t="n">
        <v>8300</v>
      </c>
      <c r="AQ21" s="2" t="n">
        <v>10486.75</v>
      </c>
      <c r="AR21" s="2" t="n">
        <v>0</v>
      </c>
      <c r="AS21" s="2" t="n">
        <v>10275.24</v>
      </c>
      <c r="AT21" s="2" t="n">
        <v>1050.45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14369.99</v>
      </c>
      <c r="BB21" s="2" t="n">
        <v>14369.99</v>
      </c>
      <c r="BC21" s="2">
        <f>F21+L21+R21+X21+AD21+AJ21+AP21+AV21+IF(BE21="",0,BE21)</f>
        <v/>
      </c>
      <c r="BD21" s="2" t="n">
        <v>221.297846</v>
      </c>
      <c r="BE21" s="2" t="n"/>
      <c r="BF21" s="2" t="n">
        <v>13305.5462962963</v>
      </c>
      <c r="BG21" s="2" t="n">
        <v>0</v>
      </c>
      <c r="BH21" s="2" t="n">
        <v>0</v>
      </c>
      <c r="BI21" s="2" t="n">
        <v>44995.2</v>
      </c>
      <c r="BJ21" s="2" t="n">
        <v>91.60226086956521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193.994865</v>
      </c>
      <c r="BQ21" s="2" t="n">
        <v>0</v>
      </c>
      <c r="BR21" s="2" t="n">
        <v>45305.79712586956</v>
      </c>
      <c r="BS21" s="2" t="n">
        <v>857.2733043478261</v>
      </c>
      <c r="BT21" s="2" t="n">
        <v>0</v>
      </c>
      <c r="BU21" s="2" t="n">
        <v>9193.815113043478</v>
      </c>
      <c r="BV21" s="2" t="n">
        <v>10051.0884173913</v>
      </c>
      <c r="BW21" s="2" t="n">
        <v>55356.88554326087</v>
      </c>
      <c r="BX21" s="2" t="n">
        <v>13093.49</v>
      </c>
      <c r="BY21" s="2" t="n">
        <v>1276.5</v>
      </c>
      <c r="BZ21" s="2" t="n">
        <v>0</v>
      </c>
      <c r="CA21" s="2" t="n">
        <v>14369.99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335.92</v>
      </c>
      <c r="L22" s="2" t="n">
        <v>27.96222962962963</v>
      </c>
      <c r="M22" s="2" t="n">
        <v>311.037037037037</v>
      </c>
      <c r="N22" s="2" t="n">
        <v>0</v>
      </c>
      <c r="O22" s="2" t="n">
        <v>326.47</v>
      </c>
      <c r="P22" s="2" t="n">
        <v>9.449999999999999</v>
      </c>
      <c r="Q22" s="2" t="n">
        <v>33</v>
      </c>
      <c r="R22" s="2" t="n">
        <v>2.291666666666667</v>
      </c>
      <c r="S22" s="2" t="n">
        <v>30.55555555555555</v>
      </c>
      <c r="T22" s="2" t="n">
        <v>0</v>
      </c>
      <c r="U22" s="2" t="n">
        <v>33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10.52</v>
      </c>
      <c r="AJ22" s="2" t="n">
        <v>0.7305555555555555</v>
      </c>
      <c r="AK22" s="2" t="n">
        <v>9.74074074074074</v>
      </c>
      <c r="AL22" s="2" t="n">
        <v>0</v>
      </c>
      <c r="AM22" s="2" t="n">
        <v>10.52</v>
      </c>
      <c r="AN22" s="2" t="n">
        <v>0</v>
      </c>
      <c r="AO22" s="2" t="n">
        <v>2134.62</v>
      </c>
      <c r="AP22" s="2" t="n">
        <v>3500</v>
      </c>
      <c r="AQ22" s="2" t="n">
        <v>1976.5</v>
      </c>
      <c r="AR22" s="2" t="n">
        <v>0</v>
      </c>
      <c r="AS22" s="2" t="n">
        <v>2018.35</v>
      </c>
      <c r="AT22" s="2" t="n">
        <v>116.27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2514.06</v>
      </c>
      <c r="BB22" s="2" t="n">
        <v>2514.06</v>
      </c>
      <c r="BC22" s="2">
        <f>F22+L22+R22+X22+AD22+AJ22+AP22+AV22+IF(BE22="",0,BE22)</f>
        <v/>
      </c>
      <c r="BD22" s="2" t="n">
        <v>38.716524</v>
      </c>
      <c r="BE22" s="2" t="n"/>
      <c r="BF22" s="2" t="n">
        <v>2327.833333333333</v>
      </c>
      <c r="BG22" s="2" t="n">
        <v>0</v>
      </c>
      <c r="BH22" s="2" t="n">
        <v>0</v>
      </c>
      <c r="BI22" s="2" t="n">
        <v>44995.2</v>
      </c>
      <c r="BJ22" s="2" t="n">
        <v>91.60226086956521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33.93980999999999</v>
      </c>
      <c r="BQ22" s="2" t="n">
        <v>0</v>
      </c>
      <c r="BR22" s="2" t="n">
        <v>45145.74207086956</v>
      </c>
      <c r="BS22" s="2" t="n">
        <v>857.2733043478261</v>
      </c>
      <c r="BT22" s="2" t="n">
        <v>0</v>
      </c>
      <c r="BU22" s="2" t="n">
        <v>9193.815113043478</v>
      </c>
      <c r="BV22" s="2" t="n">
        <v>10051.0884173913</v>
      </c>
      <c r="BW22" s="2" t="n">
        <v>55196.83048826086</v>
      </c>
      <c r="BX22" s="2" t="n">
        <v>2388.34</v>
      </c>
      <c r="BY22" s="2" t="n">
        <v>125.72</v>
      </c>
      <c r="BZ22" s="2" t="n">
        <v>0</v>
      </c>
      <c r="CA22" s="2" t="n">
        <v>2514.06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15.4</v>
      </c>
      <c r="F23" s="2" t="n">
        <v>0.9981481481481482</v>
      </c>
      <c r="G23" s="2" t="n">
        <v>14.25925925925926</v>
      </c>
      <c r="H23" s="2" t="n">
        <v>0</v>
      </c>
      <c r="I23" s="2" t="n">
        <v>15.4</v>
      </c>
      <c r="J23" s="2" t="n">
        <v>0</v>
      </c>
      <c r="K23" s="2" t="n">
        <v>12772.48</v>
      </c>
      <c r="L23" s="2" t="n">
        <v>1063.190696296296</v>
      </c>
      <c r="M23" s="2" t="n">
        <v>11826.37037037037</v>
      </c>
      <c r="N23" s="2" t="n">
        <v>0</v>
      </c>
      <c r="O23" s="2" t="n">
        <v>11640.41</v>
      </c>
      <c r="P23" s="2" t="n">
        <v>1132.07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20000.17</v>
      </c>
      <c r="AP23" s="2" t="n">
        <v>3500</v>
      </c>
      <c r="AQ23" s="2" t="n">
        <v>18518.67592592593</v>
      </c>
      <c r="AR23" s="2" t="n">
        <v>0</v>
      </c>
      <c r="AS23" s="2" t="n">
        <v>19098.54</v>
      </c>
      <c r="AT23" s="2" t="n">
        <v>901.63</v>
      </c>
      <c r="AU23" s="2" t="n">
        <v>11750.15</v>
      </c>
      <c r="AV23" s="2" t="n">
        <v>935.6600925925925</v>
      </c>
      <c r="AW23" s="2" t="n">
        <v>10879.76851851852</v>
      </c>
      <c r="AX23" s="2" t="n">
        <v>0</v>
      </c>
      <c r="AY23" s="2" t="n">
        <v>11184.05</v>
      </c>
      <c r="AZ23" s="2" t="n">
        <v>566.1</v>
      </c>
      <c r="BA23" s="2" t="n">
        <v>44538.2</v>
      </c>
      <c r="BB23" s="2" t="n">
        <v>44538.2</v>
      </c>
      <c r="BC23" s="2">
        <f>F23+L23+R23+X23+AD23+AJ23+AP23+AV23+IF(BE23="",0,BE23)</f>
        <v/>
      </c>
      <c r="BD23" s="2" t="n">
        <v>685.88828</v>
      </c>
      <c r="BE23" s="2" t="n"/>
      <c r="BF23" s="2" t="n">
        <v>41239.07407407407</v>
      </c>
      <c r="BG23" s="2" t="n">
        <v>0</v>
      </c>
      <c r="BH23" s="2" t="n">
        <v>0</v>
      </c>
      <c r="BI23" s="2" t="n">
        <v>44995.2</v>
      </c>
      <c r="BJ23" s="2" t="n">
        <v>91.60226086956521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601.2656999999999</v>
      </c>
      <c r="BQ23" s="2" t="n">
        <v>0</v>
      </c>
      <c r="BR23" s="2" t="n">
        <v>45713.06796086956</v>
      </c>
      <c r="BS23" s="2" t="n">
        <v>857.2733043478261</v>
      </c>
      <c r="BT23" s="2" t="n">
        <v>0</v>
      </c>
      <c r="BU23" s="2" t="n">
        <v>9193.815113043478</v>
      </c>
      <c r="BV23" s="2" t="n">
        <v>10051.0884173913</v>
      </c>
      <c r="BW23" s="2" t="n">
        <v>55764.15637826087</v>
      </c>
      <c r="BX23" s="2" t="n">
        <v>41938.39999999999</v>
      </c>
      <c r="BY23" s="2" t="n">
        <v>2599.8</v>
      </c>
      <c r="BZ23" s="2" t="n">
        <v>0</v>
      </c>
      <c r="CA23" s="2" t="n">
        <v>44538.2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8115.3</v>
      </c>
      <c r="L24" s="2" t="n">
        <v>675.5235833333334</v>
      </c>
      <c r="M24" s="2" t="n">
        <v>7514.166666666666</v>
      </c>
      <c r="N24" s="2" t="n">
        <v>0</v>
      </c>
      <c r="O24" s="2" t="n">
        <v>7660</v>
      </c>
      <c r="P24" s="2" t="n">
        <v>455.3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3346</v>
      </c>
      <c r="AJ24" s="2" t="n">
        <v>232.3611111111111</v>
      </c>
      <c r="AK24" s="2" t="n">
        <v>3098.148148148148</v>
      </c>
      <c r="AL24" s="2" t="n">
        <v>0</v>
      </c>
      <c r="AM24" s="2" t="n">
        <v>3003.19</v>
      </c>
      <c r="AN24" s="2" t="n">
        <v>342.81</v>
      </c>
      <c r="AO24" s="2" t="n">
        <v>2067.31</v>
      </c>
      <c r="AP24" s="2" t="n">
        <v>4200</v>
      </c>
      <c r="AQ24" s="2" t="n">
        <v>1914.175925925926</v>
      </c>
      <c r="AR24" s="2" t="n">
        <v>0</v>
      </c>
      <c r="AS24" s="2" t="n">
        <v>1677.81</v>
      </c>
      <c r="AT24" s="2" t="n">
        <v>389.5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13528.61</v>
      </c>
      <c r="BB24" s="2" t="n">
        <v>13528.61</v>
      </c>
      <c r="BC24" s="2">
        <f>F24+L24+R24+X24+AD24+AJ24+AP24+AV24+IF(BE24="",0,BE24)</f>
        <v/>
      </c>
      <c r="BD24" s="2" t="n">
        <v>208.340594</v>
      </c>
      <c r="BE24" s="2" t="n"/>
      <c r="BF24" s="2" t="n">
        <v>12526.49074074074</v>
      </c>
      <c r="BG24" s="2" t="n">
        <v>0</v>
      </c>
      <c r="BH24" s="2" t="n">
        <v>0</v>
      </c>
      <c r="BI24" s="2" t="n">
        <v>44995.2</v>
      </c>
      <c r="BJ24" s="2" t="n">
        <v>91.60226086956521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182.636235</v>
      </c>
      <c r="BQ24" s="2" t="n">
        <v>0</v>
      </c>
      <c r="BR24" s="2" t="n">
        <v>45294.43849586956</v>
      </c>
      <c r="BS24" s="2" t="n">
        <v>857.2733043478261</v>
      </c>
      <c r="BT24" s="2" t="n">
        <v>0</v>
      </c>
      <c r="BU24" s="2" t="n">
        <v>9193.815113043478</v>
      </c>
      <c r="BV24" s="2" t="n">
        <v>10051.0884173913</v>
      </c>
      <c r="BW24" s="2" t="n">
        <v>55345.52691326087</v>
      </c>
      <c r="BX24" s="2" t="n">
        <v>12341</v>
      </c>
      <c r="BY24" s="2" t="n">
        <v>1187.61</v>
      </c>
      <c r="BZ24" s="2" t="n">
        <v>0</v>
      </c>
      <c r="CA24" s="2" t="n">
        <v>13528.61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52109.54</v>
      </c>
      <c r="L25" s="2" t="n">
        <v>4337.63670925926</v>
      </c>
      <c r="M25" s="2" t="n">
        <v>48249.57407407407</v>
      </c>
      <c r="N25" s="2" t="n">
        <v>0</v>
      </c>
      <c r="O25" s="2" t="n">
        <v>49614.61</v>
      </c>
      <c r="P25" s="2" t="n">
        <v>2494.93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1686.42</v>
      </c>
      <c r="AJ25" s="2" t="n">
        <v>117.1125</v>
      </c>
      <c r="AK25" s="2" t="n">
        <v>1561.5</v>
      </c>
      <c r="AL25" s="2" t="n">
        <v>0</v>
      </c>
      <c r="AM25" s="2" t="n">
        <v>1302.26</v>
      </c>
      <c r="AN25" s="2" t="n">
        <v>384.16</v>
      </c>
      <c r="AO25" s="2" t="n">
        <v>2961.67</v>
      </c>
      <c r="AP25" s="2" t="n">
        <v>216.6406759259259</v>
      </c>
      <c r="AQ25" s="2" t="n">
        <v>2742.287037037037</v>
      </c>
      <c r="AR25" s="2" t="n">
        <v>0</v>
      </c>
      <c r="AS25" s="2" t="n">
        <v>2721.03</v>
      </c>
      <c r="AT25" s="2" t="n">
        <v>240.64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56757.63</v>
      </c>
      <c r="BB25" s="2" t="n">
        <v>56757.63</v>
      </c>
      <c r="BC25" s="2">
        <f>F25+L25+R25+X25+AD25+AJ25+AP25+AV25+IF(BE25="",0,BE25)</f>
        <v/>
      </c>
      <c r="BD25" s="2" t="n">
        <v>874.0675020000001</v>
      </c>
      <c r="BE25" s="2" t="n"/>
      <c r="BF25" s="2" t="n">
        <v>52553.36111111111</v>
      </c>
      <c r="BG25" s="2" t="n">
        <v>0</v>
      </c>
      <c r="BH25" s="2" t="n">
        <v>0</v>
      </c>
      <c r="BI25" s="2" t="n">
        <v>44995.2</v>
      </c>
      <c r="BJ25" s="2" t="n">
        <v>91.60226086956521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766.2280049999999</v>
      </c>
      <c r="BQ25" s="2" t="n">
        <v>0</v>
      </c>
      <c r="BR25" s="2" t="n">
        <v>45878.03026586956</v>
      </c>
      <c r="BS25" s="2" t="n">
        <v>857.2733043478261</v>
      </c>
      <c r="BT25" s="2" t="n">
        <v>0</v>
      </c>
      <c r="BU25" s="2" t="n">
        <v>9193.815113043478</v>
      </c>
      <c r="BV25" s="2" t="n">
        <v>10051.0884173913</v>
      </c>
      <c r="BW25" s="2" t="n">
        <v>55929.11868326087</v>
      </c>
      <c r="BX25" s="2" t="n">
        <v>53637.9</v>
      </c>
      <c r="BY25" s="2" t="n">
        <v>3119.73</v>
      </c>
      <c r="BZ25" s="2" t="n">
        <v>0</v>
      </c>
      <c r="CA25" s="2" t="n">
        <v>56757.63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34841.08</v>
      </c>
      <c r="L26" s="2" t="n">
        <v>2900.197307407408</v>
      </c>
      <c r="M26" s="2" t="n">
        <v>32260.25925925926</v>
      </c>
      <c r="N26" s="2" t="n">
        <v>0</v>
      </c>
      <c r="O26" s="2" t="n">
        <v>31908.66</v>
      </c>
      <c r="P26" s="2" t="n">
        <v>2932.42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637.14</v>
      </c>
      <c r="AJ26" s="2" t="n">
        <v>44.24583333333332</v>
      </c>
      <c r="AK26" s="2" t="n">
        <v>589.9444444444443</v>
      </c>
      <c r="AL26" s="2" t="n">
        <v>0</v>
      </c>
      <c r="AM26" s="2" t="n">
        <v>421.14</v>
      </c>
      <c r="AN26" s="2" t="n">
        <v>216</v>
      </c>
      <c r="AO26" s="2" t="n">
        <v>1825.3</v>
      </c>
      <c r="AP26" s="2" t="n">
        <v>133.5173148148148</v>
      </c>
      <c r="AQ26" s="2" t="n">
        <v>1690.092592592592</v>
      </c>
      <c r="AR26" s="2" t="n">
        <v>0</v>
      </c>
      <c r="AS26" s="2" t="n">
        <v>1690</v>
      </c>
      <c r="AT26" s="2" t="n">
        <v>135.3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37303.52</v>
      </c>
      <c r="BB26" s="2" t="n">
        <v>37303.52</v>
      </c>
      <c r="BC26" s="2">
        <f>F26+L26+R26+X26+AD26+AJ26+AP26+AV26+IF(BE26="",0,BE26)</f>
        <v/>
      </c>
      <c r="BD26" s="2" t="n">
        <v>574.474208</v>
      </c>
      <c r="BE26" s="2" t="n"/>
      <c r="BF26" s="2" t="n">
        <v>34540.29629629629</v>
      </c>
      <c r="BG26" s="2" t="n">
        <v>0</v>
      </c>
      <c r="BH26" s="2" t="n">
        <v>0</v>
      </c>
      <c r="BI26" s="2" t="n">
        <v>44995.2</v>
      </c>
      <c r="BJ26" s="2" t="n">
        <v>91.60226086956521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503.59752</v>
      </c>
      <c r="BQ26" s="2" t="n">
        <v>0</v>
      </c>
      <c r="BR26" s="2" t="n">
        <v>45615.39978086956</v>
      </c>
      <c r="BS26" s="2" t="n">
        <v>857.2733043478261</v>
      </c>
      <c r="BT26" s="2" t="n">
        <v>0</v>
      </c>
      <c r="BU26" s="2" t="n">
        <v>9193.815113043478</v>
      </c>
      <c r="BV26" s="2" t="n">
        <v>10051.0884173913</v>
      </c>
      <c r="BW26" s="2" t="n">
        <v>55666.48819826086</v>
      </c>
      <c r="BX26" s="2" t="n">
        <v>34019.8</v>
      </c>
      <c r="BY26" s="2" t="n">
        <v>3283.72</v>
      </c>
      <c r="BZ26" s="2" t="n">
        <v>0</v>
      </c>
      <c r="CA26" s="2" t="n">
        <v>37303.52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4762.94</v>
      </c>
      <c r="L27" s="2" t="n">
        <v>396.4706537037036</v>
      </c>
      <c r="M27" s="2" t="n">
        <v>4410.129629629629</v>
      </c>
      <c r="N27" s="2" t="n">
        <v>0</v>
      </c>
      <c r="O27" s="2" t="n">
        <v>3805.41</v>
      </c>
      <c r="P27" s="2" t="n">
        <v>957.53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375.62</v>
      </c>
      <c r="AD27" s="2" t="n">
        <v>23.99794444444445</v>
      </c>
      <c r="AE27" s="2" t="n">
        <v>347.7962962962963</v>
      </c>
      <c r="AF27" s="2" t="n">
        <v>0</v>
      </c>
      <c r="AG27" s="2" t="n">
        <v>319.82</v>
      </c>
      <c r="AH27" s="2" t="n">
        <v>55.8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4626.87</v>
      </c>
      <c r="AP27" s="2" t="n">
        <v>338.4469722222222</v>
      </c>
      <c r="AQ27" s="2" t="n">
        <v>4284.138888888889</v>
      </c>
      <c r="AR27" s="2" t="n">
        <v>0</v>
      </c>
      <c r="AS27" s="2" t="n">
        <v>3984.14</v>
      </c>
      <c r="AT27" s="2" t="n">
        <v>642.73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9765.43</v>
      </c>
      <c r="BB27" s="2" t="n">
        <v>9765.43</v>
      </c>
      <c r="BC27" s="2">
        <f>F27+L27+R27+X27+AD27+AJ27+AP27+AV27+IF(BE27="",0,BE27)</f>
        <v/>
      </c>
      <c r="BD27" s="2" t="n">
        <v>150.387622</v>
      </c>
      <c r="BE27" s="2" t="n"/>
      <c r="BF27" s="2" t="n">
        <v>9042.064814814814</v>
      </c>
      <c r="BG27" s="2" t="n">
        <v>518</v>
      </c>
      <c r="BH27" s="2" t="n">
        <v>332</v>
      </c>
      <c r="BI27" s="2" t="n">
        <v>44995.2</v>
      </c>
      <c r="BJ27" s="2" t="n">
        <v>91.60226086956521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131.833305</v>
      </c>
      <c r="BQ27" s="2" t="n">
        <v>0</v>
      </c>
      <c r="BR27" s="2" t="n">
        <v>46093.63556586956</v>
      </c>
      <c r="BS27" s="2" t="n">
        <v>857.2733043478261</v>
      </c>
      <c r="BT27" s="2" t="n">
        <v>0</v>
      </c>
      <c r="BU27" s="2" t="n">
        <v>9363.815113043478</v>
      </c>
      <c r="BV27" s="2" t="n">
        <v>10221.0884173913</v>
      </c>
      <c r="BW27" s="2" t="n">
        <v>56314.72398326086</v>
      </c>
      <c r="BX27" s="2" t="n">
        <v>8109.369999999999</v>
      </c>
      <c r="BY27" s="2" t="n">
        <v>1656.06</v>
      </c>
      <c r="BZ27" s="2" t="n">
        <v>0</v>
      </c>
      <c r="CA27" s="2" t="n">
        <v>9765.429999999998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1260.79</v>
      </c>
      <c r="L28" s="2" t="n">
        <v>104.9490935185185</v>
      </c>
      <c r="M28" s="2" t="n">
        <v>1167.398148148148</v>
      </c>
      <c r="N28" s="2" t="n">
        <v>0</v>
      </c>
      <c r="O28" s="2" t="n">
        <v>1227.4</v>
      </c>
      <c r="P28" s="2" t="n">
        <v>33.39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8849.580000000002</v>
      </c>
      <c r="AD28" s="2" t="n">
        <v>565.3898333333334</v>
      </c>
      <c r="AE28" s="2" t="n">
        <v>8194.055555555557</v>
      </c>
      <c r="AF28" s="2" t="n">
        <v>0</v>
      </c>
      <c r="AG28" s="2" t="n">
        <v>8232.870000000001</v>
      </c>
      <c r="AH28" s="2" t="n">
        <v>616.71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55.7</v>
      </c>
      <c r="AP28" s="2" t="n">
        <v>4.074351851851852</v>
      </c>
      <c r="AQ28" s="2" t="n">
        <v>51.57407407407408</v>
      </c>
      <c r="AR28" s="2" t="n">
        <v>0</v>
      </c>
      <c r="AS28" s="2" t="n">
        <v>55.7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10166.07</v>
      </c>
      <c r="BB28" s="2" t="n">
        <v>10166.07</v>
      </c>
      <c r="BC28" s="2">
        <f>F28+L28+R28+X28+AD28+AJ28+AP28+AV28+IF(BE28="",0,BE28)</f>
        <v/>
      </c>
      <c r="BD28" s="2" t="n">
        <v>156.557478</v>
      </c>
      <c r="BE28" s="2" t="n"/>
      <c r="BF28" s="2" t="n">
        <v>9413.027777777779</v>
      </c>
      <c r="BG28" s="2" t="n">
        <v>400</v>
      </c>
      <c r="BH28" s="2" t="n">
        <v>243.8</v>
      </c>
      <c r="BI28" s="2" t="n">
        <v>44995.2</v>
      </c>
      <c r="BJ28" s="2" t="n">
        <v>91.60226086956521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137.241945</v>
      </c>
      <c r="BQ28" s="2" t="n">
        <v>0</v>
      </c>
      <c r="BR28" s="2" t="n">
        <v>45892.84420586957</v>
      </c>
      <c r="BS28" s="2" t="n">
        <v>857.2733043478261</v>
      </c>
      <c r="BT28" s="2" t="n">
        <v>0</v>
      </c>
      <c r="BU28" s="2" t="n">
        <v>9322.575113043478</v>
      </c>
      <c r="BV28" s="2" t="n">
        <v>10179.8484173913</v>
      </c>
      <c r="BW28" s="2" t="n">
        <v>56072.69262326087</v>
      </c>
      <c r="BX28" s="2" t="n">
        <v>9515.970000000001</v>
      </c>
      <c r="BY28" s="2" t="n">
        <v>650.1</v>
      </c>
      <c r="BZ28" s="2" t="n">
        <v>0</v>
      </c>
      <c r="CA28" s="2" t="n">
        <v>10166.07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2381.38</v>
      </c>
      <c r="L29" s="2" t="n">
        <v>198.2278351851852</v>
      </c>
      <c r="M29" s="2" t="n">
        <v>2204.981481481481</v>
      </c>
      <c r="N29" s="2" t="n">
        <v>0</v>
      </c>
      <c r="O29" s="2" t="n">
        <v>2146.6</v>
      </c>
      <c r="P29" s="2" t="n">
        <v>234.78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5195.1</v>
      </c>
      <c r="AD29" s="2" t="n">
        <v>331.9091666666667</v>
      </c>
      <c r="AE29" s="2" t="n">
        <v>4810.277777777777</v>
      </c>
      <c r="AF29" s="2" t="n">
        <v>0</v>
      </c>
      <c r="AG29" s="2" t="n">
        <v>4433.6</v>
      </c>
      <c r="AH29" s="2" t="n">
        <v>761.5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1489.21</v>
      </c>
      <c r="AP29" s="2" t="n">
        <v>108.9329537037037</v>
      </c>
      <c r="AQ29" s="2" t="n">
        <v>1378.898148148148</v>
      </c>
      <c r="AR29" s="2" t="n">
        <v>0</v>
      </c>
      <c r="AS29" s="2" t="n">
        <v>1230.53</v>
      </c>
      <c r="AT29" s="2" t="n">
        <v>258.68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9065.690000000001</v>
      </c>
      <c r="BB29" s="2" t="n">
        <v>9065.690000000001</v>
      </c>
      <c r="BC29" s="2">
        <f>F29+L29+R29+X29+AD29+AJ29+AP29+AV29+IF(BE29="",0,BE29)</f>
        <v/>
      </c>
      <c r="BD29" s="2" t="n">
        <v>139.611626</v>
      </c>
      <c r="BE29" s="2" t="n"/>
      <c r="BF29" s="2" t="n">
        <v>8394.157407407407</v>
      </c>
      <c r="BG29" s="2" t="n">
        <v>362.68</v>
      </c>
      <c r="BH29" s="2" t="n">
        <v>246</v>
      </c>
      <c r="BI29" s="2" t="n">
        <v>44995.2</v>
      </c>
      <c r="BJ29" s="2" t="n">
        <v>91.60226086956521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122.386815</v>
      </c>
      <c r="BQ29" s="2" t="n">
        <v>0</v>
      </c>
      <c r="BR29" s="2" t="n">
        <v>45842.86907586956</v>
      </c>
      <c r="BS29" s="2" t="n">
        <v>857.2733043478261</v>
      </c>
      <c r="BT29" s="2" t="n">
        <v>0</v>
      </c>
      <c r="BU29" s="2" t="n">
        <v>9315.551113043479</v>
      </c>
      <c r="BV29" s="2" t="n">
        <v>10172.8244173913</v>
      </c>
      <c r="BW29" s="2" t="n">
        <v>56015.69349326086</v>
      </c>
      <c r="BX29" s="2" t="n">
        <v>7810.73</v>
      </c>
      <c r="BY29" s="2" t="n">
        <v>1254.96</v>
      </c>
      <c r="BZ29" s="2" t="n">
        <v>0</v>
      </c>
      <c r="CA29" s="2" t="n">
        <v>9065.690000000001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3784.55</v>
      </c>
      <c r="L30" s="2" t="n">
        <v>315.0287453703704</v>
      </c>
      <c r="M30" s="2" t="n">
        <v>3504.212962962963</v>
      </c>
      <c r="N30" s="2" t="n">
        <v>0</v>
      </c>
      <c r="O30" s="2" t="n">
        <v>3287.78</v>
      </c>
      <c r="P30" s="2" t="n">
        <v>496.77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4503.99</v>
      </c>
      <c r="AD30" s="2" t="n">
        <v>287.7549166666666</v>
      </c>
      <c r="AE30" s="2" t="n">
        <v>4170.36111111111</v>
      </c>
      <c r="AF30" s="2" t="n">
        <v>0</v>
      </c>
      <c r="AG30" s="2" t="n">
        <v>3852.36</v>
      </c>
      <c r="AH30" s="2" t="n">
        <v>651.63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1979.75</v>
      </c>
      <c r="AP30" s="2" t="n">
        <v>144.8150462962963</v>
      </c>
      <c r="AQ30" s="2" t="n">
        <v>1833.101851851852</v>
      </c>
      <c r="AR30" s="2" t="n">
        <v>0</v>
      </c>
      <c r="AS30" s="2" t="n">
        <v>1889.67</v>
      </c>
      <c r="AT30" s="2" t="n">
        <v>90.08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10268.29</v>
      </c>
      <c r="BB30" s="2" t="n">
        <v>10268.29</v>
      </c>
      <c r="BC30" s="2">
        <f>F30+L30+R30+X30+AD30+AJ30+AP30+AV30+IF(BE30="",0,BE30)</f>
        <v/>
      </c>
      <c r="BD30" s="2" t="n">
        <v>158.131666</v>
      </c>
      <c r="BE30" s="2" t="n"/>
      <c r="BF30" s="2" t="n">
        <v>9507.675925925925</v>
      </c>
      <c r="BG30" s="2" t="n">
        <v>300</v>
      </c>
      <c r="BH30" s="2" t="n">
        <v>340.5</v>
      </c>
      <c r="BI30" s="2" t="n">
        <v>44995.2</v>
      </c>
      <c r="BJ30" s="2" t="n">
        <v>91.60226086956521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138.621915</v>
      </c>
      <c r="BQ30" s="2" t="n">
        <v>0</v>
      </c>
      <c r="BR30" s="2" t="n">
        <v>45890.92417586956</v>
      </c>
      <c r="BS30" s="2" t="n">
        <v>857.2733043478261</v>
      </c>
      <c r="BT30" s="2" t="n">
        <v>0</v>
      </c>
      <c r="BU30" s="2" t="n">
        <v>9321.915113043478</v>
      </c>
      <c r="BV30" s="2" t="n">
        <v>10179.1884173913</v>
      </c>
      <c r="BW30" s="2" t="n">
        <v>56070.11259326087</v>
      </c>
      <c r="BX30" s="2" t="n">
        <v>9029.810000000001</v>
      </c>
      <c r="BY30" s="2" t="n">
        <v>1238.48</v>
      </c>
      <c r="BZ30" s="2" t="n">
        <v>0</v>
      </c>
      <c r="CA30" s="2" t="n">
        <v>10268.29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2697.22</v>
      </c>
      <c r="L31" s="2" t="n">
        <v>224.5185907407408</v>
      </c>
      <c r="M31" s="2" t="n">
        <v>2497.425925925926</v>
      </c>
      <c r="N31" s="2" t="n">
        <v>0</v>
      </c>
      <c r="O31" s="2" t="n">
        <v>2304.01</v>
      </c>
      <c r="P31" s="2" t="n">
        <v>393.21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315</v>
      </c>
      <c r="AD31" s="2" t="n">
        <v>20.125</v>
      </c>
      <c r="AE31" s="2" t="n">
        <v>291.6666666666666</v>
      </c>
      <c r="AF31" s="2" t="n">
        <v>0</v>
      </c>
      <c r="AG31" s="2" t="n">
        <v>272.04</v>
      </c>
      <c r="AH31" s="2" t="n">
        <v>42.96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2034.03</v>
      </c>
      <c r="AP31" s="2" t="n">
        <v>148.7855277777778</v>
      </c>
      <c r="AQ31" s="2" t="n">
        <v>1883.361111111111</v>
      </c>
      <c r="AR31" s="2" t="n">
        <v>0</v>
      </c>
      <c r="AS31" s="2" t="n">
        <v>1848.89</v>
      </c>
      <c r="AT31" s="2" t="n">
        <v>185.14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5046.25</v>
      </c>
      <c r="BB31" s="2" t="n">
        <v>5046.25</v>
      </c>
      <c r="BC31" s="2">
        <f>F31+L31+R31+X31+AD31+AJ31+AP31+AV31+IF(BE31="",0,BE31)</f>
        <v/>
      </c>
      <c r="BD31" s="2" t="n">
        <v>77.71225000000001</v>
      </c>
      <c r="BE31" s="2" t="n"/>
      <c r="BF31" s="2" t="n">
        <v>4672.453703703703</v>
      </c>
      <c r="BG31" s="2" t="n">
        <v>250</v>
      </c>
      <c r="BH31" s="2" t="n">
        <v>182.45</v>
      </c>
      <c r="BI31" s="2" t="n">
        <v>44995.2</v>
      </c>
      <c r="BJ31" s="2" t="n">
        <v>91.60226086956521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68.12437500000001</v>
      </c>
      <c r="BQ31" s="2" t="n">
        <v>0</v>
      </c>
      <c r="BR31" s="2" t="n">
        <v>45612.37663586956</v>
      </c>
      <c r="BS31" s="2" t="n">
        <v>857.2733043478261</v>
      </c>
      <c r="BT31" s="2" t="n">
        <v>0</v>
      </c>
      <c r="BU31" s="2" t="n">
        <v>9280.30511304348</v>
      </c>
      <c r="BV31" s="2" t="n">
        <v>10137.57841739131</v>
      </c>
      <c r="BW31" s="2" t="n">
        <v>55749.95505326086</v>
      </c>
      <c r="BX31" s="2" t="n">
        <v>4424.940000000001</v>
      </c>
      <c r="BY31" s="2" t="n">
        <v>621.3099999999999</v>
      </c>
      <c r="BZ31" s="2" t="n">
        <v>0</v>
      </c>
      <c r="CA31" s="2" t="n">
        <v>5046.25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3411.15</v>
      </c>
      <c r="AD32" s="2" t="n">
        <v>217.9345833333333</v>
      </c>
      <c r="AE32" s="2" t="n">
        <v>3158.472222222222</v>
      </c>
      <c r="AF32" s="2" t="n">
        <v>0</v>
      </c>
      <c r="AG32" s="2" t="n">
        <v>2882.51</v>
      </c>
      <c r="AH32" s="2" t="n">
        <v>528.64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720.54</v>
      </c>
      <c r="AP32" s="2" t="n">
        <v>52.70616666666666</v>
      </c>
      <c r="AQ32" s="2" t="n">
        <v>667.1666666666666</v>
      </c>
      <c r="AR32" s="2" t="n">
        <v>0</v>
      </c>
      <c r="AS32" s="2" t="n">
        <v>675.54</v>
      </c>
      <c r="AT32" s="2" t="n">
        <v>45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4131.690000000001</v>
      </c>
      <c r="BB32" s="2" t="n">
        <v>4131.690000000001</v>
      </c>
      <c r="BC32" s="2">
        <f>F32+L32+R32+X32+AD32+AJ32+AP32+AV32+IF(BE32="",0,BE32)</f>
        <v/>
      </c>
      <c r="BD32" s="2" t="n">
        <v>63.62802600000001</v>
      </c>
      <c r="BE32" s="2" t="n"/>
      <c r="BF32" s="2" t="n">
        <v>3825.638888888889</v>
      </c>
      <c r="BG32" s="2" t="n">
        <v>0</v>
      </c>
      <c r="BH32" s="2" t="n">
        <v>0</v>
      </c>
      <c r="BI32" s="2" t="n">
        <v>44995.2</v>
      </c>
      <c r="BJ32" s="2" t="n">
        <v>91.60226086956521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55.777815</v>
      </c>
      <c r="BQ32" s="2" t="n">
        <v>0</v>
      </c>
      <c r="BR32" s="2" t="n">
        <v>45167.58007586956</v>
      </c>
      <c r="BS32" s="2" t="n">
        <v>857.2733043478261</v>
      </c>
      <c r="BT32" s="2" t="n">
        <v>0</v>
      </c>
      <c r="BU32" s="2" t="n">
        <v>9193.815113043478</v>
      </c>
      <c r="BV32" s="2" t="n">
        <v>10051.0884173913</v>
      </c>
      <c r="BW32" s="2" t="n">
        <v>55218.66849326086</v>
      </c>
      <c r="BX32" s="2" t="n">
        <v>3558.05</v>
      </c>
      <c r="BY32" s="2" t="n">
        <v>573.64</v>
      </c>
      <c r="BZ32" s="2" t="n">
        <v>0</v>
      </c>
      <c r="CA32" s="2" t="n">
        <v>4131.690000000001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3379.7</v>
      </c>
      <c r="L33" s="2" t="n">
        <v>281.3287314814815</v>
      </c>
      <c r="M33" s="2" t="n">
        <v>3129.351851851852</v>
      </c>
      <c r="N33" s="2" t="n">
        <v>0</v>
      </c>
      <c r="O33" s="2" t="n">
        <v>2747.51</v>
      </c>
      <c r="P33" s="2" t="n">
        <v>632.1900000000001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2425.54</v>
      </c>
      <c r="AD33" s="2" t="n">
        <v>154.9650555555556</v>
      </c>
      <c r="AE33" s="2" t="n">
        <v>2245.87037037037</v>
      </c>
      <c r="AF33" s="2" t="n">
        <v>0</v>
      </c>
      <c r="AG33" s="2" t="n">
        <v>2291.56</v>
      </c>
      <c r="AH33" s="2" t="n">
        <v>133.98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3322.25</v>
      </c>
      <c r="AP33" s="2" t="n">
        <v>243.0164351851852</v>
      </c>
      <c r="AQ33" s="2" t="n">
        <v>3076.157407407407</v>
      </c>
      <c r="AR33" s="2" t="n">
        <v>0</v>
      </c>
      <c r="AS33" s="2" t="n">
        <v>2907.8</v>
      </c>
      <c r="AT33" s="2" t="n">
        <v>414.45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9127.49</v>
      </c>
      <c r="BB33" s="2" t="n">
        <v>9127.49</v>
      </c>
      <c r="BC33" s="2">
        <f>F33+L33+R33+X33+AD33+AJ33+AP33+AV33+IF(BE33="",0,BE33)</f>
        <v/>
      </c>
      <c r="BD33" s="2" t="n">
        <v>140.563346</v>
      </c>
      <c r="BE33" s="2" t="n"/>
      <c r="BF33" s="2" t="n">
        <v>8451.37962962963</v>
      </c>
      <c r="BG33" s="2" t="n">
        <v>300</v>
      </c>
      <c r="BH33" s="2" t="n">
        <v>225</v>
      </c>
      <c r="BI33" s="2" t="n">
        <v>44995.2</v>
      </c>
      <c r="BJ33" s="2" t="n">
        <v>91.60226086956521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123.221115</v>
      </c>
      <c r="BQ33" s="2" t="n">
        <v>0</v>
      </c>
      <c r="BR33" s="2" t="n">
        <v>45760.02337586956</v>
      </c>
      <c r="BS33" s="2" t="n">
        <v>857.2733043478261</v>
      </c>
      <c r="BT33" s="2" t="n">
        <v>0</v>
      </c>
      <c r="BU33" s="2" t="n">
        <v>9298.815113043478</v>
      </c>
      <c r="BV33" s="2" t="n">
        <v>10156.0884173913</v>
      </c>
      <c r="BW33" s="2" t="n">
        <v>55916.11179326086</v>
      </c>
      <c r="BX33" s="2" t="n">
        <v>7946.87</v>
      </c>
      <c r="BY33" s="2" t="n">
        <v>1180.62</v>
      </c>
      <c r="BZ33" s="2" t="n">
        <v>0</v>
      </c>
      <c r="CA33" s="2" t="n">
        <v>9127.49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9291.17</v>
      </c>
      <c r="L34" s="2" t="n">
        <v>773.4038731481481</v>
      </c>
      <c r="M34" s="2" t="n">
        <v>8602.935185185184</v>
      </c>
      <c r="N34" s="2" t="n">
        <v>0</v>
      </c>
      <c r="O34" s="2" t="n">
        <v>8014.56</v>
      </c>
      <c r="P34" s="2" t="n">
        <v>1276.61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11168.77</v>
      </c>
      <c r="AP34" s="2" t="n">
        <v>816.9748425925925</v>
      </c>
      <c r="AQ34" s="2" t="n">
        <v>10341.4537037037</v>
      </c>
      <c r="AR34" s="2" t="n">
        <v>0</v>
      </c>
      <c r="AS34" s="2" t="n">
        <v>10459.68</v>
      </c>
      <c r="AT34" s="2" t="n">
        <v>709.09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20459.94</v>
      </c>
      <c r="BB34" s="2" t="n">
        <v>20459.94</v>
      </c>
      <c r="BC34" s="2">
        <f>F34+L34+R34+X34+AD34+AJ34+AP34+AV34+IF(BE34="",0,BE34)</f>
        <v/>
      </c>
      <c r="BD34" s="2" t="n">
        <v>315.083076</v>
      </c>
      <c r="BE34" s="2" t="n"/>
      <c r="BF34" s="2" t="n">
        <v>18944.38888888889</v>
      </c>
      <c r="BG34" s="2" t="n">
        <v>0</v>
      </c>
      <c r="BH34" s="2" t="n">
        <v>0</v>
      </c>
      <c r="BI34" s="2" t="n">
        <v>44995.2</v>
      </c>
      <c r="BJ34" s="2" t="n">
        <v>91.60226086956521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276.20919</v>
      </c>
      <c r="BQ34" s="2" t="n">
        <v>0</v>
      </c>
      <c r="BR34" s="2" t="n">
        <v>45388.01145086956</v>
      </c>
      <c r="BS34" s="2" t="n">
        <v>857.2733043478261</v>
      </c>
      <c r="BT34" s="2" t="n">
        <v>0</v>
      </c>
      <c r="BU34" s="2" t="n">
        <v>9193.815113043478</v>
      </c>
      <c r="BV34" s="2" t="n">
        <v>10051.0884173913</v>
      </c>
      <c r="BW34" s="2" t="n">
        <v>55439.09986826086</v>
      </c>
      <c r="BX34" s="2" t="n">
        <v>18474.24</v>
      </c>
      <c r="BY34" s="2" t="n">
        <v>1985.7</v>
      </c>
      <c r="BZ34" s="2" t="n">
        <v>0</v>
      </c>
      <c r="CA34" s="2" t="n">
        <v>20459.94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1203</v>
      </c>
      <c r="B35" t="inlineStr">
        <is>
          <t>Piłsudskiego 105, 50-085 Wrocław</t>
        </is>
      </c>
      <c r="C35" t="inlineStr">
        <is>
          <t>Wrocław Główny</t>
        </is>
      </c>
      <c r="D35" t="inlineStr">
        <is>
          <t>FAA2000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38555.34</v>
      </c>
      <c r="L35" s="2" t="n">
        <v>3209.375061111111</v>
      </c>
      <c r="M35" s="2" t="n">
        <v>35699.38888888888</v>
      </c>
      <c r="N35" s="2" t="n">
        <v>6663.62</v>
      </c>
      <c r="O35" s="2" t="n">
        <v>29641.19</v>
      </c>
      <c r="P35" s="2" t="n">
        <v>2250.53</v>
      </c>
      <c r="Q35" s="2" t="n">
        <v>36514.77</v>
      </c>
      <c r="R35" s="2" t="n">
        <v>1600</v>
      </c>
      <c r="S35" s="2" t="n">
        <v>33809.97222222222</v>
      </c>
      <c r="T35" s="2" t="n">
        <v>6886.88</v>
      </c>
      <c r="U35" s="2" t="n">
        <v>27758.62</v>
      </c>
      <c r="V35" s="2" t="n">
        <v>1869.27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18398.8</v>
      </c>
      <c r="AP35" s="2" t="n">
        <v>1345.838148148148</v>
      </c>
      <c r="AQ35" s="2" t="n">
        <v>17035.92592592592</v>
      </c>
      <c r="AR35" s="2" t="n">
        <v>2813.03</v>
      </c>
      <c r="AS35" s="2" t="n">
        <v>14680.88</v>
      </c>
      <c r="AT35" s="2" t="n">
        <v>904.89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93468.90999999999</v>
      </c>
      <c r="BB35" s="2" t="n">
        <v>77105.38</v>
      </c>
      <c r="BC35" s="2">
        <f>F35+L35+R35+X35+AD35+AJ35+AP35+AV35+IF(BE35="",0,BE35)</f>
        <v/>
      </c>
      <c r="BD35" s="2" t="n">
        <v>1187.422852</v>
      </c>
      <c r="BE35" s="2" t="n"/>
      <c r="BF35" s="2" t="n">
        <v>86545.28703703702</v>
      </c>
      <c r="BG35" s="2" t="n">
        <v>0</v>
      </c>
      <c r="BH35" s="2" t="n">
        <v>0</v>
      </c>
      <c r="BI35" s="2" t="n">
        <v>44995.2</v>
      </c>
      <c r="BJ35" s="2" t="n">
        <v>91.60226086956521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1040.92263</v>
      </c>
      <c r="BQ35" s="2" t="n">
        <v>0</v>
      </c>
      <c r="BR35" s="2" t="n">
        <v>46152.72489086956</v>
      </c>
      <c r="BS35" s="2" t="n">
        <v>857.2733043478261</v>
      </c>
      <c r="BT35" s="2" t="n">
        <v>0</v>
      </c>
      <c r="BU35" s="2" t="n">
        <v>9193.815113043478</v>
      </c>
      <c r="BV35" s="2" t="n">
        <v>10051.0884173913</v>
      </c>
      <c r="BW35" s="2" t="n">
        <v>56203.81330826087</v>
      </c>
      <c r="BX35" s="2" t="n">
        <v>72080.69</v>
      </c>
      <c r="BY35" s="2" t="n">
        <v>5024.690000000001</v>
      </c>
      <c r="BZ35" s="2" t="n">
        <v>16363.53</v>
      </c>
      <c r="CA35" s="2" t="n">
        <v>77105.38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1204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12905.77</v>
      </c>
      <c r="L36" s="2" t="n">
        <v>1074.28585462963</v>
      </c>
      <c r="M36" s="2" t="n">
        <v>11949.78703703704</v>
      </c>
      <c r="N36" s="2" t="n">
        <v>1880.67</v>
      </c>
      <c r="O36" s="2" t="n">
        <v>10705.16</v>
      </c>
      <c r="P36" s="2" t="n">
        <v>319.94</v>
      </c>
      <c r="Q36" s="2" t="n">
        <v>25791.01</v>
      </c>
      <c r="R36" s="2" t="n">
        <v>1600</v>
      </c>
      <c r="S36" s="2" t="n">
        <v>23880.56481481481</v>
      </c>
      <c r="T36" s="2" t="n">
        <v>3773.19</v>
      </c>
      <c r="U36" s="2" t="n">
        <v>21125.41</v>
      </c>
      <c r="V36" s="2" t="n">
        <v>892.41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10639.54</v>
      </c>
      <c r="AP36" s="2" t="n">
        <v>778.2626481481481</v>
      </c>
      <c r="AQ36" s="2" t="n">
        <v>9851.425925925925</v>
      </c>
      <c r="AR36" s="2" t="n">
        <v>1075.39</v>
      </c>
      <c r="AS36" s="2" t="n">
        <v>9210.780000000001</v>
      </c>
      <c r="AT36" s="2" t="n">
        <v>353.37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49336.32</v>
      </c>
      <c r="BB36" s="2" t="n">
        <v>42607.07</v>
      </c>
      <c r="BC36" s="2">
        <f>F36+L36+R36+X36+AD36+AJ36+AP36+AV36+IF(BE36="",0,BE36)</f>
        <v/>
      </c>
      <c r="BD36" s="2" t="n">
        <v>656.1488780000001</v>
      </c>
      <c r="BE36" s="2" t="n"/>
      <c r="BF36" s="2" t="n">
        <v>45681.77777777777</v>
      </c>
      <c r="BG36" s="2" t="n">
        <v>652.9399999999999</v>
      </c>
      <c r="BH36" s="2" t="n">
        <v>82</v>
      </c>
      <c r="BI36" s="2" t="n">
        <v>44995.2</v>
      </c>
      <c r="BJ36" s="2" t="n">
        <v>91.60226086956521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575.1954450000001</v>
      </c>
      <c r="BQ36" s="2" t="n">
        <v>0</v>
      </c>
      <c r="BR36" s="2" t="n">
        <v>46421.93770586956</v>
      </c>
      <c r="BS36" s="2" t="n">
        <v>857.2733043478261</v>
      </c>
      <c r="BT36" s="2" t="n">
        <v>0</v>
      </c>
      <c r="BU36" s="2" t="n">
        <v>9340.803113043479</v>
      </c>
      <c r="BV36" s="2" t="n">
        <v>10198.0764173913</v>
      </c>
      <c r="BW36" s="2" t="n">
        <v>56620.01412326087</v>
      </c>
      <c r="BX36" s="2" t="n">
        <v>41041.35</v>
      </c>
      <c r="BY36" s="2" t="n">
        <v>1565.72</v>
      </c>
      <c r="BZ36" s="2" t="n">
        <v>6729.250000000001</v>
      </c>
      <c r="CA36" s="2" t="n">
        <v>42607.07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1206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25596.59</v>
      </c>
      <c r="L37" s="2" t="n">
        <v>2130.679112037038</v>
      </c>
      <c r="M37" s="2" t="n">
        <v>23700.5462962963</v>
      </c>
      <c r="N37" s="2" t="n">
        <v>5634.49</v>
      </c>
      <c r="O37" s="2" t="n">
        <v>18040.77</v>
      </c>
      <c r="P37" s="2" t="n">
        <v>1921.33</v>
      </c>
      <c r="Q37" s="2" t="n">
        <v>50433.89999999999</v>
      </c>
      <c r="R37" s="2" t="n">
        <v>1600</v>
      </c>
      <c r="S37" s="2" t="n">
        <v>46698.05555555555</v>
      </c>
      <c r="T37" s="2" t="n">
        <v>8535.549999999999</v>
      </c>
      <c r="U37" s="2" t="n">
        <v>40547.85</v>
      </c>
      <c r="V37" s="2" t="n">
        <v>1350.5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12081.61</v>
      </c>
      <c r="AP37" s="2" t="n">
        <v>883.7473981481479</v>
      </c>
      <c r="AQ37" s="2" t="n">
        <v>11186.67592592592</v>
      </c>
      <c r="AR37" s="2" t="n">
        <v>2247.63</v>
      </c>
      <c r="AS37" s="2" t="n">
        <v>9377.6</v>
      </c>
      <c r="AT37" s="2" t="n">
        <v>456.38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88112.09999999999</v>
      </c>
      <c r="BB37" s="2" t="n">
        <v>71694.42999999999</v>
      </c>
      <c r="BC37" s="2">
        <f>F37+L37+R37+X37+AD37+AJ37+AP37+AV37+IF(BE37="",0,BE37)</f>
        <v/>
      </c>
      <c r="BD37" s="2" t="n">
        <v>1104.094222</v>
      </c>
      <c r="BE37" s="2" t="n"/>
      <c r="BF37" s="2" t="n">
        <v>81585.27777777778</v>
      </c>
      <c r="BG37" s="2" t="n">
        <v>652.9399999999999</v>
      </c>
      <c r="BH37" s="2" t="n">
        <v>82</v>
      </c>
      <c r="BI37" s="2" t="n">
        <v>44995.2</v>
      </c>
      <c r="BJ37" s="2" t="n">
        <v>91.60226086956521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967.8748049999999</v>
      </c>
      <c r="BQ37" s="2" t="n">
        <v>0</v>
      </c>
      <c r="BR37" s="2" t="n">
        <v>46814.61706586956</v>
      </c>
      <c r="BS37" s="2" t="n">
        <v>857.2733043478261</v>
      </c>
      <c r="BT37" s="2" t="n">
        <v>0</v>
      </c>
      <c r="BU37" s="2" t="n">
        <v>9340.803113043479</v>
      </c>
      <c r="BV37" s="2" t="n">
        <v>10198.0764173913</v>
      </c>
      <c r="BW37" s="2" t="n">
        <v>57012.69348326087</v>
      </c>
      <c r="BX37" s="2" t="n">
        <v>67966.22</v>
      </c>
      <c r="BY37" s="2" t="n">
        <v>3728.21</v>
      </c>
      <c r="BZ37" s="2" t="n">
        <v>16417.67</v>
      </c>
      <c r="CA37" s="2" t="n">
        <v>71694.43000000001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1207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19788.81</v>
      </c>
      <c r="L38" s="2" t="n">
        <v>1647.235202777778</v>
      </c>
      <c r="M38" s="2" t="n">
        <v>18322.97222222222</v>
      </c>
      <c r="N38" s="2" t="n">
        <v>4118.76</v>
      </c>
      <c r="O38" s="2" t="n">
        <v>13657.96</v>
      </c>
      <c r="P38" s="2" t="n">
        <v>2012.09</v>
      </c>
      <c r="Q38" s="2" t="n">
        <v>40521.82000000001</v>
      </c>
      <c r="R38" s="2" t="n">
        <v>1600</v>
      </c>
      <c r="S38" s="2" t="n">
        <v>37520.20370370371</v>
      </c>
      <c r="T38" s="2" t="n">
        <v>7543.44</v>
      </c>
      <c r="U38" s="2" t="n">
        <v>31610.22</v>
      </c>
      <c r="V38" s="2" t="n">
        <v>1368.16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10600.57</v>
      </c>
      <c r="AP38" s="2" t="n">
        <v>775.4120648148147</v>
      </c>
      <c r="AQ38" s="2" t="n">
        <v>9815.342592592591</v>
      </c>
      <c r="AR38" s="2" t="n">
        <v>2004.98</v>
      </c>
      <c r="AS38" s="2" t="n">
        <v>8243</v>
      </c>
      <c r="AT38" s="2" t="n">
        <v>352.59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70911.20000000001</v>
      </c>
      <c r="BB38" s="2" t="n">
        <v>57244.02</v>
      </c>
      <c r="BC38" s="2">
        <f>F38+L38+R38+X38+AD38+AJ38+AP38+AV38+IF(BE38="",0,BE38)</f>
        <v/>
      </c>
      <c r="BD38" s="2" t="n">
        <v>881.5579080000001</v>
      </c>
      <c r="BE38" s="2" t="n"/>
      <c r="BF38" s="2" t="n">
        <v>65658.51851851851</v>
      </c>
      <c r="BG38" s="2" t="n">
        <v>652.9399999999999</v>
      </c>
      <c r="BH38" s="2" t="n">
        <v>82</v>
      </c>
      <c r="BI38" s="2" t="n">
        <v>44995.2</v>
      </c>
      <c r="BJ38" s="2" t="n">
        <v>91.60226086956521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772.7942700000001</v>
      </c>
      <c r="BQ38" s="2" t="n">
        <v>0</v>
      </c>
      <c r="BR38" s="2" t="n">
        <v>46619.53653086956</v>
      </c>
      <c r="BS38" s="2" t="n">
        <v>857.2733043478261</v>
      </c>
      <c r="BT38" s="2" t="n">
        <v>0</v>
      </c>
      <c r="BU38" s="2" t="n">
        <v>9340.803113043479</v>
      </c>
      <c r="BV38" s="2" t="n">
        <v>10198.0764173913</v>
      </c>
      <c r="BW38" s="2" t="n">
        <v>56817.61294826087</v>
      </c>
      <c r="BX38" s="2" t="n">
        <v>53511.18</v>
      </c>
      <c r="BY38" s="2" t="n">
        <v>3732.84</v>
      </c>
      <c r="BZ38" s="2" t="n">
        <v>13667.18</v>
      </c>
      <c r="CA38" s="2" t="n">
        <v>57244.02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1208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10162.53</v>
      </c>
      <c r="L39" s="2" t="n">
        <v>845.9365250000001</v>
      </c>
      <c r="M39" s="2" t="n">
        <v>9409.75</v>
      </c>
      <c r="N39" s="2" t="n">
        <v>1691.67</v>
      </c>
      <c r="O39" s="2" t="n">
        <v>7645.42</v>
      </c>
      <c r="P39" s="2" t="n">
        <v>825.4400000000001</v>
      </c>
      <c r="Q39" s="2" t="n">
        <v>22795.09</v>
      </c>
      <c r="R39" s="2" t="n">
        <v>1600</v>
      </c>
      <c r="S39" s="2" t="n">
        <v>21106.56481481481</v>
      </c>
      <c r="T39" s="2" t="n">
        <v>3273.14</v>
      </c>
      <c r="U39" s="2" t="n">
        <v>17650.72</v>
      </c>
      <c r="V39" s="2" t="n">
        <v>1871.23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7802.37</v>
      </c>
      <c r="AP39" s="2" t="n">
        <v>570.7289166666666</v>
      </c>
      <c r="AQ39" s="2" t="n">
        <v>7224.416666666666</v>
      </c>
      <c r="AR39" s="2" t="n">
        <v>1330.43</v>
      </c>
      <c r="AS39" s="2" t="n">
        <v>6295.2</v>
      </c>
      <c r="AT39" s="2" t="n">
        <v>176.74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40759.99000000001</v>
      </c>
      <c r="BB39" s="2" t="n">
        <v>34464.75</v>
      </c>
      <c r="BC39" s="2">
        <f>F39+L39+R39+X39+AD39+AJ39+AP39+AV39+IF(BE39="",0,BE39)</f>
        <v/>
      </c>
      <c r="BD39" s="2" t="n">
        <v>530.75715</v>
      </c>
      <c r="BE39" s="2" t="n"/>
      <c r="BF39" s="2" t="n">
        <v>37740.73148148148</v>
      </c>
      <c r="BG39" s="2" t="n">
        <v>652.9399999999999</v>
      </c>
      <c r="BH39" s="2" t="n">
        <v>82</v>
      </c>
      <c r="BI39" s="2" t="n">
        <v>44995.2</v>
      </c>
      <c r="BJ39" s="2" t="n">
        <v>91.60226086956521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465.274125</v>
      </c>
      <c r="BQ39" s="2" t="n">
        <v>0</v>
      </c>
      <c r="BR39" s="2" t="n">
        <v>46312.01638586957</v>
      </c>
      <c r="BS39" s="2" t="n">
        <v>857.2733043478261</v>
      </c>
      <c r="BT39" s="2" t="n">
        <v>0</v>
      </c>
      <c r="BU39" s="2" t="n">
        <v>9340.803113043479</v>
      </c>
      <c r="BV39" s="2" t="n">
        <v>10198.0764173913</v>
      </c>
      <c r="BW39" s="2" t="n">
        <v>56510.09280326087</v>
      </c>
      <c r="BX39" s="2" t="n">
        <v>31591.34</v>
      </c>
      <c r="BY39" s="2" t="n">
        <v>2873.41</v>
      </c>
      <c r="BZ39" s="2" t="n">
        <v>6295.24</v>
      </c>
      <c r="CA39" s="2" t="n">
        <v>34464.75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1210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40050.39</v>
      </c>
      <c r="L40" s="2" t="n">
        <v>3333.824130555555</v>
      </c>
      <c r="M40" s="2" t="n">
        <v>37083.69444444444</v>
      </c>
      <c r="N40" s="2" t="n">
        <v>8125.14</v>
      </c>
      <c r="O40" s="2" t="n">
        <v>29595.47</v>
      </c>
      <c r="P40" s="2" t="n">
        <v>2329.78</v>
      </c>
      <c r="Q40" s="2" t="n">
        <v>30264.37</v>
      </c>
      <c r="R40" s="2" t="n">
        <v>1600</v>
      </c>
      <c r="S40" s="2" t="n">
        <v>28022.56481481481</v>
      </c>
      <c r="T40" s="2" t="n">
        <v>5381.25</v>
      </c>
      <c r="U40" s="2" t="n">
        <v>22760.48</v>
      </c>
      <c r="V40" s="2" t="n">
        <v>2122.64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14487.01</v>
      </c>
      <c r="AP40" s="2" t="n">
        <v>1059.697953703704</v>
      </c>
      <c r="AQ40" s="2" t="n">
        <v>13413.89814814815</v>
      </c>
      <c r="AR40" s="2" t="n">
        <v>2122.92</v>
      </c>
      <c r="AS40" s="2" t="n">
        <v>11197.09</v>
      </c>
      <c r="AT40" s="2" t="n">
        <v>1167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84801.76999999999</v>
      </c>
      <c r="BB40" s="2" t="n">
        <v>69172.45999999999</v>
      </c>
      <c r="BC40" s="2">
        <f>F40+L40+R40+X40+AD40+AJ40+AP40+AV40+IF(BE40="",0,BE40)</f>
        <v/>
      </c>
      <c r="BD40" s="2" t="n">
        <v>1065.255884</v>
      </c>
      <c r="BE40" s="2" t="n"/>
      <c r="BF40" s="2" t="n">
        <v>78520.1574074074</v>
      </c>
      <c r="BG40" s="2" t="n">
        <v>760.5599999999999</v>
      </c>
      <c r="BH40" s="2" t="n">
        <v>260</v>
      </c>
      <c r="BI40" s="2" t="n">
        <v>44995.2</v>
      </c>
      <c r="BJ40" s="2" t="n">
        <v>91.60226086956521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933.82821</v>
      </c>
      <c r="BQ40" s="2" t="n">
        <v>0</v>
      </c>
      <c r="BR40" s="2" t="n">
        <v>47066.19047086956</v>
      </c>
      <c r="BS40" s="2" t="n">
        <v>857.2733043478261</v>
      </c>
      <c r="BT40" s="2" t="n">
        <v>0</v>
      </c>
      <c r="BU40" s="2" t="n">
        <v>9397.927113043477</v>
      </c>
      <c r="BV40" s="2" t="n">
        <v>10255.2004173913</v>
      </c>
      <c r="BW40" s="2" t="n">
        <v>57321.39088826086</v>
      </c>
      <c r="BX40" s="2" t="n">
        <v>63553.03999999999</v>
      </c>
      <c r="BY40" s="2" t="n">
        <v>5619.42</v>
      </c>
      <c r="BZ40" s="2" t="n">
        <v>15629.31</v>
      </c>
      <c r="CA40" s="2" t="n">
        <v>69172.45999999999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1211</v>
      </c>
      <c r="B41" t="inlineStr">
        <is>
          <t>Kolejowa, 59-300 Lubin</t>
        </is>
      </c>
      <c r="C41" t="inlineStr">
        <is>
          <t>Lubin</t>
        </is>
      </c>
      <c r="D41" t="inlineStr">
        <is>
          <t>ST|40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31134.19</v>
      </c>
      <c r="R41" s="2" t="n">
        <v>1600</v>
      </c>
      <c r="S41" s="2" t="n">
        <v>28827.9537037037</v>
      </c>
      <c r="T41" s="2" t="n">
        <v>12342.36</v>
      </c>
      <c r="U41" s="2" t="n">
        <v>16973.37</v>
      </c>
      <c r="V41" s="2" t="n">
        <v>1818.46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31134.19</v>
      </c>
      <c r="BB41" s="2" t="n">
        <v>18791.83</v>
      </c>
      <c r="BC41" s="2">
        <f>F41+L41+R41+X41+AD41+AJ41+AP41+AV41+IF(BE41="",0,BE41)</f>
        <v/>
      </c>
      <c r="BD41" s="2" t="n">
        <v>289.394182</v>
      </c>
      <c r="BE41" s="2" t="n"/>
      <c r="BF41" s="2" t="n">
        <v>28827.9537037037</v>
      </c>
      <c r="BG41" s="2" t="n">
        <v>0</v>
      </c>
      <c r="BH41" s="2" t="n">
        <v>112.06</v>
      </c>
      <c r="BI41" s="2" t="n">
        <v>44995.2</v>
      </c>
      <c r="BJ41" s="2" t="n">
        <v>91.60226086956521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253.689705</v>
      </c>
      <c r="BQ41" s="2" t="n">
        <v>0</v>
      </c>
      <c r="BR41" s="2" t="n">
        <v>45477.55196586956</v>
      </c>
      <c r="BS41" s="2" t="n">
        <v>857.2733043478261</v>
      </c>
      <c r="BT41" s="2" t="n">
        <v>0</v>
      </c>
      <c r="BU41" s="2" t="n">
        <v>9216.227113043478</v>
      </c>
      <c r="BV41" s="2" t="n">
        <v>10073.5004173913</v>
      </c>
      <c r="BW41" s="2" t="n">
        <v>55551.05238326086</v>
      </c>
      <c r="BX41" s="2" t="n">
        <v>16973.37</v>
      </c>
      <c r="BY41" s="2" t="n">
        <v>1818.46</v>
      </c>
      <c r="BZ41" s="2" t="n">
        <v>12342.36</v>
      </c>
      <c r="CA41" s="2" t="n">
        <v>18791.83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1212</v>
      </c>
      <c r="B42" t="inlineStr">
        <is>
          <t>Armii Krajowej 26C, 58-302 Wałbrzych</t>
        </is>
      </c>
      <c r="C42" t="inlineStr">
        <is>
          <t>Wałbrzych Miasto</t>
        </is>
      </c>
      <c r="D42" t="inlineStr">
        <is>
          <t>ST|40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3714.16</v>
      </c>
      <c r="L42" s="2" t="n">
        <v>309.1694296296296</v>
      </c>
      <c r="M42" s="2" t="n">
        <v>3439.037037037037</v>
      </c>
      <c r="N42" s="2" t="n">
        <v>1487.99</v>
      </c>
      <c r="O42" s="2" t="n">
        <v>2039.19</v>
      </c>
      <c r="P42" s="2" t="n">
        <v>186.98</v>
      </c>
      <c r="Q42" s="2" t="n">
        <v>13545.15</v>
      </c>
      <c r="R42" s="2" t="n">
        <v>1600</v>
      </c>
      <c r="S42" s="2" t="n">
        <v>12541.80555555555</v>
      </c>
      <c r="T42" s="2" t="n">
        <v>3101.08</v>
      </c>
      <c r="U42" s="2" t="n">
        <v>9591.799999999999</v>
      </c>
      <c r="V42" s="2" t="n">
        <v>852.27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530.54</v>
      </c>
      <c r="AP42" s="2" t="n">
        <v>38.80801851851851</v>
      </c>
      <c r="AQ42" s="2" t="n">
        <v>491.2407407407406</v>
      </c>
      <c r="AR42" s="2" t="n">
        <v>23.9</v>
      </c>
      <c r="AS42" s="2" t="n">
        <v>477.94</v>
      </c>
      <c r="AT42" s="2" t="n">
        <v>28.7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17789.85</v>
      </c>
      <c r="BB42" s="2" t="n">
        <v>13176.88</v>
      </c>
      <c r="BC42" s="2">
        <f>F42+L42+R42+X42+AD42+AJ42+AP42+AV42+IF(BE42="",0,BE42)</f>
        <v/>
      </c>
      <c r="BD42" s="2" t="n">
        <v>202.923952</v>
      </c>
      <c r="BE42" s="2" t="n"/>
      <c r="BF42" s="2" t="n">
        <v>16472.08333333333</v>
      </c>
      <c r="BG42" s="2" t="n">
        <v>573.92</v>
      </c>
      <c r="BH42" s="2" t="n">
        <v>110.7</v>
      </c>
      <c r="BI42" s="2" t="n">
        <v>44995.2</v>
      </c>
      <c r="BJ42" s="2" t="n">
        <v>91.60226086956521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177.88788</v>
      </c>
      <c r="BQ42" s="2" t="n">
        <v>0</v>
      </c>
      <c r="BR42" s="2" t="n">
        <v>45974.31014086957</v>
      </c>
      <c r="BS42" s="2" t="n">
        <v>857.2733043478261</v>
      </c>
      <c r="BT42" s="2" t="n">
        <v>0</v>
      </c>
      <c r="BU42" s="2" t="n">
        <v>9330.739113043479</v>
      </c>
      <c r="BV42" s="2" t="n">
        <v>10188.0124173913</v>
      </c>
      <c r="BW42" s="2" t="n">
        <v>56162.32255826087</v>
      </c>
      <c r="BX42" s="2" t="n">
        <v>12108.93</v>
      </c>
      <c r="BY42" s="2" t="n">
        <v>1067.95</v>
      </c>
      <c r="BZ42" s="2" t="n">
        <v>4612.969999999999</v>
      </c>
      <c r="CA42" s="2" t="n">
        <v>13176.88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1213</v>
      </c>
      <c r="B43" t="inlineStr">
        <is>
          <t>Plac 1000-Lecia 1, 67-200 Głogów</t>
        </is>
      </c>
      <c r="C43" t="inlineStr">
        <is>
          <t>Głogów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7840.63</v>
      </c>
      <c r="L43" s="2" t="n">
        <v>652.6598490740741</v>
      </c>
      <c r="M43" s="2" t="n">
        <v>7259.842592592592</v>
      </c>
      <c r="N43" s="2" t="n">
        <v>3437.51</v>
      </c>
      <c r="O43" s="2" t="n">
        <v>4148.78</v>
      </c>
      <c r="P43" s="2" t="n">
        <v>254.34</v>
      </c>
      <c r="Q43" s="2" t="n">
        <v>29152.84</v>
      </c>
      <c r="R43" s="2" t="n">
        <v>1600</v>
      </c>
      <c r="S43" s="2" t="n">
        <v>26993.37037037037</v>
      </c>
      <c r="T43" s="2" t="n">
        <v>8199.290000000001</v>
      </c>
      <c r="U43" s="2" t="n">
        <v>19732.07</v>
      </c>
      <c r="V43" s="2" t="n">
        <v>1221.48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4771.000000000001</v>
      </c>
      <c r="AP43" s="2" t="n">
        <v>348.9898148148148</v>
      </c>
      <c r="AQ43" s="2" t="n">
        <v>4417.592592592593</v>
      </c>
      <c r="AR43" s="2" t="n">
        <v>1944.15</v>
      </c>
      <c r="AS43" s="2" t="n">
        <v>2463.88</v>
      </c>
      <c r="AT43" s="2" t="n">
        <v>362.97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41764.47</v>
      </c>
      <c r="BB43" s="2" t="n">
        <v>28183.52</v>
      </c>
      <c r="BC43" s="2">
        <f>F43+L43+R43+X43+AD43+AJ43+AP43+AV43+IF(BE43="",0,BE43)</f>
        <v/>
      </c>
      <c r="BD43" s="2" t="n">
        <v>434.026208</v>
      </c>
      <c r="BE43" s="2" t="n"/>
      <c r="BF43" s="2" t="n">
        <v>38670.80555555555</v>
      </c>
      <c r="BG43" s="2" t="n">
        <v>573.92</v>
      </c>
      <c r="BH43" s="2" t="n">
        <v>134.1</v>
      </c>
      <c r="BI43" s="2" t="n">
        <v>44995.2</v>
      </c>
      <c r="BJ43" s="2" t="n">
        <v>91.60226086956521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380.47752</v>
      </c>
      <c r="BQ43" s="2" t="n">
        <v>0</v>
      </c>
      <c r="BR43" s="2" t="n">
        <v>46200.29978086956</v>
      </c>
      <c r="BS43" s="2" t="n">
        <v>857.2733043478261</v>
      </c>
      <c r="BT43" s="2" t="n">
        <v>0</v>
      </c>
      <c r="BU43" s="2" t="n">
        <v>9335.419113043479</v>
      </c>
      <c r="BV43" s="2" t="n">
        <v>10192.6924173913</v>
      </c>
      <c r="BW43" s="2" t="n">
        <v>56392.99219826086</v>
      </c>
      <c r="BX43" s="2" t="n">
        <v>26344.73</v>
      </c>
      <c r="BY43" s="2" t="n">
        <v>1838.79</v>
      </c>
      <c r="BZ43" s="2" t="n">
        <v>13580.95</v>
      </c>
      <c r="CA43" s="2" t="n">
        <v>28183.52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1214</v>
      </c>
      <c r="B44" t="inlineStr">
        <is>
          <t>Dworcowa 72A, 69-110 Rzepin</t>
        </is>
      </c>
      <c r="C44" t="inlineStr">
        <is>
          <t>Rzepin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10109.23</v>
      </c>
      <c r="L44" s="2" t="n">
        <v>841.4997935185186</v>
      </c>
      <c r="M44" s="2" t="n">
        <v>9360.398148148148</v>
      </c>
      <c r="N44" s="2" t="n">
        <v>3066.25</v>
      </c>
      <c r="O44" s="2" t="n">
        <v>6055.98</v>
      </c>
      <c r="P44" s="2" t="n">
        <v>987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10109.23</v>
      </c>
      <c r="BB44" s="2" t="n">
        <v>7042.98</v>
      </c>
      <c r="BC44" s="2">
        <f>F44+L44+R44+X44+AD44+AJ44+AP44+AV44+IF(BE44="",0,BE44)</f>
        <v/>
      </c>
      <c r="BD44" s="2" t="n">
        <v>108.461892</v>
      </c>
      <c r="BE44" s="2" t="n"/>
      <c r="BF44" s="2" t="n">
        <v>9360.398148148148</v>
      </c>
      <c r="BG44" s="2" t="n">
        <v>430.45</v>
      </c>
      <c r="BH44" s="2" t="n">
        <v>0</v>
      </c>
      <c r="BI44" s="2" t="n">
        <v>44995.2</v>
      </c>
      <c r="BJ44" s="2" t="n">
        <v>91.60226086956521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95.08022999999999</v>
      </c>
      <c r="BQ44" s="2" t="n">
        <v>0</v>
      </c>
      <c r="BR44" s="2" t="n">
        <v>45637.33249086956</v>
      </c>
      <c r="BS44" s="2" t="n">
        <v>857.2733043478261</v>
      </c>
      <c r="BT44" s="2" t="n">
        <v>0</v>
      </c>
      <c r="BU44" s="2" t="n">
        <v>9279.90511304348</v>
      </c>
      <c r="BV44" s="2" t="n">
        <v>10137.17841739131</v>
      </c>
      <c r="BW44" s="2" t="n">
        <v>55774.51090826086</v>
      </c>
      <c r="BX44" s="2" t="n">
        <v>6055.98</v>
      </c>
      <c r="BY44" s="2" t="n">
        <v>987</v>
      </c>
      <c r="BZ44" s="2" t="n">
        <v>3066.25</v>
      </c>
      <c r="CA44" s="2" t="n">
        <v>7042.98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1217</v>
      </c>
      <c r="B45" t="inlineStr">
        <is>
          <t>pl. Marii i Lecha Kaczyńskiego 2, 40-098 Katowice</t>
        </is>
      </c>
      <c r="C45" t="inlineStr">
        <is>
          <t>Katowice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31520.84</v>
      </c>
      <c r="L45" s="2" t="n">
        <v>2623.81807037037</v>
      </c>
      <c r="M45" s="2" t="n">
        <v>29185.96296296296</v>
      </c>
      <c r="N45" s="2" t="n">
        <v>5525.77</v>
      </c>
      <c r="O45" s="2" t="n">
        <v>25056.26</v>
      </c>
      <c r="P45" s="2" t="n">
        <v>938.8099999999999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14895.24</v>
      </c>
      <c r="AP45" s="2" t="n">
        <v>1089.559222222222</v>
      </c>
      <c r="AQ45" s="2" t="n">
        <v>13791.88888888889</v>
      </c>
      <c r="AR45" s="2" t="n">
        <v>1377.66</v>
      </c>
      <c r="AS45" s="2" t="n">
        <v>12934.01</v>
      </c>
      <c r="AT45" s="2" t="n">
        <v>583.5700000000001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46416.08</v>
      </c>
      <c r="BB45" s="2" t="n">
        <v>39512.65</v>
      </c>
      <c r="BC45" s="2">
        <f>F45+L45+R45+X45+AD45+AJ45+AP45+AV45+IF(BE45="",0,BE45)</f>
        <v/>
      </c>
      <c r="BD45" s="2" t="n">
        <v>608.49481</v>
      </c>
      <c r="BE45" s="2" t="n"/>
      <c r="BF45" s="2" t="n">
        <v>42977.85185185185</v>
      </c>
      <c r="BG45" s="2" t="n">
        <v>775</v>
      </c>
      <c r="BH45" s="2" t="n">
        <v>540</v>
      </c>
      <c r="BI45" s="2" t="n">
        <v>44995.2</v>
      </c>
      <c r="BJ45" s="2" t="n">
        <v>91.60226086956521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533.420775</v>
      </c>
      <c r="BQ45" s="2" t="n">
        <v>0</v>
      </c>
      <c r="BR45" s="2" t="n">
        <v>46960.22303586956</v>
      </c>
      <c r="BS45" s="2" t="n">
        <v>857.2733043478261</v>
      </c>
      <c r="BT45" s="2" t="n">
        <v>0</v>
      </c>
      <c r="BU45" s="2" t="n">
        <v>9456.815113043478</v>
      </c>
      <c r="BV45" s="2" t="n">
        <v>10314.0884173913</v>
      </c>
      <c r="BW45" s="2" t="n">
        <v>57274.31145326086</v>
      </c>
      <c r="BX45" s="2" t="n">
        <v>37990.27</v>
      </c>
      <c r="BY45" s="2" t="n">
        <v>1522.38</v>
      </c>
      <c r="BZ45" s="2" t="n">
        <v>6903.43</v>
      </c>
      <c r="CA45" s="2" t="n">
        <v>39512.64999999999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1219</v>
      </c>
      <c r="B46" t="inlineStr">
        <is>
          <t>Armii Krajowej 3, 75-200 Koszalin</t>
        </is>
      </c>
      <c r="C46" t="inlineStr">
        <is>
          <t>Koszalin</t>
        </is>
      </c>
      <c r="D46" t="inlineStr">
        <is>
          <t>FAA2000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9583.300000000001</v>
      </c>
      <c r="L46" s="2" t="n">
        <v>797.7209907407409</v>
      </c>
      <c r="M46" s="2" t="n">
        <v>8873.425925925927</v>
      </c>
      <c r="N46" s="2" t="n">
        <v>2269.17</v>
      </c>
      <c r="O46" s="2" t="n">
        <v>6559.55</v>
      </c>
      <c r="P46" s="2" t="n">
        <v>754.58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16597.78</v>
      </c>
      <c r="AP46" s="2" t="n">
        <v>1214.09687037037</v>
      </c>
      <c r="AQ46" s="2" t="n">
        <v>15368.31481481481</v>
      </c>
      <c r="AR46" s="2" t="n">
        <v>2748.66</v>
      </c>
      <c r="AS46" s="2" t="n">
        <v>12647.81</v>
      </c>
      <c r="AT46" s="2" t="n">
        <v>1201.31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26181.08</v>
      </c>
      <c r="BB46" s="2" t="n">
        <v>21163.25</v>
      </c>
      <c r="BC46" s="2">
        <f>F46+L46+R46+X46+AD46+AJ46+AP46+AV46+IF(BE46="",0,BE46)</f>
        <v/>
      </c>
      <c r="BD46" s="2" t="n">
        <v>325.91405</v>
      </c>
      <c r="BE46" s="2" t="n"/>
      <c r="BF46" s="2" t="n">
        <v>24241.74074074074</v>
      </c>
      <c r="BG46" s="2" t="n">
        <v>0</v>
      </c>
      <c r="BH46" s="2" t="n">
        <v>0</v>
      </c>
      <c r="BI46" s="2" t="n">
        <v>44995.2</v>
      </c>
      <c r="BJ46" s="2" t="n">
        <v>91.60226086956521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285.703875</v>
      </c>
      <c r="BQ46" s="2" t="n">
        <v>0</v>
      </c>
      <c r="BR46" s="2" t="n">
        <v>45397.50613586956</v>
      </c>
      <c r="BS46" s="2" t="n">
        <v>857.2733043478261</v>
      </c>
      <c r="BT46" s="2" t="n">
        <v>0</v>
      </c>
      <c r="BU46" s="2" t="n">
        <v>9193.815113043478</v>
      </c>
      <c r="BV46" s="2" t="n">
        <v>10051.0884173913</v>
      </c>
      <c r="BW46" s="2" t="n">
        <v>55448.59455326086</v>
      </c>
      <c r="BX46" s="2" t="n">
        <v>19207.36</v>
      </c>
      <c r="BY46" s="2" t="n">
        <v>1955.89</v>
      </c>
      <c r="BZ46" s="2" t="n">
        <v>5017.83</v>
      </c>
      <c r="CA46" s="2" t="n">
        <v>21163.25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1220</v>
      </c>
      <c r="B47" t="inlineStr">
        <is>
          <t>Kotłątaja 32, 76-200 Słupsk</t>
        </is>
      </c>
      <c r="C47" t="inlineStr">
        <is>
          <t>Słupsk</t>
        </is>
      </c>
      <c r="D47" t="inlineStr">
        <is>
          <t>FAA2000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10655.88</v>
      </c>
      <c r="L47" s="2" t="n">
        <v>887.0033444444445</v>
      </c>
      <c r="M47" s="2" t="n">
        <v>9866.555555555555</v>
      </c>
      <c r="N47" s="2" t="n">
        <v>3904.83</v>
      </c>
      <c r="O47" s="2" t="n">
        <v>6313.2</v>
      </c>
      <c r="P47" s="2" t="n">
        <v>437.85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11513.08</v>
      </c>
      <c r="AP47" s="2" t="n">
        <v>4144</v>
      </c>
      <c r="AQ47" s="2" t="n">
        <v>10660.25925925926</v>
      </c>
      <c r="AR47" s="2" t="n">
        <v>6282.81</v>
      </c>
      <c r="AS47" s="2" t="n">
        <v>4616.69</v>
      </c>
      <c r="AT47" s="2" t="n">
        <v>613.58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22168.96</v>
      </c>
      <c r="BB47" s="2" t="n">
        <v>11981.32</v>
      </c>
      <c r="BC47" s="2">
        <f>F47+L47+R47+X47+AD47+AJ47+AP47+AV47+IF(BE47="",0,BE47)</f>
        <v/>
      </c>
      <c r="BD47" s="2" t="n">
        <v>184.512328</v>
      </c>
      <c r="BE47" s="2" t="n"/>
      <c r="BF47" s="2" t="n">
        <v>20526.81481481481</v>
      </c>
      <c r="BG47" s="2" t="n">
        <v>0</v>
      </c>
      <c r="BH47" s="2" t="n">
        <v>0</v>
      </c>
      <c r="BI47" s="2" t="n">
        <v>44995.2</v>
      </c>
      <c r="BJ47" s="2" t="n">
        <v>91.60226086956521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161.74782</v>
      </c>
      <c r="BQ47" s="2" t="n">
        <v>0</v>
      </c>
      <c r="BR47" s="2" t="n">
        <v>45273.55008086956</v>
      </c>
      <c r="BS47" s="2" t="n">
        <v>857.2733043478261</v>
      </c>
      <c r="BT47" s="2" t="n">
        <v>0</v>
      </c>
      <c r="BU47" s="2" t="n">
        <v>9193.815113043478</v>
      </c>
      <c r="BV47" s="2" t="n">
        <v>10051.0884173913</v>
      </c>
      <c r="BW47" s="2" t="n">
        <v>55324.63849826086</v>
      </c>
      <c r="BX47" s="2" t="n">
        <v>10929.89</v>
      </c>
      <c r="BY47" s="2" t="n">
        <v>1051.43</v>
      </c>
      <c r="BZ47" s="2" t="n">
        <v>10187.64</v>
      </c>
      <c r="CA47" s="2" t="n">
        <v>11981.32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1221</v>
      </c>
      <c r="B48" t="inlineStr">
        <is>
          <t>Dworcowa 2, 58-100 Świdnica</t>
        </is>
      </c>
      <c r="C48" t="inlineStr">
        <is>
          <t>Świdnica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44094.04000000001</v>
      </c>
      <c r="R48" s="2" t="n">
        <v>1600</v>
      </c>
      <c r="S48" s="2" t="n">
        <v>40827.81481481482</v>
      </c>
      <c r="T48" s="2" t="n">
        <v>13919.45</v>
      </c>
      <c r="U48" s="2" t="n">
        <v>28053.54</v>
      </c>
      <c r="V48" s="2" t="n">
        <v>2121.05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44094.04000000001</v>
      </c>
      <c r="BB48" s="2" t="n">
        <v>30174.59</v>
      </c>
      <c r="BC48" s="2">
        <f>F48+L48+R48+X48+AD48+AJ48+AP48+AV48+IF(BE48="",0,BE48)</f>
        <v/>
      </c>
      <c r="BD48" s="2" t="n">
        <v>464.688686</v>
      </c>
      <c r="BE48" s="2" t="n"/>
      <c r="BF48" s="2" t="n">
        <v>40827.81481481482</v>
      </c>
      <c r="BG48" s="2" t="n">
        <v>200</v>
      </c>
      <c r="BH48" s="2" t="n">
        <v>0</v>
      </c>
      <c r="BI48" s="2" t="n">
        <v>44995.2</v>
      </c>
      <c r="BJ48" s="2" t="n">
        <v>91.60226086956521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407.356965</v>
      </c>
      <c r="BQ48" s="2" t="n">
        <v>0</v>
      </c>
      <c r="BR48" s="2" t="n">
        <v>45719.15922586956</v>
      </c>
      <c r="BS48" s="2" t="n">
        <v>857.2733043478261</v>
      </c>
      <c r="BT48" s="2" t="n">
        <v>0</v>
      </c>
      <c r="BU48" s="2" t="n">
        <v>9233.815113043478</v>
      </c>
      <c r="BV48" s="2" t="n">
        <v>10091.0884173913</v>
      </c>
      <c r="BW48" s="2" t="n">
        <v>55810.24764326087</v>
      </c>
      <c r="BX48" s="2" t="n">
        <v>28053.54</v>
      </c>
      <c r="BY48" s="2" t="n">
        <v>2121.05</v>
      </c>
      <c r="BZ48" s="2" t="n">
        <v>13919.45</v>
      </c>
      <c r="CA48" s="2" t="n">
        <v>30174.59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1222</v>
      </c>
      <c r="B49" t="inlineStr">
        <is>
          <t>Dworcowa 33, 83-400 Kościerzyna</t>
        </is>
      </c>
      <c r="C49" t="inlineStr">
        <is>
          <t>Kościerzyna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698.4000000000001</v>
      </c>
      <c r="AP49" s="2" t="n">
        <v>4050</v>
      </c>
      <c r="AQ49" s="2" t="n">
        <v>646.6666666666667</v>
      </c>
      <c r="AR49" s="2" t="n">
        <v>0</v>
      </c>
      <c r="AS49" s="2" t="n">
        <v>662.3200000000001</v>
      </c>
      <c r="AT49" s="2" t="n">
        <v>36.08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698.4000000000001</v>
      </c>
      <c r="BB49" s="2" t="n">
        <v>698.4000000000001</v>
      </c>
      <c r="BC49" s="2">
        <f>F49+L49+R49+X49+AD49+AJ49+AP49+AV49+IF(BE49="",0,BE49)</f>
        <v/>
      </c>
      <c r="BD49" s="2" t="n">
        <v>10.75536</v>
      </c>
      <c r="BE49" s="2" t="n"/>
      <c r="BF49" s="2" t="n">
        <v>646.6666666666667</v>
      </c>
      <c r="BG49" s="2" t="n">
        <v>0</v>
      </c>
      <c r="BH49" s="2" t="n">
        <v>0</v>
      </c>
      <c r="BI49" s="2" t="n">
        <v>44995.2</v>
      </c>
      <c r="BJ49" s="2" t="n">
        <v>91.60226086956521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9.428400000000002</v>
      </c>
      <c r="BQ49" s="2" t="n">
        <v>0</v>
      </c>
      <c r="BR49" s="2" t="n">
        <v>45121.23066086956</v>
      </c>
      <c r="BS49" s="2" t="n">
        <v>857.2733043478261</v>
      </c>
      <c r="BT49" s="2" t="n">
        <v>0</v>
      </c>
      <c r="BU49" s="2" t="n">
        <v>9193.815113043478</v>
      </c>
      <c r="BV49" s="2" t="n">
        <v>10051.0884173913</v>
      </c>
      <c r="BW49" s="2" t="n">
        <v>55172.31907826086</v>
      </c>
      <c r="BX49" s="2" t="n">
        <v>662.3200000000001</v>
      </c>
      <c r="BY49" s="2" t="n">
        <v>36.08</v>
      </c>
      <c r="BZ49" s="2" t="n">
        <v>0</v>
      </c>
      <c r="CA49" s="2" t="n">
        <v>698.4000000000001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1223</v>
      </c>
      <c r="B50" t="inlineStr">
        <is>
          <t>Dworcowa 17, 82-200 Malbork</t>
        </is>
      </c>
      <c r="C50" t="inlineStr">
        <is>
          <t>Malbork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14646.54</v>
      </c>
      <c r="L50" s="2" t="n">
        <v>1219.188838888889</v>
      </c>
      <c r="M50" s="2" t="n">
        <v>13561.61111111111</v>
      </c>
      <c r="N50" s="2" t="n">
        <v>2333.36</v>
      </c>
      <c r="O50" s="2" t="n">
        <v>11888.64</v>
      </c>
      <c r="P50" s="2" t="n">
        <v>424.54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34101.32</v>
      </c>
      <c r="AP50" s="2" t="n">
        <v>2494.448407407408</v>
      </c>
      <c r="AQ50" s="2" t="n">
        <v>31575.2962962963</v>
      </c>
      <c r="AR50" s="2" t="n">
        <v>8841.99</v>
      </c>
      <c r="AS50" s="2" t="n">
        <v>23797.96</v>
      </c>
      <c r="AT50" s="2" t="n">
        <v>1461.37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48747.86</v>
      </c>
      <c r="BB50" s="2" t="n">
        <v>37572.50999999999</v>
      </c>
      <c r="BC50" s="2">
        <f>F50+L50+R50+X50+AD50+AJ50+AP50+AV50+IF(BE50="",0,BE50)</f>
        <v/>
      </c>
      <c r="BD50" s="2" t="n">
        <v>578.6166539999999</v>
      </c>
      <c r="BE50" s="2" t="n"/>
      <c r="BF50" s="2" t="n">
        <v>45136.90740740741</v>
      </c>
      <c r="BG50" s="2" t="n">
        <v>456.34</v>
      </c>
      <c r="BH50" s="2" t="n">
        <v>107</v>
      </c>
      <c r="BI50" s="2" t="n">
        <v>44995.2</v>
      </c>
      <c r="BJ50" s="2" t="n">
        <v>91.60226086956521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507.228885</v>
      </c>
      <c r="BQ50" s="2" t="n">
        <v>0</v>
      </c>
      <c r="BR50" s="2" t="n">
        <v>46182.37114586955</v>
      </c>
      <c r="BS50" s="2" t="n">
        <v>857.2733043478261</v>
      </c>
      <c r="BT50" s="2" t="n">
        <v>0</v>
      </c>
      <c r="BU50" s="2" t="n">
        <v>9306.48311304348</v>
      </c>
      <c r="BV50" s="2" t="n">
        <v>10163.75641739131</v>
      </c>
      <c r="BW50" s="2" t="n">
        <v>56346.12756326086</v>
      </c>
      <c r="BX50" s="2" t="n">
        <v>35686.6</v>
      </c>
      <c r="BY50" s="2" t="n">
        <v>1885.91</v>
      </c>
      <c r="BZ50" s="2" t="n">
        <v>11175.35</v>
      </c>
      <c r="CA50" s="2" t="n">
        <v>37572.50999999999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1224</v>
      </c>
      <c r="B51" t="inlineStr">
        <is>
          <t>Kuznica</t>
        </is>
      </c>
      <c r="C51" t="inlineStr">
        <is>
          <t>Kuźnica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20410.16</v>
      </c>
      <c r="AP51" s="2" t="n">
        <v>4052</v>
      </c>
      <c r="AQ51" s="2" t="n">
        <v>18898.2962962963</v>
      </c>
      <c r="AR51" s="2" t="n">
        <v>0</v>
      </c>
      <c r="AS51" s="2" t="n">
        <v>18075.84</v>
      </c>
      <c r="AT51" s="2" t="n">
        <v>2334.32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20410.16</v>
      </c>
      <c r="BB51" s="2" t="n">
        <v>20410.16</v>
      </c>
      <c r="BC51" s="2">
        <f>F51+L51+R51+X51+AD51+AJ51+AP51+AV51+IF(BE51="",0,BE51)</f>
        <v/>
      </c>
      <c r="BD51" s="2" t="n">
        <v>314.316464</v>
      </c>
      <c r="BE51" s="2" t="n"/>
      <c r="BF51" s="2" t="n">
        <v>18898.2962962963</v>
      </c>
      <c r="BG51" s="2" t="n">
        <v>456.34</v>
      </c>
      <c r="BH51" s="2" t="n">
        <v>123</v>
      </c>
      <c r="BI51" s="2" t="n">
        <v>44995.2</v>
      </c>
      <c r="BJ51" s="2" t="n">
        <v>91.60226086956521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275.53716</v>
      </c>
      <c r="BQ51" s="2" t="n">
        <v>0</v>
      </c>
      <c r="BR51" s="2" t="n">
        <v>45966.67942086956</v>
      </c>
      <c r="BS51" s="2" t="n">
        <v>857.2733043478261</v>
      </c>
      <c r="BT51" s="2" t="n">
        <v>0</v>
      </c>
      <c r="BU51" s="2" t="n">
        <v>9309.683113043478</v>
      </c>
      <c r="BV51" s="2" t="n">
        <v>10166.9564173913</v>
      </c>
      <c r="BW51" s="2" t="n">
        <v>56133.63583826086</v>
      </c>
      <c r="BX51" s="2" t="n">
        <v>18075.84</v>
      </c>
      <c r="BY51" s="2" t="n">
        <v>2334.32</v>
      </c>
      <c r="BZ51" s="2" t="n">
        <v>0</v>
      </c>
      <c r="CA51" s="2" t="n">
        <v>20410.16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1225</v>
      </c>
      <c r="B52" t="inlineStr">
        <is>
          <t>Plac Legionów 2, 37-700 Przemyśl</t>
        </is>
      </c>
      <c r="C52" t="inlineStr">
        <is>
          <t>Przemyśl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26317.96</v>
      </c>
      <c r="L52" s="2" t="n">
        <v>2190.726485185185</v>
      </c>
      <c r="M52" s="2" t="n">
        <v>24368.48148148148</v>
      </c>
      <c r="N52" s="2" t="n">
        <v>1753.51</v>
      </c>
      <c r="O52" s="2" t="n">
        <v>23749.45</v>
      </c>
      <c r="P52" s="2" t="n">
        <v>815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8762.17</v>
      </c>
      <c r="AP52" s="2" t="n">
        <v>640.9365092592592</v>
      </c>
      <c r="AQ52" s="2" t="n">
        <v>8113.12037037037</v>
      </c>
      <c r="AR52" s="2" t="n">
        <v>1601.21</v>
      </c>
      <c r="AS52" s="2" t="n">
        <v>6797.8</v>
      </c>
      <c r="AT52" s="2" t="n">
        <v>363.16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35080.13</v>
      </c>
      <c r="BB52" s="2" t="n">
        <v>31725.41</v>
      </c>
      <c r="BC52" s="2">
        <f>F52+L52+R52+X52+AD52+AJ52+AP52+AV52+IF(BE52="",0,BE52)</f>
        <v/>
      </c>
      <c r="BD52" s="2" t="n">
        <v>488.571314</v>
      </c>
      <c r="BE52" s="2" t="n"/>
      <c r="BF52" s="2" t="n">
        <v>32481.60185185185</v>
      </c>
      <c r="BG52" s="2" t="n">
        <v>456.34</v>
      </c>
      <c r="BH52" s="2" t="n">
        <v>113</v>
      </c>
      <c r="BI52" s="2" t="n">
        <v>44995.2</v>
      </c>
      <c r="BJ52" s="2" t="n">
        <v>91.60226086956521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428.293035</v>
      </c>
      <c r="BQ52" s="2" t="n">
        <v>0</v>
      </c>
      <c r="BR52" s="2" t="n">
        <v>46109.43529586956</v>
      </c>
      <c r="BS52" s="2" t="n">
        <v>857.2733043478261</v>
      </c>
      <c r="BT52" s="2" t="n">
        <v>0</v>
      </c>
      <c r="BU52" s="2" t="n">
        <v>9307.683113043478</v>
      </c>
      <c r="BV52" s="2" t="n">
        <v>10164.9564173913</v>
      </c>
      <c r="BW52" s="2" t="n">
        <v>56274.39171326086</v>
      </c>
      <c r="BX52" s="2" t="n">
        <v>30547.25</v>
      </c>
      <c r="BY52" s="2" t="n">
        <v>1178.16</v>
      </c>
      <c r="BZ52" s="2" t="n">
        <v>3354.72</v>
      </c>
      <c r="CA52" s="2" t="n">
        <v>31725.41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1226</v>
      </c>
      <c r="B53" t="inlineStr">
        <is>
          <t>Plac Dworcowy 3, 33-100 Tarnów</t>
        </is>
      </c>
      <c r="C53" t="inlineStr">
        <is>
          <t>Tarnów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10757.06</v>
      </c>
      <c r="L53" s="2" t="n">
        <v>895.4256425925926</v>
      </c>
      <c r="M53" s="2" t="n">
        <v>9960.240740740739</v>
      </c>
      <c r="N53" s="2" t="n">
        <v>2171.05</v>
      </c>
      <c r="O53" s="2" t="n">
        <v>8315.610000000001</v>
      </c>
      <c r="P53" s="2" t="n">
        <v>270.4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10494.23</v>
      </c>
      <c r="AP53" s="2" t="n">
        <v>767.6334907407406</v>
      </c>
      <c r="AQ53" s="2" t="n">
        <v>9716.879629629628</v>
      </c>
      <c r="AR53" s="2" t="n">
        <v>2433.85</v>
      </c>
      <c r="AS53" s="2" t="n">
        <v>7907.05</v>
      </c>
      <c r="AT53" s="2" t="n">
        <v>153.33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21251.29</v>
      </c>
      <c r="BB53" s="2" t="n">
        <v>16646.39</v>
      </c>
      <c r="BC53" s="2">
        <f>F53+L53+R53+X53+AD53+AJ53+AP53+AV53+IF(BE53="",0,BE53)</f>
        <v/>
      </c>
      <c r="BD53" s="2" t="n">
        <v>256.354406</v>
      </c>
      <c r="BE53" s="2" t="n"/>
      <c r="BF53" s="2" t="n">
        <v>19677.12037037036</v>
      </c>
      <c r="BG53" s="2" t="n">
        <v>456.34</v>
      </c>
      <c r="BH53" s="2" t="n">
        <v>142</v>
      </c>
      <c r="BI53" s="2" t="n">
        <v>44995.2</v>
      </c>
      <c r="BJ53" s="2" t="n">
        <v>91.60226086956521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224.726265</v>
      </c>
      <c r="BQ53" s="2" t="n">
        <v>0</v>
      </c>
      <c r="BR53" s="2" t="n">
        <v>45934.86852586956</v>
      </c>
      <c r="BS53" s="2" t="n">
        <v>857.2733043478261</v>
      </c>
      <c r="BT53" s="2" t="n">
        <v>0</v>
      </c>
      <c r="BU53" s="2" t="n">
        <v>9313.48311304348</v>
      </c>
      <c r="BV53" s="2" t="n">
        <v>10170.75641739131</v>
      </c>
      <c r="BW53" s="2" t="n">
        <v>56105.62494326086</v>
      </c>
      <c r="BX53" s="2" t="n">
        <v>16222.66</v>
      </c>
      <c r="BY53" s="2" t="n">
        <v>423.73</v>
      </c>
      <c r="BZ53" s="2" t="n">
        <v>4604.9</v>
      </c>
      <c r="CA53" s="2" t="n">
        <v>16646.39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1227</v>
      </c>
      <c r="B54" t="inlineStr">
        <is>
          <t>Bochnia</t>
        </is>
      </c>
      <c r="C54" t="inlineStr"/>
      <c r="D54" t="inlineStr"/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4367.129999999999</v>
      </c>
      <c r="L54" s="2" t="n">
        <v>363.5231361111111</v>
      </c>
      <c r="M54" s="2" t="n">
        <v>4043.638888888888</v>
      </c>
      <c r="N54" s="2" t="n">
        <v>1321.87</v>
      </c>
      <c r="O54" s="2" t="n">
        <v>2906.36</v>
      </c>
      <c r="P54" s="2" t="n">
        <v>138.9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5655.73</v>
      </c>
      <c r="X54" s="2" t="n">
        <v>350</v>
      </c>
      <c r="Y54" s="2" t="n">
        <v>5236.787037037037</v>
      </c>
      <c r="Z54" s="2" t="n">
        <v>1334.3</v>
      </c>
      <c r="AA54" s="2" t="n">
        <v>4032.08</v>
      </c>
      <c r="AB54" s="2" t="n">
        <v>289.35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4627.98</v>
      </c>
      <c r="AP54" s="2" t="n">
        <v>338.5281666666666</v>
      </c>
      <c r="AQ54" s="2" t="n">
        <v>4285.166666666666</v>
      </c>
      <c r="AR54" s="2" t="n">
        <v>796.4</v>
      </c>
      <c r="AS54" s="2" t="n">
        <v>3692.96</v>
      </c>
      <c r="AT54" s="2" t="n">
        <v>138.62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14650.84</v>
      </c>
      <c r="BB54" s="2" t="n">
        <v>11198.27</v>
      </c>
      <c r="BC54" s="2">
        <f>F54+L54+R54+X54+AD54+AJ54+AP54+AV54+IF(BE54="",0,BE54)</f>
        <v/>
      </c>
      <c r="BD54" s="2" t="n">
        <v>164.242641</v>
      </c>
      <c r="BE54" s="2" t="n"/>
      <c r="BF54" s="2" t="n">
        <v>13565.59259259259</v>
      </c>
      <c r="BG54" s="2" t="n">
        <v>456.34</v>
      </c>
      <c r="BH54" s="2" t="n">
        <v>92.8</v>
      </c>
      <c r="BI54" s="2" t="n">
        <v>44995.2</v>
      </c>
      <c r="BJ54" s="2" t="n">
        <v>91.60226086956521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151.176645</v>
      </c>
      <c r="BQ54" s="2" t="n">
        <v>0</v>
      </c>
      <c r="BR54" s="2" t="n">
        <v>45812.11890586956</v>
      </c>
      <c r="BS54" s="2" t="n">
        <v>857.2733043478261</v>
      </c>
      <c r="BT54" s="2" t="n">
        <v>0</v>
      </c>
      <c r="BU54" s="2" t="n">
        <v>9303.643113043478</v>
      </c>
      <c r="BV54" s="2" t="n">
        <v>10160.9164173913</v>
      </c>
      <c r="BW54" s="2" t="n">
        <v>55973.03532326086</v>
      </c>
      <c r="BX54" s="2" t="n">
        <v>10631.4</v>
      </c>
      <c r="BY54" s="2" t="n">
        <v>566.87</v>
      </c>
      <c r="BZ54" s="2" t="n">
        <v>3452.57</v>
      </c>
      <c r="CA54" s="2" t="n">
        <v>11198.27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1230</v>
      </c>
      <c r="B55" t="inlineStr">
        <is>
          <t>Bohaterów Getta Warszawskiego 12, 44-100 Gliwice</t>
        </is>
      </c>
      <c r="C55" t="inlineStr">
        <is>
          <t>Gliwice</t>
        </is>
      </c>
      <c r="D55" t="inlineStr">
        <is>
          <t>ST|40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14791.49</v>
      </c>
      <c r="L55" s="2" t="n">
        <v>1231.254584259259</v>
      </c>
      <c r="M55" s="2" t="n">
        <v>13695.82407407407</v>
      </c>
      <c r="N55" s="2" t="n">
        <v>4006.25</v>
      </c>
      <c r="O55" s="2" t="n">
        <v>10062.99</v>
      </c>
      <c r="P55" s="2" t="n">
        <v>722.25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14791.49</v>
      </c>
      <c r="BB55" s="2" t="n">
        <v>10785.24</v>
      </c>
      <c r="BC55" s="2">
        <f>F55+L55+R55+X55+AD55+AJ55+AP55+AV55+IF(BE55="",0,BE55)</f>
        <v/>
      </c>
      <c r="BD55" s="2" t="n">
        <v>166.092696</v>
      </c>
      <c r="BE55" s="2" t="n"/>
      <c r="BF55" s="2" t="n">
        <v>13695.82407407407</v>
      </c>
      <c r="BG55" s="2" t="n">
        <v>500</v>
      </c>
      <c r="BH55" s="2" t="n">
        <v>109.6</v>
      </c>
      <c r="BI55" s="2" t="n">
        <v>44995.2</v>
      </c>
      <c r="BJ55" s="2" t="n">
        <v>91.60226086956521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145.60074</v>
      </c>
      <c r="BQ55" s="2" t="n">
        <v>0</v>
      </c>
      <c r="BR55" s="2" t="n">
        <v>45867.00300086956</v>
      </c>
      <c r="BS55" s="2" t="n">
        <v>857.2733043478261</v>
      </c>
      <c r="BT55" s="2" t="n">
        <v>0</v>
      </c>
      <c r="BU55" s="2" t="n">
        <v>9315.735113043478</v>
      </c>
      <c r="BV55" s="2" t="n">
        <v>10173.0084173913</v>
      </c>
      <c r="BW55" s="2" t="n">
        <v>56040.01141826087</v>
      </c>
      <c r="BX55" s="2" t="n">
        <v>10062.99</v>
      </c>
      <c r="BY55" s="2" t="n">
        <v>722.25</v>
      </c>
      <c r="BZ55" s="2" t="n">
        <v>4006.25</v>
      </c>
      <c r="CA55" s="2" t="n">
        <v>10785.24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1232</v>
      </c>
      <c r="B56" t="inlineStr">
        <is>
          <t>Bielsko Biala</t>
        </is>
      </c>
      <c r="C56" t="inlineStr">
        <is>
          <t>Oława Zachodnia</t>
        </is>
      </c>
      <c r="D56" t="inlineStr">
        <is>
          <t>ST|40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5951.95</v>
      </c>
      <c r="L56" s="2" t="n">
        <v>495.4447268518518</v>
      </c>
      <c r="M56" s="2" t="n">
        <v>5511.064814814814</v>
      </c>
      <c r="N56" s="2" t="n">
        <v>1638.54</v>
      </c>
      <c r="O56" s="2" t="n">
        <v>4104.96</v>
      </c>
      <c r="P56" s="2" t="n">
        <v>208.45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5951.95</v>
      </c>
      <c r="BB56" s="2" t="n">
        <v>4313.41</v>
      </c>
      <c r="BC56" s="2">
        <f>F56+L56+R56+X56+AD56+AJ56+AP56+AV56+IF(BE56="",0,BE56)</f>
        <v/>
      </c>
      <c r="BD56" s="2" t="n">
        <v>66.426514</v>
      </c>
      <c r="BE56" s="2" t="n"/>
      <c r="BF56" s="2" t="n">
        <v>5511.064814814814</v>
      </c>
      <c r="BG56" s="2" t="n">
        <v>596.39</v>
      </c>
      <c r="BH56" s="2" t="n">
        <v>28</v>
      </c>
      <c r="BI56" s="2" t="n">
        <v>44995.2</v>
      </c>
      <c r="BJ56" s="2" t="n">
        <v>91.60226086956521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58.231035</v>
      </c>
      <c r="BQ56" s="2" t="n">
        <v>0</v>
      </c>
      <c r="BR56" s="2" t="n">
        <v>45794.42329586956</v>
      </c>
      <c r="BS56" s="2" t="n">
        <v>857.2733043478261</v>
      </c>
      <c r="BT56" s="2" t="n">
        <v>0</v>
      </c>
      <c r="BU56" s="2" t="n">
        <v>9318.693113043479</v>
      </c>
      <c r="BV56" s="2" t="n">
        <v>10175.9664173913</v>
      </c>
      <c r="BW56" s="2" t="n">
        <v>55970.38971326086</v>
      </c>
      <c r="BX56" s="2" t="n">
        <v>4104.96</v>
      </c>
      <c r="BY56" s="2" t="n">
        <v>208.45</v>
      </c>
      <c r="BZ56" s="2" t="n">
        <v>1638.54</v>
      </c>
      <c r="CA56" s="2" t="n">
        <v>4313.41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1234</v>
      </c>
      <c r="B57" t="inlineStr">
        <is>
          <t>Kolejowa 88, 68-100 Żagań</t>
        </is>
      </c>
      <c r="C57" t="inlineStr">
        <is>
          <t>Żagań</t>
        </is>
      </c>
      <c r="D57" t="inlineStr">
        <is>
          <t>FAA2000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2223.73</v>
      </c>
      <c r="L57" s="2" t="n">
        <v>185.1049324074074</v>
      </c>
      <c r="M57" s="2" t="n">
        <v>2059.009259259259</v>
      </c>
      <c r="N57" s="2" t="n">
        <v>651.85</v>
      </c>
      <c r="O57" s="2" t="n">
        <v>1485.88</v>
      </c>
      <c r="P57" s="2" t="n">
        <v>86</v>
      </c>
      <c r="Q57" s="2" t="n">
        <v>8102.690000000001</v>
      </c>
      <c r="R57" s="2" t="n">
        <v>1600</v>
      </c>
      <c r="S57" s="2" t="n">
        <v>7502.490740740741</v>
      </c>
      <c r="T57" s="2" t="n">
        <v>1879.93</v>
      </c>
      <c r="U57" s="2" t="n">
        <v>6041.92</v>
      </c>
      <c r="V57" s="2" t="n">
        <v>180.84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6379.63</v>
      </c>
      <c r="AP57" s="2" t="n">
        <v>466.6581203703704</v>
      </c>
      <c r="AQ57" s="2" t="n">
        <v>5907.064814814815</v>
      </c>
      <c r="AR57" s="2" t="n">
        <v>2047</v>
      </c>
      <c r="AS57" s="2" t="n">
        <v>3868.08</v>
      </c>
      <c r="AT57" s="2" t="n">
        <v>464.55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16706.05</v>
      </c>
      <c r="BB57" s="2" t="n">
        <v>12127.27</v>
      </c>
      <c r="BC57" s="2">
        <f>F57+L57+R57+X57+AD57+AJ57+AP57+AV57+IF(BE57="",0,BE57)</f>
        <v/>
      </c>
      <c r="BD57" s="2" t="n">
        <v>186.759958</v>
      </c>
      <c r="BE57" s="2" t="n"/>
      <c r="BF57" s="2" t="n">
        <v>15468.56481481481</v>
      </c>
      <c r="BG57" s="2" t="n">
        <v>594.14</v>
      </c>
      <c r="BH57" s="2" t="n">
        <v>214</v>
      </c>
      <c r="BI57" s="2" t="n">
        <v>44995.2</v>
      </c>
      <c r="BJ57" s="2" t="n">
        <v>91.60226086956521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163.718145</v>
      </c>
      <c r="BQ57" s="2" t="n">
        <v>0</v>
      </c>
      <c r="BR57" s="2" t="n">
        <v>46083.66040586956</v>
      </c>
      <c r="BS57" s="2" t="n">
        <v>857.2733043478261</v>
      </c>
      <c r="BT57" s="2" t="n">
        <v>0</v>
      </c>
      <c r="BU57" s="2" t="n">
        <v>9355.443113043479</v>
      </c>
      <c r="BV57" s="2" t="n">
        <v>10212.7164173913</v>
      </c>
      <c r="BW57" s="2" t="n">
        <v>56296.37682326086</v>
      </c>
      <c r="BX57" s="2" t="n">
        <v>11395.88</v>
      </c>
      <c r="BY57" s="2" t="n">
        <v>731.3900000000001</v>
      </c>
      <c r="BZ57" s="2" t="n">
        <v>4578.780000000001</v>
      </c>
      <c r="CA57" s="2" t="n">
        <v>12127.27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1235</v>
      </c>
      <c r="B58" t="inlineStr">
        <is>
          <t>Dworcowa 2, 61-801 Poznań</t>
        </is>
      </c>
      <c r="C58" t="inlineStr">
        <is>
          <t>Poznań Główny, Dworzec Zachodni</t>
        </is>
      </c>
      <c r="D58" t="inlineStr">
        <is>
          <t>FAA2000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8541.85</v>
      </c>
      <c r="L58" s="2" t="n">
        <v>711.0299212962964</v>
      </c>
      <c r="M58" s="2" t="n">
        <v>7909.12037037037</v>
      </c>
      <c r="N58" s="2" t="n">
        <v>1478.36</v>
      </c>
      <c r="O58" s="2" t="n">
        <v>7063.49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14353.5</v>
      </c>
      <c r="AD58" s="2" t="n">
        <v>917.0291666666667</v>
      </c>
      <c r="AE58" s="2" t="n">
        <v>13290.27777777778</v>
      </c>
      <c r="AF58" s="2" t="n">
        <v>1957.91</v>
      </c>
      <c r="AG58" s="2" t="n">
        <v>12395.59</v>
      </c>
      <c r="AH58" s="2" t="n">
        <v>0</v>
      </c>
      <c r="AI58" s="2" t="n">
        <v>38.9</v>
      </c>
      <c r="AJ58" s="2" t="n">
        <v>2.701388888888888</v>
      </c>
      <c r="AK58" s="2" t="n">
        <v>36.01851851851851</v>
      </c>
      <c r="AL58" s="2" t="n">
        <v>0</v>
      </c>
      <c r="AM58" s="2" t="n">
        <v>38.9</v>
      </c>
      <c r="AN58" s="2" t="n">
        <v>0</v>
      </c>
      <c r="AO58" s="2" t="n">
        <v>7200.83</v>
      </c>
      <c r="AP58" s="2" t="n">
        <v>526.7273796296296</v>
      </c>
      <c r="AQ58" s="2" t="n">
        <v>6667.435185185184</v>
      </c>
      <c r="AR58" s="2" t="n">
        <v>893.14</v>
      </c>
      <c r="AS58" s="2" t="n">
        <v>6307.69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30135.08</v>
      </c>
      <c r="BB58" s="2" t="n">
        <v>25805.67</v>
      </c>
      <c r="BC58" s="2">
        <f>F58+L58+R58+X58+AD58+AJ58+AP58+AV58+IF(BE58="",0,BE58)</f>
        <v/>
      </c>
      <c r="BD58" s="2" t="n">
        <v>397.407318</v>
      </c>
      <c r="BE58" s="2" t="n"/>
      <c r="BF58" s="2" t="n">
        <v>27902.85185185185</v>
      </c>
      <c r="BG58" s="2" t="n">
        <v>458.58</v>
      </c>
      <c r="BH58" s="2" t="n">
        <v>0</v>
      </c>
      <c r="BI58" s="2" t="n">
        <v>44995.2</v>
      </c>
      <c r="BJ58" s="2" t="n">
        <v>91.60226086956521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348.376545</v>
      </c>
      <c r="BQ58" s="2" t="n">
        <v>0</v>
      </c>
      <c r="BR58" s="2" t="n">
        <v>45918.75880586956</v>
      </c>
      <c r="BS58" s="2" t="n">
        <v>857.2733043478261</v>
      </c>
      <c r="BT58" s="2" t="n">
        <v>0</v>
      </c>
      <c r="BU58" s="2" t="n">
        <v>9285.531113043478</v>
      </c>
      <c r="BV58" s="2" t="n">
        <v>10142.8044173913</v>
      </c>
      <c r="BW58" s="2" t="n">
        <v>56061.56322326086</v>
      </c>
      <c r="BX58" s="2" t="n">
        <v>25805.67</v>
      </c>
      <c r="BY58" s="2" t="n">
        <v>0</v>
      </c>
      <c r="BZ58" s="2" t="n">
        <v>4329.41</v>
      </c>
      <c r="CA58" s="2" t="n">
        <v>25805.67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1236</v>
      </c>
      <c r="B59" t="inlineStr">
        <is>
          <t>Pelplin</t>
        </is>
      </c>
      <c r="C59" t="inlineStr">
        <is>
          <t>Pelplin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4330.19</v>
      </c>
      <c r="AP59" s="2" t="n">
        <v>3900</v>
      </c>
      <c r="AQ59" s="2" t="n">
        <v>4009.435185185185</v>
      </c>
      <c r="AR59" s="2" t="n">
        <v>0</v>
      </c>
      <c r="AS59" s="2" t="n">
        <v>3937.29</v>
      </c>
      <c r="AT59" s="2" t="n">
        <v>392.9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4330.19</v>
      </c>
      <c r="BB59" s="2" t="n">
        <v>4330.19</v>
      </c>
      <c r="BC59" s="2">
        <f>F59+L59+R59+X59+AD59+AJ59+AP59+AV59+IF(BE59="",0,BE59)</f>
        <v/>
      </c>
      <c r="BD59" s="2" t="n">
        <v>66.68492599999999</v>
      </c>
      <c r="BE59" s="2" t="n"/>
      <c r="BF59" s="2" t="n">
        <v>4009.435185185185</v>
      </c>
      <c r="BG59" s="2" t="n">
        <v>458.58</v>
      </c>
      <c r="BH59" s="2" t="n">
        <v>0</v>
      </c>
      <c r="BI59" s="2" t="n">
        <v>44995.2</v>
      </c>
      <c r="BJ59" s="2" t="n">
        <v>91.60226086956521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58.457565</v>
      </c>
      <c r="BQ59" s="2" t="n">
        <v>0</v>
      </c>
      <c r="BR59" s="2" t="n">
        <v>45628.83982586956</v>
      </c>
      <c r="BS59" s="2" t="n">
        <v>857.2733043478261</v>
      </c>
      <c r="BT59" s="2" t="n">
        <v>0</v>
      </c>
      <c r="BU59" s="2" t="n">
        <v>9285.531113043478</v>
      </c>
      <c r="BV59" s="2" t="n">
        <v>10142.8044173913</v>
      </c>
      <c r="BW59" s="2" t="n">
        <v>55771.64424326086</v>
      </c>
      <c r="BX59" s="2" t="n">
        <v>3937.29</v>
      </c>
      <c r="BY59" s="2" t="n">
        <v>392.9</v>
      </c>
      <c r="BZ59" s="2" t="n">
        <v>0</v>
      </c>
      <c r="CA59" s="2" t="n">
        <v>4330.19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1237</v>
      </c>
      <c r="B60" t="inlineStr">
        <is>
          <t>Dworcowa 2, 61-801 Poznań</t>
        </is>
      </c>
      <c r="C60" t="inlineStr">
        <is>
          <t>Poznań Główny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17318.03</v>
      </c>
      <c r="L60" s="2" t="n">
        <v>1441.56564537037</v>
      </c>
      <c r="M60" s="2" t="n">
        <v>16035.21296296296</v>
      </c>
      <c r="N60" s="2" t="n">
        <v>3275.53</v>
      </c>
      <c r="O60" s="2" t="n">
        <v>12805.65</v>
      </c>
      <c r="P60" s="2" t="n">
        <v>1236.85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24379.04</v>
      </c>
      <c r="AD60" s="2" t="n">
        <v>1557.549777777778</v>
      </c>
      <c r="AE60" s="2" t="n">
        <v>22573.18518518519</v>
      </c>
      <c r="AF60" s="2" t="n">
        <v>5276.85</v>
      </c>
      <c r="AG60" s="2" t="n">
        <v>18040.62</v>
      </c>
      <c r="AH60" s="2" t="n">
        <v>1061.57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11900.06</v>
      </c>
      <c r="AP60" s="2" t="n">
        <v>870.4673518518517</v>
      </c>
      <c r="AQ60" s="2" t="n">
        <v>11018.57407407407</v>
      </c>
      <c r="AR60" s="2" t="n">
        <v>2658.92</v>
      </c>
      <c r="AS60" s="2" t="n">
        <v>8672.49</v>
      </c>
      <c r="AT60" s="2" t="n">
        <v>568.65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53597.13</v>
      </c>
      <c r="BB60" s="2" t="n">
        <v>42385.83</v>
      </c>
      <c r="BC60" s="2">
        <f>F60+L60+R60+X60+AD60+AJ60+AP60+AV60+IF(BE60="",0,BE60)</f>
        <v/>
      </c>
      <c r="BD60" s="2" t="n">
        <v>652.7417820000001</v>
      </c>
      <c r="BE60" s="2" t="n"/>
      <c r="BF60" s="2" t="n">
        <v>49626.97222222222</v>
      </c>
      <c r="BG60" s="2" t="n">
        <v>458.58</v>
      </c>
      <c r="BH60" s="2" t="n">
        <v>0</v>
      </c>
      <c r="BI60" s="2" t="n">
        <v>44995.2</v>
      </c>
      <c r="BJ60" s="2" t="n">
        <v>91.60226086956521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572.208705</v>
      </c>
      <c r="BQ60" s="2" t="n">
        <v>0</v>
      </c>
      <c r="BR60" s="2" t="n">
        <v>46142.59096586956</v>
      </c>
      <c r="BS60" s="2" t="n">
        <v>857.2733043478261</v>
      </c>
      <c r="BT60" s="2" t="n">
        <v>0</v>
      </c>
      <c r="BU60" s="2" t="n">
        <v>9285.531113043478</v>
      </c>
      <c r="BV60" s="2" t="n">
        <v>10142.8044173913</v>
      </c>
      <c r="BW60" s="2" t="n">
        <v>56285.39538326087</v>
      </c>
      <c r="BX60" s="2" t="n">
        <v>39518.75999999999</v>
      </c>
      <c r="BY60" s="2" t="n">
        <v>2867.07</v>
      </c>
      <c r="BZ60" s="2" t="n">
        <v>11211.3</v>
      </c>
      <c r="CA60" s="2" t="n">
        <v>42385.82999999999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1238</v>
      </c>
      <c r="B61" t="inlineStr">
        <is>
          <t>Dworcowa 2, 61-801 Poznań</t>
        </is>
      </c>
      <c r="C61" t="inlineStr">
        <is>
          <t>Poznań Główny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10748.29</v>
      </c>
      <c r="L61" s="2" t="n">
        <v>894.6956212962964</v>
      </c>
      <c r="M61" s="2" t="n">
        <v>9952.12037037037</v>
      </c>
      <c r="N61" s="2" t="n">
        <v>1964.01</v>
      </c>
      <c r="O61" s="2" t="n">
        <v>8166.18</v>
      </c>
      <c r="P61" s="2" t="n">
        <v>618.1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21273.43</v>
      </c>
      <c r="AD61" s="2" t="n">
        <v>1359.135805555556</v>
      </c>
      <c r="AE61" s="2" t="n">
        <v>19697.62037037037</v>
      </c>
      <c r="AF61" s="2" t="n">
        <v>3531.22</v>
      </c>
      <c r="AG61" s="2" t="n">
        <v>16683.8</v>
      </c>
      <c r="AH61" s="2" t="n">
        <v>1058.41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6248.3</v>
      </c>
      <c r="AP61" s="2" t="n">
        <v>457.051574074074</v>
      </c>
      <c r="AQ61" s="2" t="n">
        <v>5785.462962962963</v>
      </c>
      <c r="AR61" s="2" t="n">
        <v>1142.59</v>
      </c>
      <c r="AS61" s="2" t="n">
        <v>4666.22</v>
      </c>
      <c r="AT61" s="2" t="n">
        <v>439.49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38270.02</v>
      </c>
      <c r="BB61" s="2" t="n">
        <v>31632.2</v>
      </c>
      <c r="BC61" s="2">
        <f>F61+L61+R61+X61+AD61+AJ61+AP61+AV61+IF(BE61="",0,BE61)</f>
        <v/>
      </c>
      <c r="BD61" s="2" t="n">
        <v>487.13588</v>
      </c>
      <c r="BE61" s="2" t="n"/>
      <c r="BF61" s="2" t="n">
        <v>35435.2037037037</v>
      </c>
      <c r="BG61" s="2" t="n">
        <v>458.58</v>
      </c>
      <c r="BH61" s="2" t="n">
        <v>0</v>
      </c>
      <c r="BI61" s="2" t="n">
        <v>44995.2</v>
      </c>
      <c r="BJ61" s="2" t="n">
        <v>91.60226086956521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427.0347</v>
      </c>
      <c r="BQ61" s="2" t="n">
        <v>0</v>
      </c>
      <c r="BR61" s="2" t="n">
        <v>45997.41696086956</v>
      </c>
      <c r="BS61" s="2" t="n">
        <v>857.2733043478261</v>
      </c>
      <c r="BT61" s="2" t="n">
        <v>0</v>
      </c>
      <c r="BU61" s="2" t="n">
        <v>9285.531113043478</v>
      </c>
      <c r="BV61" s="2" t="n">
        <v>10142.8044173913</v>
      </c>
      <c r="BW61" s="2" t="n">
        <v>56140.22137826086</v>
      </c>
      <c r="BX61" s="2" t="n">
        <v>29516.2</v>
      </c>
      <c r="BY61" s="2" t="n">
        <v>2116</v>
      </c>
      <c r="BZ61" s="2" t="n">
        <v>6637.82</v>
      </c>
      <c r="CA61" s="2" t="n">
        <v>31632.2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1239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15606.39</v>
      </c>
      <c r="L62" s="2" t="n">
        <v>1299.087463888889</v>
      </c>
      <c r="M62" s="2" t="n">
        <v>14450.36111111111</v>
      </c>
      <c r="N62" s="2" t="n">
        <v>2215.94</v>
      </c>
      <c r="O62" s="2" t="n">
        <v>12417.83</v>
      </c>
      <c r="P62" s="2" t="n">
        <v>972.62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33817.96</v>
      </c>
      <c r="AD62" s="2" t="n">
        <v>2160.591888888889</v>
      </c>
      <c r="AE62" s="2" t="n">
        <v>31312.92592592592</v>
      </c>
      <c r="AF62" s="2" t="n">
        <v>6088.75</v>
      </c>
      <c r="AG62" s="2" t="n">
        <v>25257.47</v>
      </c>
      <c r="AH62" s="2" t="n">
        <v>2471.74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10637.21</v>
      </c>
      <c r="AP62" s="2" t="n">
        <v>778.0922129629628</v>
      </c>
      <c r="AQ62" s="2" t="n">
        <v>9849.268518518516</v>
      </c>
      <c r="AR62" s="2" t="n">
        <v>1856.97</v>
      </c>
      <c r="AS62" s="2" t="n">
        <v>7828.68</v>
      </c>
      <c r="AT62" s="2" t="n">
        <v>951.5599999999999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60061.56</v>
      </c>
      <c r="BB62" s="2" t="n">
        <v>49899.9</v>
      </c>
      <c r="BC62" s="2">
        <f>F62+L62+R62+X62+AD62+AJ62+AP62+AV62+IF(BE62="",0,BE62)</f>
        <v/>
      </c>
      <c r="BD62" s="2" t="n">
        <v>768.4584600000001</v>
      </c>
      <c r="BE62" s="2" t="n"/>
      <c r="BF62" s="2" t="n">
        <v>55612.55555555555</v>
      </c>
      <c r="BG62" s="2" t="n">
        <v>458.58</v>
      </c>
      <c r="BH62" s="2" t="n">
        <v>0</v>
      </c>
      <c r="BI62" s="2" t="n">
        <v>44995.2</v>
      </c>
      <c r="BJ62" s="2" t="n">
        <v>91.60226086956521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673.64865</v>
      </c>
      <c r="BQ62" s="2" t="n">
        <v>0</v>
      </c>
      <c r="BR62" s="2" t="n">
        <v>46244.03091086957</v>
      </c>
      <c r="BS62" s="2" t="n">
        <v>857.2733043478261</v>
      </c>
      <c r="BT62" s="2" t="n">
        <v>0</v>
      </c>
      <c r="BU62" s="2" t="n">
        <v>9285.531113043478</v>
      </c>
      <c r="BV62" s="2" t="n">
        <v>10142.8044173913</v>
      </c>
      <c r="BW62" s="2" t="n">
        <v>56386.83532826087</v>
      </c>
      <c r="BX62" s="2" t="n">
        <v>45503.98</v>
      </c>
      <c r="BY62" s="2" t="n">
        <v>4395.92</v>
      </c>
      <c r="BZ62" s="2" t="n">
        <v>10161.66</v>
      </c>
      <c r="CA62" s="2" t="n">
        <v>49899.9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1240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32843.3</v>
      </c>
      <c r="L63" s="2" t="n">
        <v>2733.900620370371</v>
      </c>
      <c r="M63" s="2" t="n">
        <v>30410.46296296296</v>
      </c>
      <c r="N63" s="2" t="n">
        <v>5994.67</v>
      </c>
      <c r="O63" s="2" t="n">
        <v>25058.74</v>
      </c>
      <c r="P63" s="2" t="n">
        <v>1789.89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61584.52</v>
      </c>
      <c r="AD63" s="2" t="n">
        <v>3934.566555555556</v>
      </c>
      <c r="AE63" s="2" t="n">
        <v>57022.7037037037</v>
      </c>
      <c r="AF63" s="2" t="n">
        <v>11102.86</v>
      </c>
      <c r="AG63" s="2" t="n">
        <v>46484.33</v>
      </c>
      <c r="AH63" s="2" t="n">
        <v>3997.33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19410.98</v>
      </c>
      <c r="AP63" s="2" t="n">
        <v>1419.877240740741</v>
      </c>
      <c r="AQ63" s="2" t="n">
        <v>17973.12962962963</v>
      </c>
      <c r="AR63" s="2" t="n">
        <v>3588.29</v>
      </c>
      <c r="AS63" s="2" t="n">
        <v>14777.86</v>
      </c>
      <c r="AT63" s="2" t="n">
        <v>1044.83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113838.8</v>
      </c>
      <c r="BB63" s="2" t="n">
        <v>93152.98000000001</v>
      </c>
      <c r="BC63" s="2">
        <f>F63+L63+R63+X63+AD63+AJ63+AP63+AV63+IF(BE63="",0,BE63)</f>
        <v/>
      </c>
      <c r="BD63" s="2" t="n">
        <v>1434.555892</v>
      </c>
      <c r="BE63" s="2" t="n"/>
      <c r="BF63" s="2" t="n">
        <v>105406.2962962963</v>
      </c>
      <c r="BG63" s="2" t="n">
        <v>458.58</v>
      </c>
      <c r="BH63" s="2" t="n">
        <v>0</v>
      </c>
      <c r="BI63" s="2" t="n">
        <v>44995.2</v>
      </c>
      <c r="BJ63" s="2" t="n">
        <v>91.60226086956521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1257.56523</v>
      </c>
      <c r="BQ63" s="2" t="n">
        <v>0</v>
      </c>
      <c r="BR63" s="2" t="n">
        <v>46827.94749086956</v>
      </c>
      <c r="BS63" s="2" t="n">
        <v>857.2733043478261</v>
      </c>
      <c r="BT63" s="2" t="n">
        <v>0</v>
      </c>
      <c r="BU63" s="2" t="n">
        <v>9285.531113043478</v>
      </c>
      <c r="BV63" s="2" t="n">
        <v>10142.8044173913</v>
      </c>
      <c r="BW63" s="2" t="n">
        <v>56970.75190826086</v>
      </c>
      <c r="BX63" s="2" t="n">
        <v>86320.93000000001</v>
      </c>
      <c r="BY63" s="2" t="n">
        <v>6832.05</v>
      </c>
      <c r="BZ63" s="2" t="n">
        <v>20685.82</v>
      </c>
      <c r="CA63" s="2" t="n">
        <v>93152.98000000001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1241</v>
      </c>
      <c r="B64" t="inlineStr">
        <is>
          <t>Kolejowa 1, 62-510 Konin</t>
        </is>
      </c>
      <c r="C64" t="inlineStr">
        <is>
          <t>Konin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3795.56</v>
      </c>
      <c r="L64" s="2" t="n">
        <v>315.9452259259259</v>
      </c>
      <c r="M64" s="2" t="n">
        <v>3514.407407407407</v>
      </c>
      <c r="N64" s="2" t="n">
        <v>1121.6</v>
      </c>
      <c r="O64" s="2" t="n">
        <v>2391</v>
      </c>
      <c r="P64" s="2" t="n">
        <v>282.96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9825.57</v>
      </c>
      <c r="AD64" s="2" t="n">
        <v>627.7447500000001</v>
      </c>
      <c r="AE64" s="2" t="n">
        <v>9097.75</v>
      </c>
      <c r="AF64" s="2" t="n">
        <v>1985.58</v>
      </c>
      <c r="AG64" s="2" t="n">
        <v>7282.1</v>
      </c>
      <c r="AH64" s="2" t="n">
        <v>557.89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135.46</v>
      </c>
      <c r="AP64" s="2" t="n">
        <v>9.908648148148147</v>
      </c>
      <c r="AQ64" s="2" t="n">
        <v>125.4259259259259</v>
      </c>
      <c r="AR64" s="2" t="n">
        <v>42.46</v>
      </c>
      <c r="AS64" s="2" t="n">
        <v>93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13756.59</v>
      </c>
      <c r="BB64" s="2" t="n">
        <v>10606.95</v>
      </c>
      <c r="BC64" s="2">
        <f>F64+L64+R64+X64+AD64+AJ64+AP64+AV64+IF(BE64="",0,BE64)</f>
        <v/>
      </c>
      <c r="BD64" s="2" t="n">
        <v>163.34703</v>
      </c>
      <c r="BE64" s="2" t="n"/>
      <c r="BF64" s="2" t="n">
        <v>12737.58333333333</v>
      </c>
      <c r="BG64" s="2" t="n">
        <v>420</v>
      </c>
      <c r="BH64" s="2" t="n">
        <v>187</v>
      </c>
      <c r="BI64" s="2" t="n">
        <v>44995.2</v>
      </c>
      <c r="BJ64" s="2" t="n">
        <v>91.60226086956521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143.193825</v>
      </c>
      <c r="BQ64" s="2" t="n">
        <v>0</v>
      </c>
      <c r="BR64" s="2" t="n">
        <v>45861.99608586956</v>
      </c>
      <c r="BS64" s="2" t="n">
        <v>857.2733043478261</v>
      </c>
      <c r="BT64" s="2" t="n">
        <v>0</v>
      </c>
      <c r="BU64" s="2" t="n">
        <v>9315.215113043478</v>
      </c>
      <c r="BV64" s="2" t="n">
        <v>10172.4884173913</v>
      </c>
      <c r="BW64" s="2" t="n">
        <v>56034.48450326086</v>
      </c>
      <c r="BX64" s="2" t="n">
        <v>9766.1</v>
      </c>
      <c r="BY64" s="2" t="n">
        <v>840.8499999999999</v>
      </c>
      <c r="BZ64" s="2" t="n">
        <v>3149.64</v>
      </c>
      <c r="CA64" s="2" t="n">
        <v>10606.95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1242</v>
      </c>
      <c r="B65" t="inlineStr">
        <is>
          <t>Dworcowa 1, 62-800 Kalisz</t>
        </is>
      </c>
      <c r="C65" t="inlineStr">
        <is>
          <t>Kalisz</t>
        </is>
      </c>
      <c r="D65" t="inlineStr">
        <is>
          <t>ST|40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13833.55</v>
      </c>
      <c r="L65" s="2" t="n">
        <v>1151.514949074074</v>
      </c>
      <c r="M65" s="2" t="n">
        <v>12808.84259259259</v>
      </c>
      <c r="N65" s="2" t="n">
        <v>5274.01</v>
      </c>
      <c r="O65" s="2" t="n">
        <v>7829.45</v>
      </c>
      <c r="P65" s="2" t="n">
        <v>730.09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3081.33</v>
      </c>
      <c r="AD65" s="2" t="n">
        <v>196.86275</v>
      </c>
      <c r="AE65" s="2" t="n">
        <v>2853.083333333333</v>
      </c>
      <c r="AF65" s="2" t="n">
        <v>769.28</v>
      </c>
      <c r="AG65" s="2" t="n">
        <v>2012.02</v>
      </c>
      <c r="AH65" s="2" t="n">
        <v>300.03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9576.439999999999</v>
      </c>
      <c r="AP65" s="2" t="n">
        <v>700.4988518518518</v>
      </c>
      <c r="AQ65" s="2" t="n">
        <v>8867.074074074073</v>
      </c>
      <c r="AR65" s="2" t="n">
        <v>3137.2</v>
      </c>
      <c r="AS65" s="2" t="n">
        <v>6134.11</v>
      </c>
      <c r="AT65" s="2" t="n">
        <v>305.13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26491.32</v>
      </c>
      <c r="BB65" s="2" t="n">
        <v>17310.83</v>
      </c>
      <c r="BC65" s="2">
        <f>F65+L65+R65+X65+AD65+AJ65+AP65+AV65+IF(BE65="",0,BE65)</f>
        <v/>
      </c>
      <c r="BD65" s="2" t="n">
        <v>266.586782</v>
      </c>
      <c r="BE65" s="2" t="n"/>
      <c r="BF65" s="2" t="n">
        <v>24529</v>
      </c>
      <c r="BG65" s="2" t="n">
        <v>539.1099999999999</v>
      </c>
      <c r="BH65" s="2" t="n">
        <v>208</v>
      </c>
      <c r="BI65" s="2" t="n">
        <v>44995.2</v>
      </c>
      <c r="BJ65" s="2" t="n">
        <v>91.60226086956521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233.696205</v>
      </c>
      <c r="BQ65" s="2" t="n">
        <v>0</v>
      </c>
      <c r="BR65" s="2" t="n">
        <v>46092.60846586956</v>
      </c>
      <c r="BS65" s="2" t="n">
        <v>857.2733043478261</v>
      </c>
      <c r="BT65" s="2" t="n">
        <v>0</v>
      </c>
      <c r="BU65" s="2" t="n">
        <v>9343.237113043479</v>
      </c>
      <c r="BV65" s="2" t="n">
        <v>10200.5104173913</v>
      </c>
      <c r="BW65" s="2" t="n">
        <v>56293.11888326087</v>
      </c>
      <c r="BX65" s="2" t="n">
        <v>15975.58</v>
      </c>
      <c r="BY65" s="2" t="n">
        <v>1335.25</v>
      </c>
      <c r="BZ65" s="2" t="n">
        <v>9180.49</v>
      </c>
      <c r="CA65" s="2" t="n">
        <v>17310.83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1243</v>
      </c>
      <c r="B66" t="inlineStr">
        <is>
          <t>Garbary 89, 61-757 Poznań</t>
        </is>
      </c>
      <c r="C66" t="inlineStr">
        <is>
          <t>Poznań Garbary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138.98</v>
      </c>
      <c r="L66" s="2" t="n">
        <v>11.56879814814815</v>
      </c>
      <c r="M66" s="2" t="n">
        <v>128.6851851851852</v>
      </c>
      <c r="N66" s="2" t="n">
        <v>61</v>
      </c>
      <c r="O66" s="2" t="n">
        <v>77.98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21946.91</v>
      </c>
      <c r="AD66" s="2" t="n">
        <v>1402.163694444444</v>
      </c>
      <c r="AE66" s="2" t="n">
        <v>20321.21296296296</v>
      </c>
      <c r="AF66" s="2" t="n">
        <v>3257.27</v>
      </c>
      <c r="AG66" s="2" t="n">
        <v>18050.98</v>
      </c>
      <c r="AH66" s="2" t="n">
        <v>638.66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3665.04</v>
      </c>
      <c r="AP66" s="2" t="n">
        <v>268.0908888888889</v>
      </c>
      <c r="AQ66" s="2" t="n">
        <v>3393.555555555555</v>
      </c>
      <c r="AR66" s="2" t="n">
        <v>752.22</v>
      </c>
      <c r="AS66" s="2" t="n">
        <v>2828.68</v>
      </c>
      <c r="AT66" s="2" t="n">
        <v>84.14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25750.93</v>
      </c>
      <c r="BB66" s="2" t="n">
        <v>21680.44</v>
      </c>
      <c r="BC66" s="2">
        <f>F66+L66+R66+X66+AD66+AJ66+AP66+AV66+IF(BE66="",0,BE66)</f>
        <v/>
      </c>
      <c r="BD66" s="2" t="n">
        <v>333.878776</v>
      </c>
      <c r="BE66" s="2" t="n"/>
      <c r="BF66" s="2" t="n">
        <v>23843.4537037037</v>
      </c>
      <c r="BG66" s="2" t="n">
        <v>587.13</v>
      </c>
      <c r="BH66" s="2" t="n">
        <v>182</v>
      </c>
      <c r="BI66" s="2" t="n">
        <v>44995.2</v>
      </c>
      <c r="BJ66" s="2" t="n">
        <v>91.60226086956521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292.68594</v>
      </c>
      <c r="BQ66" s="2" t="n">
        <v>0</v>
      </c>
      <c r="BR66" s="2" t="n">
        <v>46173.61820086956</v>
      </c>
      <c r="BS66" s="2" t="n">
        <v>857.2733043478261</v>
      </c>
      <c r="BT66" s="2" t="n">
        <v>0</v>
      </c>
      <c r="BU66" s="2" t="n">
        <v>9347.641113043479</v>
      </c>
      <c r="BV66" s="2" t="n">
        <v>10204.9144173913</v>
      </c>
      <c r="BW66" s="2" t="n">
        <v>56378.53261826087</v>
      </c>
      <c r="BX66" s="2" t="n">
        <v>20957.64</v>
      </c>
      <c r="BY66" s="2" t="n">
        <v>722.8</v>
      </c>
      <c r="BZ66" s="2" t="n">
        <v>4070.49</v>
      </c>
      <c r="CA66" s="2" t="n">
        <v>21680.44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1244</v>
      </c>
      <c r="B67" t="inlineStr">
        <is>
          <t>Dworcowa 7, 62-200 Gniezno</t>
        </is>
      </c>
      <c r="C67" t="inlineStr">
        <is>
          <t>Gniezno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16687.46</v>
      </c>
      <c r="L67" s="2" t="n">
        <v>1389.076531481481</v>
      </c>
      <c r="M67" s="2" t="n">
        <v>15451.35185185185</v>
      </c>
      <c r="N67" s="2" t="n">
        <v>4605.92</v>
      </c>
      <c r="O67" s="2" t="n">
        <v>11089.85</v>
      </c>
      <c r="P67" s="2" t="n">
        <v>991.6900000000001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16815.43</v>
      </c>
      <c r="AD67" s="2" t="n">
        <v>1074.319138888889</v>
      </c>
      <c r="AE67" s="2" t="n">
        <v>15569.84259259259</v>
      </c>
      <c r="AF67" s="2" t="n">
        <v>4657.19</v>
      </c>
      <c r="AG67" s="2" t="n">
        <v>11193.28</v>
      </c>
      <c r="AH67" s="2" t="n">
        <v>964.96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6433.33</v>
      </c>
      <c r="AP67" s="2" t="n">
        <v>470.5861759259259</v>
      </c>
      <c r="AQ67" s="2" t="n">
        <v>5956.787037037036</v>
      </c>
      <c r="AR67" s="2" t="n">
        <v>1415.88</v>
      </c>
      <c r="AS67" s="2" t="n">
        <v>4593.61</v>
      </c>
      <c r="AT67" s="2" t="n">
        <v>423.84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39936.22</v>
      </c>
      <c r="BB67" s="2" t="n">
        <v>29257.23</v>
      </c>
      <c r="BC67" s="2">
        <f>F67+L67+R67+X67+AD67+AJ67+AP67+AV67+IF(BE67="",0,BE67)</f>
        <v/>
      </c>
      <c r="BD67" s="2" t="n">
        <v>450.5613420000001</v>
      </c>
      <c r="BE67" s="2" t="n"/>
      <c r="BF67" s="2" t="n">
        <v>36977.98148148147</v>
      </c>
      <c r="BG67" s="2" t="n">
        <v>0</v>
      </c>
      <c r="BH67" s="2" t="n">
        <v>0</v>
      </c>
      <c r="BI67" s="2" t="n">
        <v>44995.2</v>
      </c>
      <c r="BJ67" s="2" t="n">
        <v>91.60226086956521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394.972605</v>
      </c>
      <c r="BQ67" s="2" t="n">
        <v>0</v>
      </c>
      <c r="BR67" s="2" t="n">
        <v>45506.77486586956</v>
      </c>
      <c r="BS67" s="2" t="n">
        <v>857.2733043478261</v>
      </c>
      <c r="BT67" s="2" t="n">
        <v>0</v>
      </c>
      <c r="BU67" s="2" t="n">
        <v>9193.815113043478</v>
      </c>
      <c r="BV67" s="2" t="n">
        <v>10051.0884173913</v>
      </c>
      <c r="BW67" s="2" t="n">
        <v>55557.86328326087</v>
      </c>
      <c r="BX67" s="2" t="n">
        <v>26876.74</v>
      </c>
      <c r="BY67" s="2" t="n">
        <v>2380.49</v>
      </c>
      <c r="BZ67" s="2" t="n">
        <v>10678.99</v>
      </c>
      <c r="CA67" s="2" t="n">
        <v>29257.23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1245</v>
      </c>
      <c r="B68" t="inlineStr">
        <is>
          <t>Plac Dworcowy 1, 80-321 Gdańsk</t>
        </is>
      </c>
      <c r="C68" t="inlineStr">
        <is>
          <t>Gdańsk Oliwa</t>
        </is>
      </c>
      <c r="D68" t="inlineStr">
        <is>
          <t>ST|40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5463.84</v>
      </c>
      <c r="L68" s="2" t="n">
        <v>454.8140888888889</v>
      </c>
      <c r="M68" s="2" t="n">
        <v>5059.111111111111</v>
      </c>
      <c r="N68" s="2" t="n">
        <v>1637.54</v>
      </c>
      <c r="O68" s="2" t="n">
        <v>3799.64</v>
      </c>
      <c r="P68" s="2" t="n">
        <v>26.66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10098.46</v>
      </c>
      <c r="AP68" s="2" t="n">
        <v>738.6836481481482</v>
      </c>
      <c r="AQ68" s="2" t="n">
        <v>9350.425925925927</v>
      </c>
      <c r="AR68" s="2" t="n">
        <v>4061.53</v>
      </c>
      <c r="AS68" s="2" t="n">
        <v>5794.75</v>
      </c>
      <c r="AT68" s="2" t="n">
        <v>242.18</v>
      </c>
      <c r="AU68" s="2" t="n">
        <v>5587.8</v>
      </c>
      <c r="AV68" s="2" t="n">
        <v>222.4772222222222</v>
      </c>
      <c r="AW68" s="2" t="n">
        <v>5173.888888888889</v>
      </c>
      <c r="AX68" s="2" t="n">
        <v>1622.95</v>
      </c>
      <c r="AY68" s="2" t="n">
        <v>3881.05</v>
      </c>
      <c r="AZ68" s="2" t="n">
        <v>83.8</v>
      </c>
      <c r="BA68" s="2" t="n">
        <v>21150.1</v>
      </c>
      <c r="BB68" s="2" t="n">
        <v>13828.08</v>
      </c>
      <c r="BC68" s="2">
        <f>F68+L68+R68+X68+AD68+AJ68+AP68+AV68+IF(BE68="",0,BE68)</f>
        <v/>
      </c>
      <c r="BD68" s="2" t="n">
        <v>212.952432</v>
      </c>
      <c r="BE68" s="2" t="n"/>
      <c r="BF68" s="2" t="n">
        <v>19583.42592592593</v>
      </c>
      <c r="BG68" s="2" t="n">
        <v>0</v>
      </c>
      <c r="BH68" s="2" t="n">
        <v>0</v>
      </c>
      <c r="BI68" s="2" t="n">
        <v>44995.2</v>
      </c>
      <c r="BJ68" s="2" t="n">
        <v>91.60226086956521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186.67908</v>
      </c>
      <c r="BQ68" s="2" t="n">
        <v>0</v>
      </c>
      <c r="BR68" s="2" t="n">
        <v>45298.48134086956</v>
      </c>
      <c r="BS68" s="2" t="n">
        <v>857.2733043478261</v>
      </c>
      <c r="BT68" s="2" t="n">
        <v>0</v>
      </c>
      <c r="BU68" s="2" t="n">
        <v>9193.815113043478</v>
      </c>
      <c r="BV68" s="2" t="n">
        <v>10051.0884173913</v>
      </c>
      <c r="BW68" s="2" t="n">
        <v>55349.56975826087</v>
      </c>
      <c r="BX68" s="2" t="n">
        <v>13475.44</v>
      </c>
      <c r="BY68" s="2" t="n">
        <v>352.64</v>
      </c>
      <c r="BZ68" s="2" t="n">
        <v>7322.02</v>
      </c>
      <c r="CA68" s="2" t="n">
        <v>13828.08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1246</v>
      </c>
      <c r="B69" t="inlineStr">
        <is>
          <t>Dworcowa 1, 63-400 Ostrów Wlkp.</t>
        </is>
      </c>
      <c r="C69" t="inlineStr">
        <is>
          <t>Ostrów Wielkopolski</t>
        </is>
      </c>
      <c r="D69" t="inlineStr">
        <is>
          <t>ST|40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8263.360000000001</v>
      </c>
      <c r="L69" s="2" t="n">
        <v>687.8482074074075</v>
      </c>
      <c r="M69" s="2" t="n">
        <v>7651.259259259259</v>
      </c>
      <c r="N69" s="2" t="n">
        <v>2777.33</v>
      </c>
      <c r="O69" s="2" t="n">
        <v>5066.88</v>
      </c>
      <c r="P69" s="2" t="n">
        <v>419.15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9472.539999999999</v>
      </c>
      <c r="AD69" s="2" t="n">
        <v>605.1900555555554</v>
      </c>
      <c r="AE69" s="2" t="n">
        <v>8770.870370370369</v>
      </c>
      <c r="AF69" s="2" t="n">
        <v>2818.12</v>
      </c>
      <c r="AG69" s="2" t="n">
        <v>5956.03</v>
      </c>
      <c r="AH69" s="2" t="n">
        <v>698.39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9948.030000000001</v>
      </c>
      <c r="AP69" s="2" t="n">
        <v>727.6799722222222</v>
      </c>
      <c r="AQ69" s="2" t="n">
        <v>9211.138888888889</v>
      </c>
      <c r="AR69" s="2" t="n">
        <v>2805.45</v>
      </c>
      <c r="AS69" s="2" t="n">
        <v>6779.43</v>
      </c>
      <c r="AT69" s="2" t="n">
        <v>363.15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27683.93</v>
      </c>
      <c r="BB69" s="2" t="n">
        <v>19283.03</v>
      </c>
      <c r="BC69" s="2">
        <f>F69+L69+R69+X69+AD69+AJ69+AP69+AV69+IF(BE69="",0,BE69)</f>
        <v/>
      </c>
      <c r="BD69" s="2" t="n">
        <v>296.958662</v>
      </c>
      <c r="BE69" s="2" t="n"/>
      <c r="BF69" s="2" t="n">
        <v>25633.26851851852</v>
      </c>
      <c r="BG69" s="2" t="n">
        <v>0</v>
      </c>
      <c r="BH69" s="2" t="n">
        <v>113.4</v>
      </c>
      <c r="BI69" s="2" t="n">
        <v>44995.2</v>
      </c>
      <c r="BJ69" s="2" t="n">
        <v>91.60226086956521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260.320905</v>
      </c>
      <c r="BQ69" s="2" t="n">
        <v>0</v>
      </c>
      <c r="BR69" s="2" t="n">
        <v>45485.52316586956</v>
      </c>
      <c r="BS69" s="2" t="n">
        <v>857.2733043478261</v>
      </c>
      <c r="BT69" s="2" t="n">
        <v>0</v>
      </c>
      <c r="BU69" s="2" t="n">
        <v>9216.495113043478</v>
      </c>
      <c r="BV69" s="2" t="n">
        <v>10073.7684173913</v>
      </c>
      <c r="BW69" s="2" t="n">
        <v>55559.29158326087</v>
      </c>
      <c r="BX69" s="2" t="n">
        <v>17802.34</v>
      </c>
      <c r="BY69" s="2" t="n">
        <v>1480.69</v>
      </c>
      <c r="BZ69" s="2" t="n">
        <v>8400.9</v>
      </c>
      <c r="CA69" s="2" t="n">
        <v>19283.03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1247</v>
      </c>
      <c r="B70" t="inlineStr">
        <is>
          <t>Kujawska 1, 87-100 Toruń</t>
        </is>
      </c>
      <c r="C70" t="inlineStr">
        <is>
          <t>Toruń</t>
        </is>
      </c>
      <c r="D70" t="inlineStr">
        <is>
          <t>FAA2000</t>
        </is>
      </c>
      <c r="E70" s="2" t="n">
        <v>2148.77</v>
      </c>
      <c r="F70" s="2" t="n">
        <v>1000</v>
      </c>
      <c r="G70" s="2" t="n">
        <v>1989.601851851852</v>
      </c>
      <c r="H70" s="2" t="n">
        <v>759.91</v>
      </c>
      <c r="I70" s="2" t="n">
        <v>1388.86</v>
      </c>
      <c r="J70" s="2" t="n">
        <v>0</v>
      </c>
      <c r="K70" s="2" t="n">
        <v>7048.87</v>
      </c>
      <c r="L70" s="2" t="n">
        <v>586.7531601851852</v>
      </c>
      <c r="M70" s="2" t="n">
        <v>6526.731481481481</v>
      </c>
      <c r="N70" s="2" t="n">
        <v>1562.66</v>
      </c>
      <c r="O70" s="2" t="n">
        <v>5486.21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13769.9</v>
      </c>
      <c r="AP70" s="2" t="n">
        <v>1007.242685185185</v>
      </c>
      <c r="AQ70" s="2" t="n">
        <v>12749.90740740741</v>
      </c>
      <c r="AR70" s="2" t="n">
        <v>4003.84</v>
      </c>
      <c r="AS70" s="2" t="n">
        <v>9766.059999999999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22967.54</v>
      </c>
      <c r="BB70" s="2" t="n">
        <v>16641.13</v>
      </c>
      <c r="BC70" s="2">
        <f>F70+L70+R70+X70+AD70+AJ70+AP70+AV70+IF(BE70="",0,BE70)</f>
        <v/>
      </c>
      <c r="BD70" s="2" t="n">
        <v>256.273402</v>
      </c>
      <c r="BE70" s="2" t="n"/>
      <c r="BF70" s="2" t="n">
        <v>21266.24074074074</v>
      </c>
      <c r="BG70" s="2" t="n">
        <v>534.6800000000001</v>
      </c>
      <c r="BH70" s="2" t="n">
        <v>139</v>
      </c>
      <c r="BI70" s="2" t="n">
        <v>44995.2</v>
      </c>
      <c r="BJ70" s="2" t="n">
        <v>91.60226086956521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224.655255</v>
      </c>
      <c r="BQ70" s="2" t="n">
        <v>0</v>
      </c>
      <c r="BR70" s="2" t="n">
        <v>46010.13751586956</v>
      </c>
      <c r="BS70" s="2" t="n">
        <v>857.2733043478261</v>
      </c>
      <c r="BT70" s="2" t="n">
        <v>0</v>
      </c>
      <c r="BU70" s="2" t="n">
        <v>9328.551113043479</v>
      </c>
      <c r="BV70" s="2" t="n">
        <v>10185.8244173913</v>
      </c>
      <c r="BW70" s="2" t="n">
        <v>56195.96193326086</v>
      </c>
      <c r="BX70" s="2" t="n">
        <v>16641.13</v>
      </c>
      <c r="BY70" s="2" t="n">
        <v>0</v>
      </c>
      <c r="BZ70" s="2" t="n">
        <v>6326.41</v>
      </c>
      <c r="CA70" s="2" t="n">
        <v>16641.13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1249</v>
      </c>
      <c r="B71" t="inlineStr">
        <is>
          <t>Stefana Okrzei 65, 87-810 Włocławek</t>
        </is>
      </c>
      <c r="C71" t="inlineStr">
        <is>
          <t>Włocławek</t>
        </is>
      </c>
      <c r="D71" t="inlineStr">
        <is>
          <t>FAA2000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4500.309999999999</v>
      </c>
      <c r="L71" s="2" t="n">
        <v>374.6091379629629</v>
      </c>
      <c r="M71" s="2" t="n">
        <v>4166.953703703703</v>
      </c>
      <c r="N71" s="2" t="n">
        <v>848.41</v>
      </c>
      <c r="O71" s="2" t="n">
        <v>3180.73</v>
      </c>
      <c r="P71" s="2" t="n">
        <v>471.17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8355.610000000001</v>
      </c>
      <c r="AP71" s="2" t="n">
        <v>611.1973981481482</v>
      </c>
      <c r="AQ71" s="2" t="n">
        <v>7736.675925925926</v>
      </c>
      <c r="AR71" s="2" t="n">
        <v>2616.7</v>
      </c>
      <c r="AS71" s="2" t="n">
        <v>5310.39</v>
      </c>
      <c r="AT71" s="2" t="n">
        <v>428.52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12855.92</v>
      </c>
      <c r="BB71" s="2" t="n">
        <v>9390.809999999999</v>
      </c>
      <c r="BC71" s="2">
        <f>F71+L71+R71+X71+AD71+AJ71+AP71+AV71+IF(BE71="",0,BE71)</f>
        <v/>
      </c>
      <c r="BD71" s="2" t="n">
        <v>144.618474</v>
      </c>
      <c r="BE71" s="2" t="n"/>
      <c r="BF71" s="2" t="n">
        <v>11903.62962962963</v>
      </c>
      <c r="BG71" s="2" t="n">
        <v>694.6900000000001</v>
      </c>
      <c r="BH71" s="2" t="n">
        <v>167.5</v>
      </c>
      <c r="BI71" s="2" t="n">
        <v>44995.2</v>
      </c>
      <c r="BJ71" s="2" t="n">
        <v>91.60226086956521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126.775935</v>
      </c>
      <c r="BQ71" s="2" t="n">
        <v>0</v>
      </c>
      <c r="BR71" s="2" t="n">
        <v>46100.76819586956</v>
      </c>
      <c r="BS71" s="2" t="n">
        <v>857.2733043478261</v>
      </c>
      <c r="BT71" s="2" t="n">
        <v>0</v>
      </c>
      <c r="BU71" s="2" t="n">
        <v>9366.253113043478</v>
      </c>
      <c r="BV71" s="2" t="n">
        <v>10223.5264173913</v>
      </c>
      <c r="BW71" s="2" t="n">
        <v>56324.29461326086</v>
      </c>
      <c r="BX71" s="2" t="n">
        <v>8491.120000000001</v>
      </c>
      <c r="BY71" s="2" t="n">
        <v>899.6900000000001</v>
      </c>
      <c r="BZ71" s="2" t="n">
        <v>3465.11</v>
      </c>
      <c r="CA71" s="2" t="n">
        <v>9390.810000000001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1250</v>
      </c>
      <c r="B72" t="inlineStr">
        <is>
          <t>Kolejowa 3, 58-540 Karpacz</t>
        </is>
      </c>
      <c r="C72" t="inlineStr">
        <is>
          <t>Karpacz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28805.42</v>
      </c>
      <c r="R72" s="2" t="n">
        <v>2500</v>
      </c>
      <c r="S72" s="2" t="n">
        <v>26671.68518518518</v>
      </c>
      <c r="T72" s="2" t="n">
        <v>0</v>
      </c>
      <c r="U72" s="2" t="n">
        <v>23529.78</v>
      </c>
      <c r="V72" s="2" t="n">
        <v>5275.64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28805.42</v>
      </c>
      <c r="BB72" s="2" t="n">
        <v>28805.42</v>
      </c>
      <c r="BC72" s="2">
        <f>F72+L72+R72+X72+AD72+AJ72+AP72+AV72+IF(BE72="",0,BE72)</f>
        <v/>
      </c>
      <c r="BD72" s="2" t="n">
        <v>443.603468</v>
      </c>
      <c r="BE72" s="2" t="n"/>
      <c r="BF72" s="2" t="n">
        <v>26671.68518518518</v>
      </c>
      <c r="BG72" s="2" t="n">
        <v>0</v>
      </c>
      <c r="BH72" s="2" t="n">
        <v>0</v>
      </c>
      <c r="BI72" s="2" t="n">
        <v>44995.2</v>
      </c>
      <c r="BJ72" s="2" t="n">
        <v>91.60226086956521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388.87317</v>
      </c>
      <c r="BQ72" s="2" t="n">
        <v>0</v>
      </c>
      <c r="BR72" s="2" t="n">
        <v>45500.67543086956</v>
      </c>
      <c r="BS72" s="2" t="n">
        <v>857.2733043478261</v>
      </c>
      <c r="BT72" s="2" t="n">
        <v>0</v>
      </c>
      <c r="BU72" s="2" t="n">
        <v>9193.815113043478</v>
      </c>
      <c r="BV72" s="2" t="n">
        <v>10051.0884173913</v>
      </c>
      <c r="BW72" s="2" t="n">
        <v>55551.76384826086</v>
      </c>
      <c r="BX72" s="2" t="n">
        <v>23529.78</v>
      </c>
      <c r="BY72" s="2" t="n">
        <v>5275.64</v>
      </c>
      <c r="BZ72" s="2" t="n">
        <v>0</v>
      </c>
      <c r="CA72" s="2" t="n">
        <v>28805.42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1252</v>
      </c>
      <c r="B73" t="inlineStr">
        <is>
          <t>Krakowska 48, 46-020 Opole</t>
        </is>
      </c>
      <c r="C73" t="inlineStr">
        <is>
          <t>Opole Główne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12533.21</v>
      </c>
      <c r="L73" s="2" t="n">
        <v>1043.273684259259</v>
      </c>
      <c r="M73" s="2" t="n">
        <v>11604.82407407407</v>
      </c>
      <c r="N73" s="2" t="n">
        <v>3380.64</v>
      </c>
      <c r="O73" s="2" t="n">
        <v>8627.120000000001</v>
      </c>
      <c r="P73" s="2" t="n">
        <v>525.45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18464.5</v>
      </c>
      <c r="AP73" s="2" t="n">
        <v>1350.643981481481</v>
      </c>
      <c r="AQ73" s="2" t="n">
        <v>17096.75925925926</v>
      </c>
      <c r="AR73" s="2" t="n">
        <v>5002.52</v>
      </c>
      <c r="AS73" s="2" t="n">
        <v>12623.41</v>
      </c>
      <c r="AT73" s="2" t="n">
        <v>838.5700000000001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30997.71</v>
      </c>
      <c r="BB73" s="2" t="n">
        <v>22614.55</v>
      </c>
      <c r="BC73" s="2">
        <f>F73+L73+R73+X73+AD73+AJ73+AP73+AV73+IF(BE73="",0,BE73)</f>
        <v/>
      </c>
      <c r="BD73" s="2" t="n">
        <v>348.2640700000001</v>
      </c>
      <c r="BE73" s="2" t="n"/>
      <c r="BF73" s="2" t="n">
        <v>28701.58333333334</v>
      </c>
      <c r="BG73" s="2" t="n">
        <v>228</v>
      </c>
      <c r="BH73" s="2" t="n">
        <v>0</v>
      </c>
      <c r="BI73" s="2" t="n">
        <v>44995.2</v>
      </c>
      <c r="BJ73" s="2" t="n">
        <v>91.60226086956521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305.296425</v>
      </c>
      <c r="BQ73" s="2" t="n">
        <v>0</v>
      </c>
      <c r="BR73" s="2" t="n">
        <v>45645.09868586956</v>
      </c>
      <c r="BS73" s="2" t="n">
        <v>857.2733043478261</v>
      </c>
      <c r="BT73" s="2" t="n">
        <v>0</v>
      </c>
      <c r="BU73" s="2" t="n">
        <v>9239.415113043478</v>
      </c>
      <c r="BV73" s="2" t="n">
        <v>10096.6884173913</v>
      </c>
      <c r="BW73" s="2" t="n">
        <v>55741.78710326087</v>
      </c>
      <c r="BX73" s="2" t="n">
        <v>21250.53</v>
      </c>
      <c r="BY73" s="2" t="n">
        <v>1364.02</v>
      </c>
      <c r="BZ73" s="2" t="n">
        <v>8383.16</v>
      </c>
      <c r="CA73" s="2" t="n">
        <v>22614.55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1254</v>
      </c>
      <c r="B74" t="inlineStr">
        <is>
          <t>Stacyjna 5, 53-600 Wrocław</t>
        </is>
      </c>
      <c r="C74" t="inlineStr">
        <is>
          <t>Wrocław Mikołajów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4422.03</v>
      </c>
      <c r="L74" s="2" t="n">
        <v>368.0930527777778</v>
      </c>
      <c r="M74" s="2" t="n">
        <v>4094.472222222222</v>
      </c>
      <c r="N74" s="2" t="n">
        <v>1202.97</v>
      </c>
      <c r="O74" s="2" t="n">
        <v>3123.78</v>
      </c>
      <c r="P74" s="2" t="n">
        <v>95.28</v>
      </c>
      <c r="Q74" s="2" t="n">
        <v>10572.26</v>
      </c>
      <c r="R74" s="2" t="n">
        <v>1600</v>
      </c>
      <c r="S74" s="2" t="n">
        <v>9789.12962962963</v>
      </c>
      <c r="T74" s="2" t="n">
        <v>2360.22</v>
      </c>
      <c r="U74" s="2" t="n">
        <v>7548.85</v>
      </c>
      <c r="V74" s="2" t="n">
        <v>663.1900000000001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8928.51</v>
      </c>
      <c r="AP74" s="2" t="n">
        <v>653.1039722222222</v>
      </c>
      <c r="AQ74" s="2" t="n">
        <v>8267.138888888889</v>
      </c>
      <c r="AR74" s="2" t="n">
        <v>1794.43</v>
      </c>
      <c r="AS74" s="2" t="n">
        <v>6917.49</v>
      </c>
      <c r="AT74" s="2" t="n">
        <v>216.59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23922.8</v>
      </c>
      <c r="BB74" s="2" t="n">
        <v>18565.18</v>
      </c>
      <c r="BC74" s="2">
        <f>F74+L74+R74+X74+AD74+AJ74+AP74+AV74+IF(BE74="",0,BE74)</f>
        <v/>
      </c>
      <c r="BD74" s="2" t="n">
        <v>285.903772</v>
      </c>
      <c r="BE74" s="2" t="n"/>
      <c r="BF74" s="2" t="n">
        <v>22150.74074074074</v>
      </c>
      <c r="BG74" s="2" t="n">
        <v>0</v>
      </c>
      <c r="BH74" s="2" t="n">
        <v>350.37</v>
      </c>
      <c r="BI74" s="2" t="n">
        <v>44995.2</v>
      </c>
      <c r="BJ74" s="2" t="n">
        <v>91.60226086956521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250.62993</v>
      </c>
      <c r="BQ74" s="2" t="n">
        <v>0</v>
      </c>
      <c r="BR74" s="2" t="n">
        <v>45712.80219086957</v>
      </c>
      <c r="BS74" s="2" t="n">
        <v>857.2733043478261</v>
      </c>
      <c r="BT74" s="2" t="n">
        <v>0</v>
      </c>
      <c r="BU74" s="2" t="n">
        <v>9263.889113043479</v>
      </c>
      <c r="BV74" s="2" t="n">
        <v>10121.1624173913</v>
      </c>
      <c r="BW74" s="2" t="n">
        <v>55833.96460826087</v>
      </c>
      <c r="BX74" s="2" t="n">
        <v>17590.12</v>
      </c>
      <c r="BY74" s="2" t="n">
        <v>975.0600000000001</v>
      </c>
      <c r="BZ74" s="2" t="n">
        <v>5357.62</v>
      </c>
      <c r="CA74" s="2" t="n">
        <v>18565.18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1256</v>
      </c>
      <c r="B75" t="inlineStr">
        <is>
          <t>Dworcowa 2, 61-801 Poznań</t>
        </is>
      </c>
      <c r="C75" t="inlineStr">
        <is>
          <t>Poznań Główny</t>
        </is>
      </c>
      <c r="D75" t="inlineStr">
        <is>
          <t>FAA2000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2876.68</v>
      </c>
      <c r="L75" s="2" t="n">
        <v>239.4569740740741</v>
      </c>
      <c r="M75" s="2" t="n">
        <v>2663.592592592593</v>
      </c>
      <c r="N75" s="2" t="n">
        <v>874.17</v>
      </c>
      <c r="O75" s="2" t="n">
        <v>1975.42</v>
      </c>
      <c r="P75" s="2" t="n">
        <v>27.09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6845.82</v>
      </c>
      <c r="AD75" s="2" t="n">
        <v>437.3718333333333</v>
      </c>
      <c r="AE75" s="2" t="n">
        <v>6338.722222222222</v>
      </c>
      <c r="AF75" s="2" t="n">
        <v>1228.67</v>
      </c>
      <c r="AG75" s="2" t="n">
        <v>5143.04</v>
      </c>
      <c r="AH75" s="2" t="n">
        <v>474.11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2161.83</v>
      </c>
      <c r="AP75" s="2" t="n">
        <v>158.1338611111111</v>
      </c>
      <c r="AQ75" s="2" t="n">
        <v>2001.694444444444</v>
      </c>
      <c r="AR75" s="2" t="n">
        <v>410.74</v>
      </c>
      <c r="AS75" s="2" t="n">
        <v>1688.67</v>
      </c>
      <c r="AT75" s="2" t="n">
        <v>62.42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11884.33</v>
      </c>
      <c r="BB75" s="2" t="n">
        <v>9370.75</v>
      </c>
      <c r="BC75" s="2">
        <f>F75+L75+R75+X75+AD75+AJ75+AP75+AV75+IF(BE75="",0,BE75)</f>
        <v/>
      </c>
      <c r="BD75" s="2" t="n">
        <v>144.30955</v>
      </c>
      <c r="BE75" s="2" t="n"/>
      <c r="BF75" s="2" t="n">
        <v>11004.00925925926</v>
      </c>
      <c r="BG75" s="2" t="n">
        <v>458.58</v>
      </c>
      <c r="BH75" s="2" t="n">
        <v>0</v>
      </c>
      <c r="BI75" s="2" t="n">
        <v>44995.2</v>
      </c>
      <c r="BJ75" s="2" t="n">
        <v>91.60226086956521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126.505125</v>
      </c>
      <c r="BQ75" s="2" t="n">
        <v>0</v>
      </c>
      <c r="BR75" s="2" t="n">
        <v>45696.88738586957</v>
      </c>
      <c r="BS75" s="2" t="n">
        <v>857.2733043478261</v>
      </c>
      <c r="BT75" s="2" t="n">
        <v>0</v>
      </c>
      <c r="BU75" s="2" t="n">
        <v>9285.531113043478</v>
      </c>
      <c r="BV75" s="2" t="n">
        <v>10142.8044173913</v>
      </c>
      <c r="BW75" s="2" t="n">
        <v>55839.69180326087</v>
      </c>
      <c r="BX75" s="2" t="n">
        <v>8807.130000000001</v>
      </c>
      <c r="BY75" s="2" t="n">
        <v>563.62</v>
      </c>
      <c r="BZ75" s="2" t="n">
        <v>2513.58</v>
      </c>
      <c r="CA75" s="2" t="n">
        <v>9370.750000000002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1257</v>
      </c>
      <c r="B76" t="inlineStr">
        <is>
          <t>Dworcowa 2, 61-801 Poznań</t>
        </is>
      </c>
      <c r="C76" t="inlineStr">
        <is>
          <t>Poznań Główny</t>
        </is>
      </c>
      <c r="D76" t="inlineStr">
        <is>
          <t>FAA2000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4837.639999999999</v>
      </c>
      <c r="L76" s="2" t="n">
        <v>402.688737037037</v>
      </c>
      <c r="M76" s="2" t="n">
        <v>4479.296296296296</v>
      </c>
      <c r="N76" s="2" t="n">
        <v>1279.46</v>
      </c>
      <c r="O76" s="2" t="n">
        <v>3413.18</v>
      </c>
      <c r="P76" s="2" t="n">
        <v>145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8595.17</v>
      </c>
      <c r="AD76" s="2" t="n">
        <v>549.1358611111111</v>
      </c>
      <c r="AE76" s="2" t="n">
        <v>7958.49074074074</v>
      </c>
      <c r="AF76" s="2" t="n">
        <v>1871.93</v>
      </c>
      <c r="AG76" s="2" t="n">
        <v>6460.51</v>
      </c>
      <c r="AH76" s="2" t="n">
        <v>262.73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2530.44</v>
      </c>
      <c r="AP76" s="2" t="n">
        <v>185.097</v>
      </c>
      <c r="AQ76" s="2" t="n">
        <v>2343</v>
      </c>
      <c r="AR76" s="2" t="n">
        <v>545.1</v>
      </c>
      <c r="AS76" s="2" t="n">
        <v>1869.67</v>
      </c>
      <c r="AT76" s="2" t="n">
        <v>115.67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15963.25</v>
      </c>
      <c r="BB76" s="2" t="n">
        <v>12266.76</v>
      </c>
      <c r="BC76" s="2">
        <f>F76+L76+R76+X76+AD76+AJ76+AP76+AV76+IF(BE76="",0,BE76)</f>
        <v/>
      </c>
      <c r="BD76" s="2" t="n">
        <v>188.908104</v>
      </c>
      <c r="BE76" s="2" t="n"/>
      <c r="BF76" s="2" t="n">
        <v>14780.78703703704</v>
      </c>
      <c r="BG76" s="2" t="n">
        <v>458.58</v>
      </c>
      <c r="BH76" s="2" t="n">
        <v>0</v>
      </c>
      <c r="BI76" s="2" t="n">
        <v>44995.2</v>
      </c>
      <c r="BJ76" s="2" t="n">
        <v>91.60226086956521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165.60126</v>
      </c>
      <c r="BQ76" s="2" t="n">
        <v>0</v>
      </c>
      <c r="BR76" s="2" t="n">
        <v>45735.98352086957</v>
      </c>
      <c r="BS76" s="2" t="n">
        <v>857.2733043478261</v>
      </c>
      <c r="BT76" s="2" t="n">
        <v>0</v>
      </c>
      <c r="BU76" s="2" t="n">
        <v>9285.531113043478</v>
      </c>
      <c r="BV76" s="2" t="n">
        <v>10142.8044173913</v>
      </c>
      <c r="BW76" s="2" t="n">
        <v>55878.78793826087</v>
      </c>
      <c r="BX76" s="2" t="n">
        <v>11743.36</v>
      </c>
      <c r="BY76" s="2" t="n">
        <v>523.4</v>
      </c>
      <c r="BZ76" s="2" t="n">
        <v>3696.49</v>
      </c>
      <c r="CA76" s="2" t="n">
        <v>12266.76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1259</v>
      </c>
      <c r="B77" t="inlineStr">
        <is>
          <t>Kolejowa 4, 64-020 Czempin</t>
        </is>
      </c>
      <c r="C77" t="inlineStr">
        <is>
          <t>Czempiń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3209.31</v>
      </c>
      <c r="AD77" s="2" t="n">
        <v>205.03925</v>
      </c>
      <c r="AE77" s="2" t="n">
        <v>2971.583333333333</v>
      </c>
      <c r="AF77" s="2" t="n">
        <v>824.17</v>
      </c>
      <c r="AG77" s="2" t="n">
        <v>2165.5</v>
      </c>
      <c r="AH77" s="2" t="n">
        <v>219.64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1837.3</v>
      </c>
      <c r="AP77" s="2" t="n">
        <v>134.3950925925926</v>
      </c>
      <c r="AQ77" s="2" t="n">
        <v>1701.203703703703</v>
      </c>
      <c r="AR77" s="2" t="n">
        <v>273.9</v>
      </c>
      <c r="AS77" s="2" t="n">
        <v>1556.2</v>
      </c>
      <c r="AT77" s="2" t="n">
        <v>7.2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5046.61</v>
      </c>
      <c r="BB77" s="2" t="n">
        <v>3948.54</v>
      </c>
      <c r="BC77" s="2">
        <f>F77+L77+R77+X77+AD77+AJ77+AP77+AV77+IF(BE77="",0,BE77)</f>
        <v/>
      </c>
      <c r="BD77" s="2" t="n">
        <v>60.807516</v>
      </c>
      <c r="BE77" s="2" t="n"/>
      <c r="BF77" s="2" t="n">
        <v>4672.787037037036</v>
      </c>
      <c r="BG77" s="2" t="n">
        <v>0</v>
      </c>
      <c r="BH77" s="2" t="n">
        <v>0</v>
      </c>
      <c r="BI77" s="2" t="n">
        <v>44995.2</v>
      </c>
      <c r="BJ77" s="2" t="n">
        <v>91.60226086956521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53.30529</v>
      </c>
      <c r="BQ77" s="2" t="n">
        <v>0</v>
      </c>
      <c r="BR77" s="2" t="n">
        <v>45165.10755086956</v>
      </c>
      <c r="BS77" s="2" t="n">
        <v>857.2733043478261</v>
      </c>
      <c r="BT77" s="2" t="n">
        <v>0</v>
      </c>
      <c r="BU77" s="2" t="n">
        <v>9193.815113043478</v>
      </c>
      <c r="BV77" s="2" t="n">
        <v>10051.0884173913</v>
      </c>
      <c r="BW77" s="2" t="n">
        <v>55216.19596826086</v>
      </c>
      <c r="BX77" s="2" t="n">
        <v>3721.7</v>
      </c>
      <c r="BY77" s="2" t="n">
        <v>226.84</v>
      </c>
      <c r="BZ77" s="2" t="n">
        <v>1098.07</v>
      </c>
      <c r="CA77" s="2" t="n">
        <v>3948.54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1261</v>
      </c>
      <c r="B78" t="inlineStr">
        <is>
          <t>Pawia 5a, 31-154 Kraków</t>
        </is>
      </c>
      <c r="C78" t="inlineStr">
        <is>
          <t>Kraków Główny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27170.18</v>
      </c>
      <c r="L78" s="2" t="n">
        <v>2261.665909259259</v>
      </c>
      <c r="M78" s="2" t="n">
        <v>25157.57407407407</v>
      </c>
      <c r="N78" s="2" t="n">
        <v>4432.31</v>
      </c>
      <c r="O78" s="2" t="n">
        <v>22526.87</v>
      </c>
      <c r="P78" s="2" t="n">
        <v>211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27450.44</v>
      </c>
      <c r="X78" s="2" t="n">
        <v>750</v>
      </c>
      <c r="Y78" s="2" t="n">
        <v>25417.07407407407</v>
      </c>
      <c r="Z78" s="2" t="n">
        <v>3223.3</v>
      </c>
      <c r="AA78" s="2" t="n">
        <v>23745.33</v>
      </c>
      <c r="AB78" s="2" t="n">
        <v>481.81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10951.36</v>
      </c>
      <c r="AP78" s="2" t="n">
        <v>801.0717037037036</v>
      </c>
      <c r="AQ78" s="2" t="n">
        <v>10140.14814814815</v>
      </c>
      <c r="AR78" s="2" t="n">
        <v>1657.16</v>
      </c>
      <c r="AS78" s="2" t="n">
        <v>9161.59</v>
      </c>
      <c r="AT78" s="2" t="n">
        <v>132.61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65571.98000000001</v>
      </c>
      <c r="BB78" s="2" t="n">
        <v>56259.21000000001</v>
      </c>
      <c r="BC78" s="2">
        <f>F78+L78+R78+X78+AD78+AJ78+AP78+AV78+IF(BE78="",0,BE78)</f>
        <v/>
      </c>
      <c r="BD78" s="2" t="n">
        <v>820.360268</v>
      </c>
      <c r="BE78" s="2" t="n"/>
      <c r="BF78" s="2" t="n">
        <v>60714.79629629629</v>
      </c>
      <c r="BG78" s="2" t="n">
        <v>1380</v>
      </c>
      <c r="BH78" s="2" t="n">
        <v>0</v>
      </c>
      <c r="BI78" s="2" t="n">
        <v>44995.2</v>
      </c>
      <c r="BJ78" s="2" t="n">
        <v>91.60226086956521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759.499335</v>
      </c>
      <c r="BQ78" s="2" t="n">
        <v>0</v>
      </c>
      <c r="BR78" s="2" t="n">
        <v>47251.30159586956</v>
      </c>
      <c r="BS78" s="2" t="n">
        <v>857.2733043478261</v>
      </c>
      <c r="BT78" s="2" t="n">
        <v>0</v>
      </c>
      <c r="BU78" s="2" t="n">
        <v>9469.815113043478</v>
      </c>
      <c r="BV78" s="2" t="n">
        <v>10327.0884173913</v>
      </c>
      <c r="BW78" s="2" t="n">
        <v>57578.39001326087</v>
      </c>
      <c r="BX78" s="2" t="n">
        <v>55433.78999999999</v>
      </c>
      <c r="BY78" s="2" t="n">
        <v>825.42</v>
      </c>
      <c r="BZ78" s="2" t="n">
        <v>9312.77</v>
      </c>
      <c r="CA78" s="2" t="n">
        <v>56259.20999999999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1262</v>
      </c>
      <c r="B79" t="inlineStr">
        <is>
          <t>Pawia 5a, 31-154 Kraków</t>
        </is>
      </c>
      <c r="C79" t="inlineStr">
        <is>
          <t>Kraków Główny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20348.63</v>
      </c>
      <c r="L79" s="2" t="n">
        <v>1693.835034259259</v>
      </c>
      <c r="M79" s="2" t="n">
        <v>18841.32407407407</v>
      </c>
      <c r="N79" s="2" t="n">
        <v>4628.17</v>
      </c>
      <c r="O79" s="2" t="n">
        <v>14926.59</v>
      </c>
      <c r="P79" s="2" t="n">
        <v>793.87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21901.39</v>
      </c>
      <c r="X79" s="2" t="n">
        <v>750</v>
      </c>
      <c r="Y79" s="2" t="n">
        <v>20279.06481481481</v>
      </c>
      <c r="Z79" s="2" t="n">
        <v>2463.62</v>
      </c>
      <c r="AA79" s="2" t="n">
        <v>19069.85</v>
      </c>
      <c r="AB79" s="2" t="n">
        <v>367.92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11672.42</v>
      </c>
      <c r="AP79" s="2" t="n">
        <v>853.8159074074074</v>
      </c>
      <c r="AQ79" s="2" t="n">
        <v>10807.7962962963</v>
      </c>
      <c r="AR79" s="2" t="n">
        <v>2126.57</v>
      </c>
      <c r="AS79" s="2" t="n">
        <v>8784.870000000001</v>
      </c>
      <c r="AT79" s="2" t="n">
        <v>760.98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53922.44</v>
      </c>
      <c r="BB79" s="2" t="n">
        <v>44704.07999999999</v>
      </c>
      <c r="BC79" s="2">
        <f>F79+L79+R79+X79+AD79+AJ79+AP79+AV79+IF(BE79="",0,BE79)</f>
        <v/>
      </c>
      <c r="BD79" s="2" t="n">
        <v>651.5110689999999</v>
      </c>
      <c r="BE79" s="2" t="n"/>
      <c r="BF79" s="2" t="n">
        <v>49928.18518518518</v>
      </c>
      <c r="BG79" s="2" t="n">
        <v>1380</v>
      </c>
      <c r="BH79" s="2" t="n">
        <v>0</v>
      </c>
      <c r="BI79" s="2" t="n">
        <v>44995.2</v>
      </c>
      <c r="BJ79" s="2" t="n">
        <v>91.60226086956521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603.5050799999999</v>
      </c>
      <c r="BQ79" s="2" t="n">
        <v>0</v>
      </c>
      <c r="BR79" s="2" t="n">
        <v>47095.30734086956</v>
      </c>
      <c r="BS79" s="2" t="n">
        <v>857.2733043478261</v>
      </c>
      <c r="BT79" s="2" t="n">
        <v>0</v>
      </c>
      <c r="BU79" s="2" t="n">
        <v>9469.815113043478</v>
      </c>
      <c r="BV79" s="2" t="n">
        <v>10327.0884173913</v>
      </c>
      <c r="BW79" s="2" t="n">
        <v>57422.39575826087</v>
      </c>
      <c r="BX79" s="2" t="n">
        <v>42781.31</v>
      </c>
      <c r="BY79" s="2" t="n">
        <v>1922.77</v>
      </c>
      <c r="BZ79" s="2" t="n">
        <v>9218.360000000001</v>
      </c>
      <c r="CA79" s="2" t="n">
        <v>44704.08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1263</v>
      </c>
      <c r="B80" t="inlineStr">
        <is>
          <t>Pawia 5a, 31-154 Kraków</t>
        </is>
      </c>
      <c r="C80" t="inlineStr">
        <is>
          <t>Kraków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51170.08</v>
      </c>
      <c r="L80" s="2" t="n">
        <v>4259.435362962963</v>
      </c>
      <c r="M80" s="2" t="n">
        <v>47379.7037037037</v>
      </c>
      <c r="N80" s="2" t="n">
        <v>9144.99</v>
      </c>
      <c r="O80" s="2" t="n">
        <v>40611.93</v>
      </c>
      <c r="P80" s="2" t="n">
        <v>1413.16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73728.24000000001</v>
      </c>
      <c r="X80" s="2" t="n">
        <v>750</v>
      </c>
      <c r="Y80" s="2" t="n">
        <v>68266.88888888889</v>
      </c>
      <c r="Z80" s="2" t="n">
        <v>7318.99</v>
      </c>
      <c r="AA80" s="2" t="n">
        <v>64424.12</v>
      </c>
      <c r="AB80" s="2" t="n">
        <v>1985.13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25594.02</v>
      </c>
      <c r="AP80" s="2" t="n">
        <v>1872.155166666666</v>
      </c>
      <c r="AQ80" s="2" t="n">
        <v>23698.16666666666</v>
      </c>
      <c r="AR80" s="2" t="n">
        <v>3901.41</v>
      </c>
      <c r="AS80" s="2" t="n">
        <v>20814.25</v>
      </c>
      <c r="AT80" s="2" t="n">
        <v>878.36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150492.34</v>
      </c>
      <c r="BB80" s="2" t="n">
        <v>130126.95</v>
      </c>
      <c r="BC80" s="2">
        <f>F80+L80+R80+X80+AD80+AJ80+AP80+AV80+IF(BE80="",0,BE80)</f>
        <v/>
      </c>
      <c r="BD80" s="2" t="n">
        <v>1877.777455</v>
      </c>
      <c r="BE80" s="2" t="n"/>
      <c r="BF80" s="2" t="n">
        <v>139344.7592592592</v>
      </c>
      <c r="BG80" s="2" t="n">
        <v>1380</v>
      </c>
      <c r="BH80" s="2" t="n">
        <v>0</v>
      </c>
      <c r="BI80" s="2" t="n">
        <v>44995.2</v>
      </c>
      <c r="BJ80" s="2" t="n">
        <v>91.60226086956521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1756.713825</v>
      </c>
      <c r="BQ80" s="2" t="n">
        <v>0</v>
      </c>
      <c r="BR80" s="2" t="n">
        <v>48248.51608586956</v>
      </c>
      <c r="BS80" s="2" t="n">
        <v>857.2733043478261</v>
      </c>
      <c r="BT80" s="2" t="n">
        <v>0</v>
      </c>
      <c r="BU80" s="2" t="n">
        <v>9469.815113043478</v>
      </c>
      <c r="BV80" s="2" t="n">
        <v>10327.0884173913</v>
      </c>
      <c r="BW80" s="2" t="n">
        <v>58575.60450326087</v>
      </c>
      <c r="BX80" s="2" t="n">
        <v>125850.3</v>
      </c>
      <c r="BY80" s="2" t="n">
        <v>4276.65</v>
      </c>
      <c r="BZ80" s="2" t="n">
        <v>20365.39</v>
      </c>
      <c r="CA80" s="2" t="n">
        <v>130126.95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1264</v>
      </c>
      <c r="B81" t="inlineStr">
        <is>
          <t>Dworcowa 1, 66-400 Gorzów Wlkp</t>
        </is>
      </c>
      <c r="C81" t="inlineStr">
        <is>
          <t>Gorzów Wielkopolski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2485.9</v>
      </c>
      <c r="L81" s="2" t="n">
        <v>206.9281574074074</v>
      </c>
      <c r="M81" s="2" t="n">
        <v>2301.759259259259</v>
      </c>
      <c r="N81" s="2" t="n">
        <v>479.85</v>
      </c>
      <c r="O81" s="2" t="n">
        <v>1604.05</v>
      </c>
      <c r="P81" s="2" t="n">
        <v>402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14208.96</v>
      </c>
      <c r="AP81" s="2" t="n">
        <v>1039.359111111111</v>
      </c>
      <c r="AQ81" s="2" t="n">
        <v>13156.44444444445</v>
      </c>
      <c r="AR81" s="2" t="n">
        <v>3605.27</v>
      </c>
      <c r="AS81" s="2" t="n">
        <v>9676.290000000001</v>
      </c>
      <c r="AT81" s="2" t="n">
        <v>927.4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16694.86</v>
      </c>
      <c r="BB81" s="2" t="n">
        <v>12609.74</v>
      </c>
      <c r="BC81" s="2">
        <f>F81+L81+R81+X81+AD81+AJ81+AP81+AV81+IF(BE81="",0,BE81)</f>
        <v/>
      </c>
      <c r="BD81" s="2" t="n">
        <v>194.189996</v>
      </c>
      <c r="BE81" s="2" t="n"/>
      <c r="BF81" s="2" t="n">
        <v>15458.2037037037</v>
      </c>
      <c r="BG81" s="2" t="n">
        <v>366.96</v>
      </c>
      <c r="BH81" s="2" t="n">
        <v>255</v>
      </c>
      <c r="BI81" s="2" t="n">
        <v>44995.2</v>
      </c>
      <c r="BJ81" s="2" t="n">
        <v>91.60226086956521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170.23149</v>
      </c>
      <c r="BQ81" s="2" t="n">
        <v>0</v>
      </c>
      <c r="BR81" s="2" t="n">
        <v>45903.99375086956</v>
      </c>
      <c r="BS81" s="2" t="n">
        <v>857.2733043478261</v>
      </c>
      <c r="BT81" s="2" t="n">
        <v>0</v>
      </c>
      <c r="BU81" s="2" t="n">
        <v>9318.207113043478</v>
      </c>
      <c r="BV81" s="2" t="n">
        <v>10175.4804173913</v>
      </c>
      <c r="BW81" s="2" t="n">
        <v>56079.47416826086</v>
      </c>
      <c r="BX81" s="2" t="n">
        <v>11280.34</v>
      </c>
      <c r="BY81" s="2" t="n">
        <v>1329.4</v>
      </c>
      <c r="BZ81" s="2" t="n">
        <v>4085.12</v>
      </c>
      <c r="CA81" s="2" t="n">
        <v>12609.74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1265</v>
      </c>
      <c r="B82" t="inlineStr">
        <is>
          <t>pl. Kolejarza 1, 65-024 Zielona Góra</t>
        </is>
      </c>
      <c r="C82" t="inlineStr">
        <is>
          <t>Zielona Góra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4793.25</v>
      </c>
      <c r="L82" s="2" t="n">
        <v>398.9936805555556</v>
      </c>
      <c r="M82" s="2" t="n">
        <v>4438.194444444444</v>
      </c>
      <c r="N82" s="2" t="n">
        <v>2026.73</v>
      </c>
      <c r="O82" s="2" t="n">
        <v>2454.32</v>
      </c>
      <c r="P82" s="2" t="n">
        <v>312.2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10651.9</v>
      </c>
      <c r="AP82" s="2" t="n">
        <v>779.1667592592593</v>
      </c>
      <c r="AQ82" s="2" t="n">
        <v>9862.87037037037</v>
      </c>
      <c r="AR82" s="2" t="n">
        <v>4945.87</v>
      </c>
      <c r="AS82" s="2" t="n">
        <v>3754.57</v>
      </c>
      <c r="AT82" s="2" t="n">
        <v>1951.46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15445.15</v>
      </c>
      <c r="BB82" s="2" t="n">
        <v>8472.550000000001</v>
      </c>
      <c r="BC82" s="2">
        <f>F82+L82+R82+X82+AD82+AJ82+AP82+AV82+IF(BE82="",0,BE82)</f>
        <v/>
      </c>
      <c r="BD82" s="2" t="n">
        <v>130.47727</v>
      </c>
      <c r="BE82" s="2" t="n"/>
      <c r="BF82" s="2" t="n">
        <v>14301.06481481481</v>
      </c>
      <c r="BG82" s="2" t="n">
        <v>366.96</v>
      </c>
      <c r="BH82" s="2" t="n">
        <v>155</v>
      </c>
      <c r="BI82" s="2" t="n">
        <v>44995.2</v>
      </c>
      <c r="BJ82" s="2" t="n">
        <v>91.60226086956521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114.379425</v>
      </c>
      <c r="BQ82" s="2" t="n">
        <v>0</v>
      </c>
      <c r="BR82" s="2" t="n">
        <v>45748.14168586956</v>
      </c>
      <c r="BS82" s="2" t="n">
        <v>857.2733043478261</v>
      </c>
      <c r="BT82" s="2" t="n">
        <v>0</v>
      </c>
      <c r="BU82" s="2" t="n">
        <v>9298.207113043478</v>
      </c>
      <c r="BV82" s="2" t="n">
        <v>10155.4804173913</v>
      </c>
      <c r="BW82" s="2" t="n">
        <v>55903.62210326086</v>
      </c>
      <c r="BX82" s="2" t="n">
        <v>6208.89</v>
      </c>
      <c r="BY82" s="2" t="n">
        <v>2263.66</v>
      </c>
      <c r="BZ82" s="2" t="n">
        <v>6972.6</v>
      </c>
      <c r="CA82" s="2" t="n">
        <v>8472.549999999999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1266</v>
      </c>
      <c r="B83" t="inlineStr">
        <is>
          <t>Dworcowa 1, 64-100 Leszno</t>
        </is>
      </c>
      <c r="C83" t="inlineStr">
        <is>
          <t>Leszno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10229.16</v>
      </c>
      <c r="L83" s="2" t="n">
        <v>851.4828555555554</v>
      </c>
      <c r="M83" s="2" t="n">
        <v>9471.444444444442</v>
      </c>
      <c r="N83" s="2" t="n">
        <v>1093.21</v>
      </c>
      <c r="O83" s="2" t="n">
        <v>8380.799999999999</v>
      </c>
      <c r="P83" s="2" t="n">
        <v>755.15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6650.48</v>
      </c>
      <c r="AD83" s="2" t="n">
        <v>424.8917777777779</v>
      </c>
      <c r="AE83" s="2" t="n">
        <v>6157.851851851852</v>
      </c>
      <c r="AF83" s="2" t="n">
        <v>931.67</v>
      </c>
      <c r="AG83" s="2" t="n">
        <v>5052.72</v>
      </c>
      <c r="AH83" s="2" t="n">
        <v>666.09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6090.11</v>
      </c>
      <c r="AP83" s="2" t="n">
        <v>445.4802685185185</v>
      </c>
      <c r="AQ83" s="2" t="n">
        <v>5638.99074074074</v>
      </c>
      <c r="AR83" s="2" t="n">
        <v>499.13</v>
      </c>
      <c r="AS83" s="2" t="n">
        <v>5067.66</v>
      </c>
      <c r="AT83" s="2" t="n">
        <v>523.3200000000001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22969.75</v>
      </c>
      <c r="BB83" s="2" t="n">
        <v>20445.74</v>
      </c>
      <c r="BC83" s="2">
        <f>F83+L83+R83+X83+AD83+AJ83+AP83+AV83+IF(BE83="",0,BE83)</f>
        <v/>
      </c>
      <c r="BD83" s="2" t="n">
        <v>314.864396</v>
      </c>
      <c r="BE83" s="2" t="n"/>
      <c r="BF83" s="2" t="n">
        <v>21268.28703703703</v>
      </c>
      <c r="BG83" s="2" t="n">
        <v>0</v>
      </c>
      <c r="BH83" s="2" t="n">
        <v>121.8</v>
      </c>
      <c r="BI83" s="2" t="n">
        <v>10160.2064516129</v>
      </c>
      <c r="BJ83" s="2" t="n">
        <v>91.60226086956521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276.01749</v>
      </c>
      <c r="BQ83" s="2" t="n">
        <v>0</v>
      </c>
      <c r="BR83" s="2" t="n">
        <v>10674.62620248247</v>
      </c>
      <c r="BS83" s="2" t="n">
        <v>857.2733043478261</v>
      </c>
      <c r="BT83" s="2" t="n">
        <v>0</v>
      </c>
      <c r="BU83" s="2" t="n">
        <v>2251.176403366058</v>
      </c>
      <c r="BV83" s="2" t="n">
        <v>3108.449707713884</v>
      </c>
      <c r="BW83" s="2" t="n">
        <v>13783.07591019635</v>
      </c>
      <c r="BX83" s="2" t="n">
        <v>18501.18</v>
      </c>
      <c r="BY83" s="2" t="n">
        <v>1944.56</v>
      </c>
      <c r="BZ83" s="2" t="n">
        <v>2524.01</v>
      </c>
      <c r="CA83" s="2" t="n">
        <v>20445.74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1267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20674.32</v>
      </c>
      <c r="L84" s="2" t="n">
        <v>1720.945711111111</v>
      </c>
      <c r="M84" s="2" t="n">
        <v>19142.88888888889</v>
      </c>
      <c r="N84" s="2" t="n">
        <v>3528.37</v>
      </c>
      <c r="O84" s="2" t="n">
        <v>16520.58</v>
      </c>
      <c r="P84" s="2" t="n">
        <v>625.37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32793.78</v>
      </c>
      <c r="X84" s="2" t="n">
        <v>750</v>
      </c>
      <c r="Y84" s="2" t="n">
        <v>30364.61111111111</v>
      </c>
      <c r="Z84" s="2" t="n">
        <v>4101.25</v>
      </c>
      <c r="AA84" s="2" t="n">
        <v>27707.03</v>
      </c>
      <c r="AB84" s="2" t="n">
        <v>985.5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9626.940000000001</v>
      </c>
      <c r="AP84" s="2" t="n">
        <v>704.1928333333334</v>
      </c>
      <c r="AQ84" s="2" t="n">
        <v>8913.833333333334</v>
      </c>
      <c r="AR84" s="2" t="n">
        <v>1446.57</v>
      </c>
      <c r="AS84" s="2" t="n">
        <v>7557.43</v>
      </c>
      <c r="AT84" s="2" t="n">
        <v>622.9400000000001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63095.04</v>
      </c>
      <c r="BB84" s="2" t="n">
        <v>54018.85</v>
      </c>
      <c r="BC84" s="2">
        <f>F84+L84+R84+X84+AD84+AJ84+AP84+AV84+IF(BE84="",0,BE84)</f>
        <v/>
      </c>
      <c r="BD84" s="2" t="n">
        <v>777.3744830000001</v>
      </c>
      <c r="BE84" s="2" t="n"/>
      <c r="BF84" s="2" t="n">
        <v>58421.33333333334</v>
      </c>
      <c r="BG84" s="2" t="n">
        <v>0</v>
      </c>
      <c r="BH84" s="2" t="n">
        <v>0</v>
      </c>
      <c r="BI84" s="2" t="n">
        <v>44995.2</v>
      </c>
      <c r="BJ84" s="2" t="n">
        <v>91.60226086956521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729.254475</v>
      </c>
      <c r="BQ84" s="2" t="n">
        <v>0</v>
      </c>
      <c r="BR84" s="2" t="n">
        <v>45841.05673586956</v>
      </c>
      <c r="BS84" s="2" t="n">
        <v>857.2733043478261</v>
      </c>
      <c r="BT84" s="2" t="n">
        <v>0</v>
      </c>
      <c r="BU84" s="2" t="n">
        <v>9193.815113043478</v>
      </c>
      <c r="BV84" s="2" t="n">
        <v>10051.0884173913</v>
      </c>
      <c r="BW84" s="2" t="n">
        <v>55892.14515326086</v>
      </c>
      <c r="BX84" s="2" t="n">
        <v>51785.04</v>
      </c>
      <c r="BY84" s="2" t="n">
        <v>2233.81</v>
      </c>
      <c r="BZ84" s="2" t="n">
        <v>9076.190000000001</v>
      </c>
      <c r="CA84" s="2" t="n">
        <v>54018.85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1268</v>
      </c>
      <c r="B85" t="inlineStr">
        <is>
          <t>Kolejowa 5, 83-200 Starogard Gdański</t>
        </is>
      </c>
      <c r="C85" t="inlineStr">
        <is>
          <t>Starogard Gdański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30409.12</v>
      </c>
      <c r="AP85" s="2" t="n">
        <v>4177</v>
      </c>
      <c r="AQ85" s="2" t="n">
        <v>28156.59259259259</v>
      </c>
      <c r="AR85" s="2" t="n">
        <v>11170.73</v>
      </c>
      <c r="AS85" s="2" t="n">
        <v>18134.87</v>
      </c>
      <c r="AT85" s="2" t="n">
        <v>1103.52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30409.12</v>
      </c>
      <c r="BB85" s="2" t="n">
        <v>19238.39</v>
      </c>
      <c r="BC85" s="2">
        <f>F85+L85+R85+X85+AD85+AJ85+AP85+AV85+IF(BE85="",0,BE85)</f>
        <v/>
      </c>
      <c r="BD85" s="2" t="n">
        <v>296.271206</v>
      </c>
      <c r="BE85" s="2" t="n"/>
      <c r="BF85" s="2" t="n">
        <v>28156.59259259259</v>
      </c>
      <c r="BG85" s="2" t="n">
        <v>0</v>
      </c>
      <c r="BH85" s="2" t="n">
        <v>0</v>
      </c>
      <c r="BI85" s="2" t="n">
        <v>44995.2</v>
      </c>
      <c r="BJ85" s="2" t="n">
        <v>91.60226086956521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259.718265</v>
      </c>
      <c r="BQ85" s="2" t="n">
        <v>0</v>
      </c>
      <c r="BR85" s="2" t="n">
        <v>45371.52052586956</v>
      </c>
      <c r="BS85" s="2" t="n">
        <v>857.2733043478261</v>
      </c>
      <c r="BT85" s="2" t="n">
        <v>0</v>
      </c>
      <c r="BU85" s="2" t="n">
        <v>9193.815113043478</v>
      </c>
      <c r="BV85" s="2" t="n">
        <v>10051.0884173913</v>
      </c>
      <c r="BW85" s="2" t="n">
        <v>55422.60894326087</v>
      </c>
      <c r="BX85" s="2" t="n">
        <v>18134.87</v>
      </c>
      <c r="BY85" s="2" t="n">
        <v>1103.52</v>
      </c>
      <c r="BZ85" s="2" t="n">
        <v>11170.73</v>
      </c>
      <c r="CA85" s="2" t="n">
        <v>19238.39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1269</v>
      </c>
      <c r="B86" t="inlineStr">
        <is>
          <t>Podwale Grodzkie 1, 80-895 Gdańsk</t>
        </is>
      </c>
      <c r="C86" t="inlineStr">
        <is>
          <t>Gdańsk Główny</t>
        </is>
      </c>
      <c r="D86" t="inlineStr">
        <is>
          <t>ST|40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23556.28</v>
      </c>
      <c r="L86" s="2" t="n">
        <v>1960.842196296296</v>
      </c>
      <c r="M86" s="2" t="n">
        <v>21811.37037037037</v>
      </c>
      <c r="N86" s="2" t="n">
        <v>5920.09</v>
      </c>
      <c r="O86" s="2" t="n">
        <v>16207.5</v>
      </c>
      <c r="P86" s="2" t="n">
        <v>1428.69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15616.89</v>
      </c>
      <c r="AP86" s="2" t="n">
        <v>1142.346583333333</v>
      </c>
      <c r="AQ86" s="2" t="n">
        <v>14460.08333333333</v>
      </c>
      <c r="AR86" s="2" t="n">
        <v>3608.68</v>
      </c>
      <c r="AS86" s="2" t="n">
        <v>10860.5</v>
      </c>
      <c r="AT86" s="2" t="n">
        <v>1147.71</v>
      </c>
      <c r="AU86" s="2" t="n">
        <v>9888.35</v>
      </c>
      <c r="AV86" s="2" t="n">
        <v>393.702824074074</v>
      </c>
      <c r="AW86" s="2" t="n">
        <v>9155.87962962963</v>
      </c>
      <c r="AX86" s="2" t="n">
        <v>1653.35</v>
      </c>
      <c r="AY86" s="2" t="n">
        <v>7122.9</v>
      </c>
      <c r="AZ86" s="2" t="n">
        <v>1112.1</v>
      </c>
      <c r="BA86" s="2" t="n">
        <v>49061.52</v>
      </c>
      <c r="BB86" s="2" t="n">
        <v>37879.39999999999</v>
      </c>
      <c r="BC86" s="2">
        <f>F86+L86+R86+X86+AD86+AJ86+AP86+AV86+IF(BE86="",0,BE86)</f>
        <v/>
      </c>
      <c r="BD86" s="2" t="n">
        <v>583.34276</v>
      </c>
      <c r="BE86" s="2" t="n"/>
      <c r="BF86" s="2" t="n">
        <v>45427.33333333333</v>
      </c>
      <c r="BG86" s="2" t="n">
        <v>0</v>
      </c>
      <c r="BH86" s="2" t="n">
        <v>0</v>
      </c>
      <c r="BI86" s="2" t="n">
        <v>44995.2</v>
      </c>
      <c r="BJ86" s="2" t="n">
        <v>91.60226086956521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511.3719</v>
      </c>
      <c r="BQ86" s="2" t="n">
        <v>0</v>
      </c>
      <c r="BR86" s="2" t="n">
        <v>45623.17416086956</v>
      </c>
      <c r="BS86" s="2" t="n">
        <v>857.2733043478261</v>
      </c>
      <c r="BT86" s="2" t="n">
        <v>0</v>
      </c>
      <c r="BU86" s="2" t="n">
        <v>9193.815113043478</v>
      </c>
      <c r="BV86" s="2" t="n">
        <v>10051.0884173913</v>
      </c>
      <c r="BW86" s="2" t="n">
        <v>55674.26257826087</v>
      </c>
      <c r="BX86" s="2" t="n">
        <v>34190.9</v>
      </c>
      <c r="BY86" s="2" t="n">
        <v>3688.5</v>
      </c>
      <c r="BZ86" s="2" t="n">
        <v>11182.12</v>
      </c>
      <c r="CA86" s="2" t="n">
        <v>37879.4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1270</v>
      </c>
      <c r="B87" t="inlineStr">
        <is>
          <t>Marii Konopnickiej 10, 10-168 Olsztyn</t>
        </is>
      </c>
      <c r="C87" t="inlineStr">
        <is>
          <t>Olsztyn Zachodni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19250.36</v>
      </c>
      <c r="L87" s="2" t="n">
        <v>1602.414225925926</v>
      </c>
      <c r="M87" s="2" t="n">
        <v>17824.40740740741</v>
      </c>
      <c r="N87" s="2" t="n">
        <v>3829.7</v>
      </c>
      <c r="O87" s="2" t="n">
        <v>15099.04</v>
      </c>
      <c r="P87" s="2" t="n">
        <v>321.62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13426.6</v>
      </c>
      <c r="AP87" s="2" t="n">
        <v>982.1309259259258</v>
      </c>
      <c r="AQ87" s="2" t="n">
        <v>12432.03703703703</v>
      </c>
      <c r="AR87" s="2" t="n">
        <v>2374.99</v>
      </c>
      <c r="AS87" s="2" t="n">
        <v>10469.21</v>
      </c>
      <c r="AT87" s="2" t="n">
        <v>582.4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32676.96</v>
      </c>
      <c r="BB87" s="2" t="n">
        <v>26472.27</v>
      </c>
      <c r="BC87" s="2">
        <f>F87+L87+R87+X87+AD87+AJ87+AP87+AV87+IF(BE87="",0,BE87)</f>
        <v/>
      </c>
      <c r="BD87" s="2" t="n">
        <v>407.672958</v>
      </c>
      <c r="BE87" s="2" t="n"/>
      <c r="BF87" s="2" t="n">
        <v>30256.44444444444</v>
      </c>
      <c r="BG87" s="2" t="n">
        <v>343</v>
      </c>
      <c r="BH87" s="2" t="n">
        <v>0</v>
      </c>
      <c r="BI87" s="2" t="n">
        <v>44995.2</v>
      </c>
      <c r="BJ87" s="2" t="n">
        <v>91.60226086956521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357.375645</v>
      </c>
      <c r="BQ87" s="2" t="n">
        <v>0</v>
      </c>
      <c r="BR87" s="2" t="n">
        <v>45812.17790586956</v>
      </c>
      <c r="BS87" s="2" t="n">
        <v>857.2733043478261</v>
      </c>
      <c r="BT87" s="2" t="n">
        <v>0</v>
      </c>
      <c r="BU87" s="2" t="n">
        <v>9262.415113043478</v>
      </c>
      <c r="BV87" s="2" t="n">
        <v>10119.6884173913</v>
      </c>
      <c r="BW87" s="2" t="n">
        <v>55931.86632326087</v>
      </c>
      <c r="BX87" s="2" t="n">
        <v>25568.25</v>
      </c>
      <c r="BY87" s="2" t="n">
        <v>904.02</v>
      </c>
      <c r="BZ87" s="2" t="n">
        <v>6204.69</v>
      </c>
      <c r="CA87" s="2" t="n">
        <v>26472.27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1271</v>
      </c>
      <c r="B88" t="inlineStr">
        <is>
          <t>Zygmunta Augusta 7, 85-082 Bydgoszcz</t>
        </is>
      </c>
      <c r="C88" t="inlineStr">
        <is>
          <t>Bydgoszcz</t>
        </is>
      </c>
      <c r="D88" t="inlineStr">
        <is>
          <t>FAA2000</t>
        </is>
      </c>
      <c r="E88" s="2" t="n">
        <v>10432.55</v>
      </c>
      <c r="F88" s="2" t="n">
        <v>1000</v>
      </c>
      <c r="G88" s="2" t="n">
        <v>9659.768518518516</v>
      </c>
      <c r="H88" s="2" t="n">
        <v>3175.4</v>
      </c>
      <c r="I88" s="2" t="n">
        <v>6519.25</v>
      </c>
      <c r="J88" s="2" t="n">
        <v>737.9</v>
      </c>
      <c r="K88" s="2" t="n">
        <v>17459.16</v>
      </c>
      <c r="L88" s="2" t="n">
        <v>1453.313411111111</v>
      </c>
      <c r="M88" s="2" t="n">
        <v>16165.88888888889</v>
      </c>
      <c r="N88" s="2" t="n">
        <v>5142.81</v>
      </c>
      <c r="O88" s="2" t="n">
        <v>10977.95</v>
      </c>
      <c r="P88" s="2" t="n">
        <v>1338.4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25325.4</v>
      </c>
      <c r="AP88" s="2" t="n">
        <v>1852.506111111111</v>
      </c>
      <c r="AQ88" s="2" t="n">
        <v>23449.44444444445</v>
      </c>
      <c r="AR88" s="2" t="n">
        <v>6603.81</v>
      </c>
      <c r="AS88" s="2" t="n">
        <v>17008.63</v>
      </c>
      <c r="AT88" s="2" t="n">
        <v>1712.96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53217.11</v>
      </c>
      <c r="BB88" s="2" t="n">
        <v>38295.09</v>
      </c>
      <c r="BC88" s="2">
        <f>F88+L88+R88+X88+AD88+AJ88+AP88+AV88+IF(BE88="",0,BE88)</f>
        <v/>
      </c>
      <c r="BD88" s="2" t="n">
        <v>589.7443860000001</v>
      </c>
      <c r="BE88" s="2" t="n"/>
      <c r="BF88" s="2" t="n">
        <v>49275.10185185185</v>
      </c>
      <c r="BG88" s="2" t="n">
        <v>381.38</v>
      </c>
      <c r="BH88" s="2" t="n">
        <v>148.23</v>
      </c>
      <c r="BI88" s="2" t="n">
        <v>44995.2</v>
      </c>
      <c r="BJ88" s="2" t="n">
        <v>91.60226086956521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516.9837150000001</v>
      </c>
      <c r="BQ88" s="2" t="n">
        <v>0</v>
      </c>
      <c r="BR88" s="2" t="n">
        <v>46158.39597586956</v>
      </c>
      <c r="BS88" s="2" t="n">
        <v>857.2733043478261</v>
      </c>
      <c r="BT88" s="2" t="n">
        <v>0</v>
      </c>
      <c r="BU88" s="2" t="n">
        <v>9299.737113043479</v>
      </c>
      <c r="BV88" s="2" t="n">
        <v>10157.0104173913</v>
      </c>
      <c r="BW88" s="2" t="n">
        <v>56315.40639326087</v>
      </c>
      <c r="BX88" s="2" t="n">
        <v>34505.83</v>
      </c>
      <c r="BY88" s="2" t="n">
        <v>3789.26</v>
      </c>
      <c r="BZ88" s="2" t="n">
        <v>14922.02</v>
      </c>
      <c r="CA88" s="2" t="n">
        <v>38295.09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1272</v>
      </c>
      <c r="B89" t="inlineStr">
        <is>
          <t>Dworcowa 115, 88-110 Inowrocław</t>
        </is>
      </c>
      <c r="C89" t="inlineStr">
        <is>
          <t>Inowrocław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11558.21</v>
      </c>
      <c r="L89" s="2" t="n">
        <v>962.113962037037</v>
      </c>
      <c r="M89" s="2" t="n">
        <v>10702.0462962963</v>
      </c>
      <c r="N89" s="2" t="n">
        <v>2601.34</v>
      </c>
      <c r="O89" s="2" t="n">
        <v>7866.84</v>
      </c>
      <c r="P89" s="2" t="n">
        <v>1090.03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10952.71</v>
      </c>
      <c r="AP89" s="2" t="n">
        <v>801.1704537037035</v>
      </c>
      <c r="AQ89" s="2" t="n">
        <v>10141.39814814815</v>
      </c>
      <c r="AR89" s="2" t="n">
        <v>2602.88</v>
      </c>
      <c r="AS89" s="2" t="n">
        <v>7699.87</v>
      </c>
      <c r="AT89" s="2" t="n">
        <v>649.96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22510.92</v>
      </c>
      <c r="BB89" s="2" t="n">
        <v>17306.7</v>
      </c>
      <c r="BC89" s="2">
        <f>F89+L89+R89+X89+AD89+AJ89+AP89+AV89+IF(BE89="",0,BE89)</f>
        <v/>
      </c>
      <c r="BD89" s="2" t="n">
        <v>266.52318</v>
      </c>
      <c r="BE89" s="2" t="n"/>
      <c r="BF89" s="2" t="n">
        <v>20843.44444444444</v>
      </c>
      <c r="BG89" s="2" t="n">
        <v>382</v>
      </c>
      <c r="BH89" s="2" t="n">
        <v>146.3</v>
      </c>
      <c r="BI89" s="2" t="n">
        <v>44995.2</v>
      </c>
      <c r="BJ89" s="2" t="n">
        <v>91.60226086956521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233.64045</v>
      </c>
      <c r="BQ89" s="2" t="n">
        <v>0</v>
      </c>
      <c r="BR89" s="2" t="n">
        <v>45873.74271086956</v>
      </c>
      <c r="BS89" s="2" t="n">
        <v>857.2733043478261</v>
      </c>
      <c r="BT89" s="2" t="n">
        <v>0</v>
      </c>
      <c r="BU89" s="2" t="n">
        <v>9299.47511304348</v>
      </c>
      <c r="BV89" s="2" t="n">
        <v>10156.74841739131</v>
      </c>
      <c r="BW89" s="2" t="n">
        <v>56030.49112826087</v>
      </c>
      <c r="BX89" s="2" t="n">
        <v>15566.71</v>
      </c>
      <c r="BY89" s="2" t="n">
        <v>1739.99</v>
      </c>
      <c r="BZ89" s="2" t="n">
        <v>5204.22</v>
      </c>
      <c r="CA89" s="2" t="n">
        <v>17306.7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1273</v>
      </c>
      <c r="B90" t="inlineStr">
        <is>
          <t>Towarowa 5, 84-120 Władysławowo</t>
        </is>
      </c>
      <c r="C90" t="inlineStr">
        <is>
          <t>Władysławowo</t>
        </is>
      </c>
      <c r="D90" t="inlineStr">
        <is>
          <t>ST|40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3604.48</v>
      </c>
      <c r="L90" s="2" t="n">
        <v>300.0395851851852</v>
      </c>
      <c r="M90" s="2" t="n">
        <v>3337.481481481481</v>
      </c>
      <c r="N90" s="2" t="n">
        <v>0</v>
      </c>
      <c r="O90" s="2" t="n">
        <v>2766.75</v>
      </c>
      <c r="P90" s="2" t="n">
        <v>837.73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59680.06</v>
      </c>
      <c r="AP90" s="2" t="n">
        <v>5475</v>
      </c>
      <c r="AQ90" s="2" t="n">
        <v>55259.31481481482</v>
      </c>
      <c r="AR90" s="2" t="n">
        <v>0</v>
      </c>
      <c r="AS90" s="2" t="n">
        <v>44880.16</v>
      </c>
      <c r="AT90" s="2" t="n">
        <v>14799.9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63284.54000000001</v>
      </c>
      <c r="BB90" s="2" t="n">
        <v>63284.54000000001</v>
      </c>
      <c r="BC90" s="2">
        <f>F90+L90+R90+X90+AD90+AJ90+AP90+AV90+IF(BE90="",0,BE90)</f>
        <v/>
      </c>
      <c r="BD90" s="2" t="n">
        <v>974.5819160000001</v>
      </c>
      <c r="BE90" s="2" t="n"/>
      <c r="BF90" s="2" t="n">
        <v>58596.7962962963</v>
      </c>
      <c r="BG90" s="2" t="n">
        <v>0</v>
      </c>
      <c r="BH90" s="2" t="n">
        <v>0</v>
      </c>
      <c r="BI90" s="2" t="n">
        <v>44995.2</v>
      </c>
      <c r="BJ90" s="2" t="n">
        <v>91.60226086956521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854.3412900000001</v>
      </c>
      <c r="BQ90" s="2" t="n">
        <v>0</v>
      </c>
      <c r="BR90" s="2" t="n">
        <v>45966.14355086956</v>
      </c>
      <c r="BS90" s="2" t="n">
        <v>857.2733043478261</v>
      </c>
      <c r="BT90" s="2" t="n">
        <v>0</v>
      </c>
      <c r="BU90" s="2" t="n">
        <v>9193.815113043478</v>
      </c>
      <c r="BV90" s="2" t="n">
        <v>10051.0884173913</v>
      </c>
      <c r="BW90" s="2" t="n">
        <v>56017.23196826086</v>
      </c>
      <c r="BX90" s="2" t="n">
        <v>47646.91</v>
      </c>
      <c r="BY90" s="2" t="n">
        <v>15637.63</v>
      </c>
      <c r="BZ90" s="2" t="n">
        <v>0</v>
      </c>
      <c r="CA90" s="2" t="n">
        <v>63284.54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1274</v>
      </c>
      <c r="B91" t="inlineStr">
        <is>
          <t>Czersk</t>
        </is>
      </c>
      <c r="C91" t="inlineStr">
        <is>
          <t>Czersk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6733.71</v>
      </c>
      <c r="AP91" s="2" t="n">
        <v>3900</v>
      </c>
      <c r="AQ91" s="2" t="n">
        <v>6234.916666666666</v>
      </c>
      <c r="AR91" s="2" t="n">
        <v>0</v>
      </c>
      <c r="AS91" s="2" t="n">
        <v>6004.68</v>
      </c>
      <c r="AT91" s="2" t="n">
        <v>729.03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6733.71</v>
      </c>
      <c r="BB91" s="2" t="n">
        <v>6733.71</v>
      </c>
      <c r="BC91" s="2">
        <f>F91+L91+R91+X91+AD91+AJ91+AP91+AV91+IF(BE91="",0,BE91)</f>
        <v/>
      </c>
      <c r="BD91" s="2" t="n">
        <v>103.699134</v>
      </c>
      <c r="BE91" s="2" t="n"/>
      <c r="BF91" s="2" t="n">
        <v>6234.916666666666</v>
      </c>
      <c r="BG91" s="2" t="n">
        <v>0</v>
      </c>
      <c r="BH91" s="2" t="n">
        <v>0</v>
      </c>
      <c r="BI91" s="2" t="n">
        <v>44995.2</v>
      </c>
      <c r="BJ91" s="2" t="n">
        <v>91.60226086956521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90.905085</v>
      </c>
      <c r="BQ91" s="2" t="n">
        <v>0</v>
      </c>
      <c r="BR91" s="2" t="n">
        <v>45202.70734586956</v>
      </c>
      <c r="BS91" s="2" t="n">
        <v>857.2733043478261</v>
      </c>
      <c r="BT91" s="2" t="n">
        <v>0</v>
      </c>
      <c r="BU91" s="2" t="n">
        <v>9193.815113043478</v>
      </c>
      <c r="BV91" s="2" t="n">
        <v>10051.0884173913</v>
      </c>
      <c r="BW91" s="2" t="n">
        <v>55253.79576326086</v>
      </c>
      <c r="BX91" s="2" t="n">
        <v>6004.68</v>
      </c>
      <c r="BY91" s="2" t="n">
        <v>729.03</v>
      </c>
      <c r="BZ91" s="2" t="n">
        <v>0</v>
      </c>
      <c r="CA91" s="2" t="n">
        <v>6733.71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1275</v>
      </c>
      <c r="B92" t="inlineStr">
        <is>
          <t>Rzeszow Glowny</t>
        </is>
      </c>
      <c r="C92" t="inlineStr">
        <is>
          <t>Poznań Dębiec</t>
        </is>
      </c>
      <c r="D92" t="inlineStr">
        <is>
          <t>FAA2000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22555.48</v>
      </c>
      <c r="L92" s="2" t="n">
        <v>1877.534862962963</v>
      </c>
      <c r="M92" s="2" t="n">
        <v>20884.7037037037</v>
      </c>
      <c r="N92" s="2" t="n">
        <v>3586.19</v>
      </c>
      <c r="O92" s="2" t="n">
        <v>18241.23</v>
      </c>
      <c r="P92" s="2" t="n">
        <v>728.0599999999999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37075.3</v>
      </c>
      <c r="AP92" s="2" t="n">
        <v>2711.989537037037</v>
      </c>
      <c r="AQ92" s="2" t="n">
        <v>34328.98148148148</v>
      </c>
      <c r="AR92" s="2" t="n">
        <v>8513.01</v>
      </c>
      <c r="AS92" s="2" t="n">
        <v>27305.64</v>
      </c>
      <c r="AT92" s="2" t="n">
        <v>1256.65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59630.78</v>
      </c>
      <c r="BB92" s="2" t="n">
        <v>47531.58</v>
      </c>
      <c r="BC92" s="2">
        <f>F92+L92+R92+X92+AD92+AJ92+AP92+AV92+IF(BE92="",0,BE92)</f>
        <v/>
      </c>
      <c r="BD92" s="2" t="n">
        <v>731.9863320000001</v>
      </c>
      <c r="BE92" s="2" t="n"/>
      <c r="BF92" s="2" t="n">
        <v>55213.68518518518</v>
      </c>
      <c r="BG92" s="2" t="n">
        <v>0</v>
      </c>
      <c r="BH92" s="2" t="n">
        <v>0</v>
      </c>
      <c r="BI92" s="2" t="n">
        <v>44995.2</v>
      </c>
      <c r="BJ92" s="2" t="n">
        <v>91.60226086956521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641.67633</v>
      </c>
      <c r="BQ92" s="2" t="n">
        <v>0</v>
      </c>
      <c r="BR92" s="2" t="n">
        <v>45753.47859086956</v>
      </c>
      <c r="BS92" s="2" t="n">
        <v>857.2733043478261</v>
      </c>
      <c r="BT92" s="2" t="n">
        <v>0</v>
      </c>
      <c r="BU92" s="2" t="n">
        <v>9193.815113043478</v>
      </c>
      <c r="BV92" s="2" t="n">
        <v>10051.0884173913</v>
      </c>
      <c r="BW92" s="2" t="n">
        <v>55804.56700826087</v>
      </c>
      <c r="BX92" s="2" t="n">
        <v>45546.87</v>
      </c>
      <c r="BY92" s="2" t="n">
        <v>1984.71</v>
      </c>
      <c r="BZ92" s="2" t="n">
        <v>12099.2</v>
      </c>
      <c r="CA92" s="2" t="n">
        <v>47531.57999999999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1276</v>
      </c>
      <c r="B93" t="inlineStr">
        <is>
          <t>GDA-STR</t>
        </is>
      </c>
      <c r="C93" t="inlineStr">
        <is>
          <t>Gdańsk Strzyża</t>
        </is>
      </c>
      <c r="D93" t="inlineStr">
        <is>
          <t>ST|40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9606.26</v>
      </c>
      <c r="AP93" s="2" t="n">
        <v>0</v>
      </c>
      <c r="AQ93" s="2" t="n">
        <v>8894.685185185184</v>
      </c>
      <c r="AR93" s="2" t="n">
        <v>1531.18</v>
      </c>
      <c r="AS93" s="2" t="n">
        <v>7762.56</v>
      </c>
      <c r="AT93" s="2" t="n">
        <v>312.52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9606.26</v>
      </c>
      <c r="BB93" s="2" t="n">
        <v>8075.08</v>
      </c>
      <c r="BC93" s="2">
        <f>F93+L93+R93+X93+AD93+AJ93+AP93+AV93+IF(BE93="",0,BE93)</f>
        <v/>
      </c>
      <c r="BD93" s="2" t="n">
        <v>124.356232</v>
      </c>
      <c r="BE93" s="2" t="n"/>
      <c r="BF93" s="2" t="n">
        <v>8894.685185185184</v>
      </c>
      <c r="BG93" s="2" t="n">
        <v>0</v>
      </c>
      <c r="BH93" s="2" t="n">
        <v>0</v>
      </c>
      <c r="BI93" s="2" t="n">
        <v>44995.2</v>
      </c>
      <c r="BJ93" s="2" t="n">
        <v>91.60226086956521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109.01358</v>
      </c>
      <c r="BQ93" s="2" t="n">
        <v>0</v>
      </c>
      <c r="BR93" s="2" t="n">
        <v>45220.81584086956</v>
      </c>
      <c r="BS93" s="2" t="n">
        <v>857.2733043478261</v>
      </c>
      <c r="BT93" s="2" t="n">
        <v>0</v>
      </c>
      <c r="BU93" s="2" t="n">
        <v>9193.815113043478</v>
      </c>
      <c r="BV93" s="2" t="n">
        <v>10051.0884173913</v>
      </c>
      <c r="BW93" s="2" t="n">
        <v>55271.90425826087</v>
      </c>
      <c r="BX93" s="2" t="n">
        <v>7762.56</v>
      </c>
      <c r="BY93" s="2" t="n">
        <v>312.52</v>
      </c>
      <c r="BZ93" s="2" t="n">
        <v>1531.18</v>
      </c>
      <c r="CA93" s="2" t="n">
        <v>8075.08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1277</v>
      </c>
      <c r="B94" t="inlineStr">
        <is>
          <t>Plac Konstytucji 1, 81-354 Gdynia</t>
        </is>
      </c>
      <c r="C94" t="inlineStr">
        <is>
          <t>Gdynia Główna</t>
        </is>
      </c>
      <c r="D94" t="inlineStr">
        <is>
          <t>ST|40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16324.7</v>
      </c>
      <c r="L94" s="2" t="n">
        <v>1358.88012037037</v>
      </c>
      <c r="M94" s="2" t="n">
        <v>15115.46296296296</v>
      </c>
      <c r="N94" s="2" t="n">
        <v>5798.67</v>
      </c>
      <c r="O94" s="2" t="n">
        <v>9826.4</v>
      </c>
      <c r="P94" s="2" t="n">
        <v>699.63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36023.96</v>
      </c>
      <c r="AP94" s="2" t="n">
        <v>2635.085962962963</v>
      </c>
      <c r="AQ94" s="2" t="n">
        <v>33355.51851851852</v>
      </c>
      <c r="AR94" s="2" t="n">
        <v>9212.450000000001</v>
      </c>
      <c r="AS94" s="2" t="n">
        <v>24261.94</v>
      </c>
      <c r="AT94" s="2" t="n">
        <v>2549.57</v>
      </c>
      <c r="AU94" s="2" t="n">
        <v>40297.45</v>
      </c>
      <c r="AV94" s="2" t="n">
        <v>1604.435509259259</v>
      </c>
      <c r="AW94" s="2" t="n">
        <v>37312.4537037037</v>
      </c>
      <c r="AX94" s="2" t="n">
        <v>6912.2</v>
      </c>
      <c r="AY94" s="2" t="n">
        <v>29787.9</v>
      </c>
      <c r="AZ94" s="2" t="n">
        <v>3597.35</v>
      </c>
      <c r="BA94" s="2" t="n">
        <v>92646.10999999999</v>
      </c>
      <c r="BB94" s="2" t="n">
        <v>70722.78999999999</v>
      </c>
      <c r="BC94" s="2">
        <f>F94+L94+R94+X94+AD94+AJ94+AP94+AV94+IF(BE94="",0,BE94)</f>
        <v/>
      </c>
      <c r="BD94" s="2" t="n">
        <v>1089.130966</v>
      </c>
      <c r="BE94" s="2" t="n"/>
      <c r="BF94" s="2" t="n">
        <v>85783.43518518518</v>
      </c>
      <c r="BG94" s="2" t="n">
        <v>971.34</v>
      </c>
      <c r="BH94" s="2" t="n">
        <v>93.59999999999999</v>
      </c>
      <c r="BI94" s="2" t="n">
        <v>44995.2</v>
      </c>
      <c r="BJ94" s="2" t="n">
        <v>91.60226086956521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954.757665</v>
      </c>
      <c r="BQ94" s="2" t="n">
        <v>0</v>
      </c>
      <c r="BR94" s="2" t="n">
        <v>47131.49992586956</v>
      </c>
      <c r="BS94" s="2" t="n">
        <v>857.2733043478261</v>
      </c>
      <c r="BT94" s="2" t="n">
        <v>0</v>
      </c>
      <c r="BU94" s="2" t="n">
        <v>9406.803113043479</v>
      </c>
      <c r="BV94" s="2" t="n">
        <v>10264.0764173913</v>
      </c>
      <c r="BW94" s="2" t="n">
        <v>57395.57634326087</v>
      </c>
      <c r="BX94" s="2" t="n">
        <v>63876.24</v>
      </c>
      <c r="BY94" s="2" t="n">
        <v>6846.55</v>
      </c>
      <c r="BZ94" s="2" t="n">
        <v>21923.32</v>
      </c>
      <c r="CA94" s="2" t="n">
        <v>70722.78999999999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1278</v>
      </c>
      <c r="B95" t="inlineStr">
        <is>
          <t>Plac Konstytucji 1, 81-354 Gdynia</t>
        </is>
      </c>
      <c r="C95" t="inlineStr">
        <is>
          <t>Gdynia Główna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13660.46</v>
      </c>
      <c r="L95" s="2" t="n">
        <v>1137.106809259259</v>
      </c>
      <c r="M95" s="2" t="n">
        <v>12648.57407407407</v>
      </c>
      <c r="N95" s="2" t="n">
        <v>592.23</v>
      </c>
      <c r="O95" s="2" t="n">
        <v>12363.92</v>
      </c>
      <c r="P95" s="2" t="n">
        <v>704.3099999999999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35353.4</v>
      </c>
      <c r="AP95" s="2" t="n">
        <v>2586.03574074074</v>
      </c>
      <c r="AQ95" s="2" t="n">
        <v>32734.62962962963</v>
      </c>
      <c r="AR95" s="2" t="n">
        <v>2480.32</v>
      </c>
      <c r="AS95" s="2" t="n">
        <v>29481.3</v>
      </c>
      <c r="AT95" s="2" t="n">
        <v>3391.78</v>
      </c>
      <c r="AU95" s="2" t="n">
        <v>36528.35</v>
      </c>
      <c r="AV95" s="2" t="n">
        <v>1454.369490740741</v>
      </c>
      <c r="AW95" s="2" t="n">
        <v>33822.54629629629</v>
      </c>
      <c r="AX95" s="2" t="n">
        <v>3173.6</v>
      </c>
      <c r="AY95" s="2" t="n">
        <v>30096.4</v>
      </c>
      <c r="AZ95" s="2" t="n">
        <v>3258.35</v>
      </c>
      <c r="BA95" s="2" t="n">
        <v>85542.20999999999</v>
      </c>
      <c r="BB95" s="2" t="n">
        <v>79296.06</v>
      </c>
      <c r="BC95" s="2">
        <f>F95+L95+R95+X95+AD95+AJ95+AP95+AV95+IF(BE95="",0,BE95)</f>
        <v/>
      </c>
      <c r="BD95" s="2" t="n">
        <v>1221.159324</v>
      </c>
      <c r="BE95" s="2" t="n"/>
      <c r="BF95" s="2" t="n">
        <v>79205.75</v>
      </c>
      <c r="BG95" s="2" t="n">
        <v>1216.91</v>
      </c>
      <c r="BH95" s="2" t="n">
        <v>117</v>
      </c>
      <c r="BI95" s="2" t="n">
        <v>44995.2</v>
      </c>
      <c r="BJ95" s="2" t="n">
        <v>91.60226086956521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1070.49681</v>
      </c>
      <c r="BQ95" s="2" t="n">
        <v>0</v>
      </c>
      <c r="BR95" s="2" t="n">
        <v>47516.20907086956</v>
      </c>
      <c r="BS95" s="2" t="n">
        <v>857.2733043478261</v>
      </c>
      <c r="BT95" s="2" t="n">
        <v>0</v>
      </c>
      <c r="BU95" s="2" t="n">
        <v>9460.597113043479</v>
      </c>
      <c r="BV95" s="2" t="n">
        <v>10317.8704173913</v>
      </c>
      <c r="BW95" s="2" t="n">
        <v>57834.07948826087</v>
      </c>
      <c r="BX95" s="2" t="n">
        <v>71941.62</v>
      </c>
      <c r="BY95" s="2" t="n">
        <v>7354.440000000001</v>
      </c>
      <c r="BZ95" s="2" t="n">
        <v>6246.15</v>
      </c>
      <c r="CA95" s="2" t="n">
        <v>79296.06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1279</v>
      </c>
      <c r="B96" t="inlineStr">
        <is>
          <t>GDA-GL</t>
        </is>
      </c>
      <c r="C96" t="inlineStr">
        <is>
          <t>Gdańsk Brętowo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4741.68</v>
      </c>
      <c r="AP96" s="2" t="n">
        <v>0</v>
      </c>
      <c r="AQ96" s="2" t="n">
        <v>4390.444444444444</v>
      </c>
      <c r="AR96" s="2" t="n">
        <v>512.1799999999999</v>
      </c>
      <c r="AS96" s="2" t="n">
        <v>4117.1</v>
      </c>
      <c r="AT96" s="2" t="n">
        <v>112.4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4741.68</v>
      </c>
      <c r="BB96" s="2" t="n">
        <v>4229.5</v>
      </c>
      <c r="BC96" s="2">
        <f>F96+L96+R96+X96+AD96+AJ96+AP96+AV96+IF(BE96="",0,BE96)</f>
        <v/>
      </c>
      <c r="BD96" s="2" t="n">
        <v>65.1343</v>
      </c>
      <c r="BE96" s="2" t="n"/>
      <c r="BF96" s="2" t="n">
        <v>4390.444444444444</v>
      </c>
      <c r="BG96" s="2" t="n">
        <v>0</v>
      </c>
      <c r="BH96" s="2" t="n">
        <v>0</v>
      </c>
      <c r="BI96" s="2" t="n">
        <v>44995.2</v>
      </c>
      <c r="BJ96" s="2" t="n">
        <v>91.60226086956521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57.09825</v>
      </c>
      <c r="BQ96" s="2" t="n">
        <v>0</v>
      </c>
      <c r="BR96" s="2" t="n">
        <v>45168.90051086956</v>
      </c>
      <c r="BS96" s="2" t="n">
        <v>857.2733043478261</v>
      </c>
      <c r="BT96" s="2" t="n">
        <v>0</v>
      </c>
      <c r="BU96" s="2" t="n">
        <v>9193.815113043478</v>
      </c>
      <c r="BV96" s="2" t="n">
        <v>10051.0884173913</v>
      </c>
      <c r="BW96" s="2" t="n">
        <v>55219.98892826086</v>
      </c>
      <c r="BX96" s="2" t="n">
        <v>4117.1</v>
      </c>
      <c r="BY96" s="2" t="n">
        <v>112.4</v>
      </c>
      <c r="BZ96" s="2" t="n">
        <v>512.1799999999999</v>
      </c>
      <c r="CA96" s="2" t="n">
        <v>4229.5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1280</v>
      </c>
      <c r="B97" t="inlineStr">
        <is>
          <t>GRODZW</t>
        </is>
      </c>
      <c r="C97" t="inlineStr">
        <is>
          <t>Gdańsk Jasień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9160.129999999999</v>
      </c>
      <c r="AP97" s="2" t="n">
        <v>0</v>
      </c>
      <c r="AQ97" s="2" t="n">
        <v>8481.60185185185</v>
      </c>
      <c r="AR97" s="2" t="n">
        <v>1538.9</v>
      </c>
      <c r="AS97" s="2" t="n">
        <v>7305.52</v>
      </c>
      <c r="AT97" s="2" t="n">
        <v>315.71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9160.129999999999</v>
      </c>
      <c r="BB97" s="2" t="n">
        <v>7621.23</v>
      </c>
      <c r="BC97" s="2">
        <f>F97+L97+R97+X97+AD97+AJ97+AP97+AV97+IF(BE97="",0,BE97)</f>
        <v/>
      </c>
      <c r="BD97" s="2" t="n">
        <v>117.366942</v>
      </c>
      <c r="BE97" s="2" t="n"/>
      <c r="BF97" s="2" t="n">
        <v>8481.60185185185</v>
      </c>
      <c r="BG97" s="2" t="n">
        <v>0</v>
      </c>
      <c r="BH97" s="2" t="n">
        <v>0</v>
      </c>
      <c r="BI97" s="2" t="n">
        <v>44995.2</v>
      </c>
      <c r="BJ97" s="2" t="n">
        <v>91.60226086956521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102.886605</v>
      </c>
      <c r="BQ97" s="2" t="n">
        <v>0</v>
      </c>
      <c r="BR97" s="2" t="n">
        <v>45214.68886586956</v>
      </c>
      <c r="BS97" s="2" t="n">
        <v>857.2733043478261</v>
      </c>
      <c r="BT97" s="2" t="n">
        <v>0</v>
      </c>
      <c r="BU97" s="2" t="n">
        <v>9193.815113043478</v>
      </c>
      <c r="BV97" s="2" t="n">
        <v>10051.0884173913</v>
      </c>
      <c r="BW97" s="2" t="n">
        <v>55265.77728326086</v>
      </c>
      <c r="BX97" s="2" t="n">
        <v>7305.52</v>
      </c>
      <c r="BY97" s="2" t="n">
        <v>315.71</v>
      </c>
      <c r="BZ97" s="2" t="n">
        <v>1538.9</v>
      </c>
      <c r="CA97" s="2" t="n">
        <v>7621.23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1281</v>
      </c>
      <c r="B98" t="inlineStr">
        <is>
          <t>GRANOW</t>
        </is>
      </c>
      <c r="C98" t="inlineStr">
        <is>
          <t>Gdańsk Kiełpinek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11127.21</v>
      </c>
      <c r="AP98" s="2" t="n">
        <v>0</v>
      </c>
      <c r="AQ98" s="2" t="n">
        <v>10302.97222222222</v>
      </c>
      <c r="AR98" s="2" t="n">
        <v>1553.23</v>
      </c>
      <c r="AS98" s="2" t="n">
        <v>9336.709999999999</v>
      </c>
      <c r="AT98" s="2" t="n">
        <v>237.27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11127.21</v>
      </c>
      <c r="BB98" s="2" t="n">
        <v>9573.98</v>
      </c>
      <c r="BC98" s="2">
        <f>F98+L98+R98+X98+AD98+AJ98+AP98+AV98+IF(BE98="",0,BE98)</f>
        <v/>
      </c>
      <c r="BD98" s="2" t="n">
        <v>147.439292</v>
      </c>
      <c r="BE98" s="2" t="n"/>
      <c r="BF98" s="2" t="n">
        <v>10302.97222222222</v>
      </c>
      <c r="BG98" s="2" t="n">
        <v>0</v>
      </c>
      <c r="BH98" s="2" t="n">
        <v>0</v>
      </c>
      <c r="BI98" s="2" t="n">
        <v>44995.2</v>
      </c>
      <c r="BJ98" s="2" t="n">
        <v>91.60226086956521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129.24873</v>
      </c>
      <c r="BQ98" s="2" t="n">
        <v>0</v>
      </c>
      <c r="BR98" s="2" t="n">
        <v>45241.05099086956</v>
      </c>
      <c r="BS98" s="2" t="n">
        <v>857.2733043478261</v>
      </c>
      <c r="BT98" s="2" t="n">
        <v>0</v>
      </c>
      <c r="BU98" s="2" t="n">
        <v>9193.815113043478</v>
      </c>
      <c r="BV98" s="2" t="n">
        <v>10051.0884173913</v>
      </c>
      <c r="BW98" s="2" t="n">
        <v>55292.13940826086</v>
      </c>
      <c r="BX98" s="2" t="n">
        <v>9336.709999999999</v>
      </c>
      <c r="BY98" s="2" t="n">
        <v>237.27</v>
      </c>
      <c r="BZ98" s="2" t="n">
        <v>1553.23</v>
      </c>
      <c r="CA98" s="2" t="n">
        <v>9573.98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1282</v>
      </c>
      <c r="B99" t="inlineStr">
        <is>
          <t>STESZEW</t>
        </is>
      </c>
      <c r="C99" t="inlineStr">
        <is>
          <t>Gdańsk Port Lotniczy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40690.61</v>
      </c>
      <c r="AP99" s="2" t="n">
        <v>0</v>
      </c>
      <c r="AQ99" s="2" t="n">
        <v>37676.49074074074</v>
      </c>
      <c r="AR99" s="2" t="n">
        <v>5207.03</v>
      </c>
      <c r="AS99" s="2" t="n">
        <v>34567.67</v>
      </c>
      <c r="AT99" s="2" t="n">
        <v>915.91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40690.61</v>
      </c>
      <c r="BB99" s="2" t="n">
        <v>35483.58</v>
      </c>
      <c r="BC99" s="2">
        <f>F99+L99+R99+X99+AD99+AJ99+AP99+AV99+IF(BE99="",0,BE99)</f>
        <v/>
      </c>
      <c r="BD99" s="2" t="n">
        <v>546.447132</v>
      </c>
      <c r="BE99" s="2" t="n"/>
      <c r="BF99" s="2" t="n">
        <v>37676.49074074074</v>
      </c>
      <c r="BG99" s="2" t="n">
        <v>0</v>
      </c>
      <c r="BH99" s="2" t="n">
        <v>0</v>
      </c>
      <c r="BI99" s="2" t="n">
        <v>44995.2</v>
      </c>
      <c r="BJ99" s="2" t="n">
        <v>91.60226086956521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479.02833</v>
      </c>
      <c r="BQ99" s="2" t="n">
        <v>0</v>
      </c>
      <c r="BR99" s="2" t="n">
        <v>45590.83059086956</v>
      </c>
      <c r="BS99" s="2" t="n">
        <v>857.2733043478261</v>
      </c>
      <c r="BT99" s="2" t="n">
        <v>0</v>
      </c>
      <c r="BU99" s="2" t="n">
        <v>9193.815113043478</v>
      </c>
      <c r="BV99" s="2" t="n">
        <v>10051.0884173913</v>
      </c>
      <c r="BW99" s="2" t="n">
        <v>55641.91900826087</v>
      </c>
      <c r="BX99" s="2" t="n">
        <v>34567.67</v>
      </c>
      <c r="BY99" s="2" t="n">
        <v>915.91</v>
      </c>
      <c r="BZ99" s="2" t="n">
        <v>5207.03</v>
      </c>
      <c r="CA99" s="2" t="n">
        <v>35483.58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1283</v>
      </c>
      <c r="B100" t="inlineStr">
        <is>
          <t>CZERWO</t>
        </is>
      </c>
      <c r="C100" t="inlineStr">
        <is>
          <t>Gdańsk Port Lotniczy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36878.66</v>
      </c>
      <c r="AP100" s="2" t="n">
        <v>0</v>
      </c>
      <c r="AQ100" s="2" t="n">
        <v>34146.90740740741</v>
      </c>
      <c r="AR100" s="2" t="n">
        <v>6443.92</v>
      </c>
      <c r="AS100" s="2" t="n">
        <v>28299.91</v>
      </c>
      <c r="AT100" s="2" t="n">
        <v>2134.83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36878.66</v>
      </c>
      <c r="BB100" s="2" t="n">
        <v>30434.74</v>
      </c>
      <c r="BC100" s="2">
        <f>F100+L100+R100+X100+AD100+AJ100+AP100+AV100+IF(BE100="",0,BE100)</f>
        <v/>
      </c>
      <c r="BD100" s="2" t="n">
        <v>468.694996</v>
      </c>
      <c r="BE100" s="2" t="n"/>
      <c r="BF100" s="2" t="n">
        <v>34146.90740740741</v>
      </c>
      <c r="BG100" s="2" t="n">
        <v>0</v>
      </c>
      <c r="BH100" s="2" t="n">
        <v>0</v>
      </c>
      <c r="BI100" s="2" t="n">
        <v>44995.2</v>
      </c>
      <c r="BJ100" s="2" t="n">
        <v>91.60226086956521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410.8689899999999</v>
      </c>
      <c r="BQ100" s="2" t="n">
        <v>0</v>
      </c>
      <c r="BR100" s="2" t="n">
        <v>45522.67125086956</v>
      </c>
      <c r="BS100" s="2" t="n">
        <v>857.2733043478261</v>
      </c>
      <c r="BT100" s="2" t="n">
        <v>0</v>
      </c>
      <c r="BU100" s="2" t="n">
        <v>9193.815113043478</v>
      </c>
      <c r="BV100" s="2" t="n">
        <v>10051.0884173913</v>
      </c>
      <c r="BW100" s="2" t="n">
        <v>55573.75966826087</v>
      </c>
      <c r="BX100" s="2" t="n">
        <v>28299.91</v>
      </c>
      <c r="BY100" s="2" t="n">
        <v>2134.83</v>
      </c>
      <c r="BZ100" s="2" t="n">
        <v>6443.92</v>
      </c>
      <c r="CA100" s="2" t="n">
        <v>30434.74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1284</v>
      </c>
      <c r="B101" t="inlineStr">
        <is>
          <t>OWINSK</t>
        </is>
      </c>
      <c r="C101" t="inlineStr">
        <is>
          <t>Gdańsk Rębiechowo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5809.460000000001</v>
      </c>
      <c r="AP101" s="2" t="n">
        <v>0</v>
      </c>
      <c r="AQ101" s="2" t="n">
        <v>5379.12962962963</v>
      </c>
      <c r="AR101" s="2" t="n">
        <v>656.26</v>
      </c>
      <c r="AS101" s="2" t="n">
        <v>5039.39</v>
      </c>
      <c r="AT101" s="2" t="n">
        <v>113.81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5809.460000000001</v>
      </c>
      <c r="BB101" s="2" t="n">
        <v>5153.200000000001</v>
      </c>
      <c r="BC101" s="2">
        <f>F101+L101+R101+X101+AD101+AJ101+AP101+AV101+IF(BE101="",0,BE101)</f>
        <v/>
      </c>
      <c r="BD101" s="2" t="n">
        <v>79.35928000000001</v>
      </c>
      <c r="BE101" s="2" t="n"/>
      <c r="BF101" s="2" t="n">
        <v>5379.12962962963</v>
      </c>
      <c r="BG101" s="2" t="n">
        <v>0</v>
      </c>
      <c r="BH101" s="2" t="n">
        <v>0</v>
      </c>
      <c r="BI101" s="2" t="n">
        <v>44995.2</v>
      </c>
      <c r="BJ101" s="2" t="n">
        <v>91.60226086956521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69.5682</v>
      </c>
      <c r="BQ101" s="2" t="n">
        <v>0</v>
      </c>
      <c r="BR101" s="2" t="n">
        <v>45181.37046086956</v>
      </c>
      <c r="BS101" s="2" t="n">
        <v>857.2733043478261</v>
      </c>
      <c r="BT101" s="2" t="n">
        <v>0</v>
      </c>
      <c r="BU101" s="2" t="n">
        <v>9193.815113043478</v>
      </c>
      <c r="BV101" s="2" t="n">
        <v>10051.0884173913</v>
      </c>
      <c r="BW101" s="2" t="n">
        <v>55232.45887826086</v>
      </c>
      <c r="BX101" s="2" t="n">
        <v>5039.39</v>
      </c>
      <c r="BY101" s="2" t="n">
        <v>113.81</v>
      </c>
      <c r="BZ101" s="2" t="n">
        <v>656.26</v>
      </c>
      <c r="CA101" s="2" t="n">
        <v>5153.200000000001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1285</v>
      </c>
      <c r="B102" t="inlineStr">
        <is>
          <t>ZIELWZG</t>
        </is>
      </c>
      <c r="C102" t="inlineStr">
        <is>
          <t>Gdańsk Osowa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7771.48</v>
      </c>
      <c r="AP102" s="2" t="n">
        <v>0</v>
      </c>
      <c r="AQ102" s="2" t="n">
        <v>7195.814814814815</v>
      </c>
      <c r="AR102" s="2" t="n">
        <v>1327.63</v>
      </c>
      <c r="AS102" s="2" t="n">
        <v>6208.38</v>
      </c>
      <c r="AT102" s="2" t="n">
        <v>235.47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7771.48</v>
      </c>
      <c r="BB102" s="2" t="n">
        <v>6443.85</v>
      </c>
      <c r="BC102" s="2">
        <f>F102+L102+R102+X102+AD102+AJ102+AP102+AV102+IF(BE102="",0,BE102)</f>
        <v/>
      </c>
      <c r="BD102" s="2" t="n">
        <v>99.23529000000001</v>
      </c>
      <c r="BE102" s="2" t="n"/>
      <c r="BF102" s="2" t="n">
        <v>7195.814814814815</v>
      </c>
      <c r="BG102" s="2" t="n">
        <v>0</v>
      </c>
      <c r="BH102" s="2" t="n">
        <v>0</v>
      </c>
      <c r="BI102" s="2" t="n">
        <v>44995.2</v>
      </c>
      <c r="BJ102" s="2" t="n">
        <v>91.60226086956521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86.99197500000001</v>
      </c>
      <c r="BQ102" s="2" t="n">
        <v>0</v>
      </c>
      <c r="BR102" s="2" t="n">
        <v>45198.79423586956</v>
      </c>
      <c r="BS102" s="2" t="n">
        <v>857.2733043478261</v>
      </c>
      <c r="BT102" s="2" t="n">
        <v>0</v>
      </c>
      <c r="BU102" s="2" t="n">
        <v>9193.815113043478</v>
      </c>
      <c r="BV102" s="2" t="n">
        <v>10051.0884173913</v>
      </c>
      <c r="BW102" s="2" t="n">
        <v>55249.88265326087</v>
      </c>
      <c r="BX102" s="2" t="n">
        <v>6208.38</v>
      </c>
      <c r="BY102" s="2" t="n">
        <v>235.47</v>
      </c>
      <c r="BZ102" s="2" t="n">
        <v>1327.63</v>
      </c>
      <c r="CA102" s="2" t="n">
        <v>6443.85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1286</v>
      </c>
      <c r="B103" t="inlineStr">
        <is>
          <t>Dworcowa 2, 61-801 Poznań</t>
        </is>
      </c>
      <c r="C103" t="inlineStr">
        <is>
          <t>Poznań Główny</t>
        </is>
      </c>
      <c r="D103" t="inlineStr">
        <is>
          <t>FAA2000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7216.85</v>
      </c>
      <c r="L103" s="2" t="n">
        <v>600.7359398148149</v>
      </c>
      <c r="M103" s="2" t="n">
        <v>6682.268518518518</v>
      </c>
      <c r="N103" s="2" t="n">
        <v>1096.5</v>
      </c>
      <c r="O103" s="2" t="n">
        <v>5629.35</v>
      </c>
      <c r="P103" s="2" t="n">
        <v>491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13663.82</v>
      </c>
      <c r="AD103" s="2" t="n">
        <v>872.9662777777778</v>
      </c>
      <c r="AE103" s="2" t="n">
        <v>12651.68518518518</v>
      </c>
      <c r="AF103" s="2" t="n">
        <v>1270.67</v>
      </c>
      <c r="AG103" s="2" t="n">
        <v>11745.81</v>
      </c>
      <c r="AH103" s="2" t="n">
        <v>647.34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6052.36</v>
      </c>
      <c r="AP103" s="2" t="n">
        <v>442.7189259259259</v>
      </c>
      <c r="AQ103" s="2" t="n">
        <v>5604.037037037036</v>
      </c>
      <c r="AR103" s="2" t="n">
        <v>855.99</v>
      </c>
      <c r="AS103" s="2" t="n">
        <v>5117.8</v>
      </c>
      <c r="AT103" s="2" t="n">
        <v>78.56999999999999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26933.03</v>
      </c>
      <c r="BB103" s="2" t="n">
        <v>23709.87</v>
      </c>
      <c r="BC103" s="2">
        <f>F103+L103+R103+X103+AD103+AJ103+AP103+AV103+IF(BE103="",0,BE103)</f>
        <v/>
      </c>
      <c r="BD103" s="2" t="n">
        <v>365.131998</v>
      </c>
      <c r="BE103" s="2" t="n"/>
      <c r="BF103" s="2" t="n">
        <v>24937.99074074074</v>
      </c>
      <c r="BG103" s="2" t="n">
        <v>458.58</v>
      </c>
      <c r="BH103" s="2" t="n">
        <v>0</v>
      </c>
      <c r="BI103" s="2" t="n">
        <v>44995.2</v>
      </c>
      <c r="BJ103" s="2" t="n">
        <v>91.60226086956521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320.083245</v>
      </c>
      <c r="BQ103" s="2" t="n">
        <v>0</v>
      </c>
      <c r="BR103" s="2" t="n">
        <v>45890.46550586956</v>
      </c>
      <c r="BS103" s="2" t="n">
        <v>857.2733043478261</v>
      </c>
      <c r="BT103" s="2" t="n">
        <v>0</v>
      </c>
      <c r="BU103" s="2" t="n">
        <v>9285.531113043478</v>
      </c>
      <c r="BV103" s="2" t="n">
        <v>10142.8044173913</v>
      </c>
      <c r="BW103" s="2" t="n">
        <v>56033.26992326087</v>
      </c>
      <c r="BX103" s="2" t="n">
        <v>22492.96</v>
      </c>
      <c r="BY103" s="2" t="n">
        <v>1216.91</v>
      </c>
      <c r="BZ103" s="2" t="n">
        <v>3223.16</v>
      </c>
      <c r="CA103" s="2" t="n">
        <v>23709.87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1287</v>
      </c>
      <c r="B104" t="inlineStr">
        <is>
          <t>Kościuszki 54, 82-500 Kwidzyn</t>
        </is>
      </c>
      <c r="C104" t="inlineStr">
        <is>
          <t>Kwidzyn</t>
        </is>
      </c>
      <c r="D104" t="inlineStr">
        <is>
          <t>FAA2000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5967.49</v>
      </c>
      <c r="AP104" s="2" t="n">
        <v>4060</v>
      </c>
      <c r="AQ104" s="2" t="n">
        <v>5525.453703703703</v>
      </c>
      <c r="AR104" s="2" t="n">
        <v>0</v>
      </c>
      <c r="AS104" s="2" t="n">
        <v>5495.32</v>
      </c>
      <c r="AT104" s="2" t="n">
        <v>472.17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5967.49</v>
      </c>
      <c r="BB104" s="2" t="n">
        <v>5967.49</v>
      </c>
      <c r="BC104" s="2">
        <f>F104+L104+R104+X104+AD104+AJ104+AP104+AV104+IF(BE104="",0,BE104)</f>
        <v/>
      </c>
      <c r="BD104" s="2" t="n">
        <v>91.89934599999999</v>
      </c>
      <c r="BE104" s="2" t="n"/>
      <c r="BF104" s="2" t="n">
        <v>5525.453703703703</v>
      </c>
      <c r="BG104" s="2" t="n">
        <v>0</v>
      </c>
      <c r="BH104" s="2" t="n">
        <v>0</v>
      </c>
      <c r="BI104" s="2" t="n">
        <v>44995.2</v>
      </c>
      <c r="BJ104" s="2" t="n">
        <v>91.60226086956521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80.561115</v>
      </c>
      <c r="BQ104" s="2" t="n">
        <v>0</v>
      </c>
      <c r="BR104" s="2" t="n">
        <v>45192.36337586956</v>
      </c>
      <c r="BS104" s="2" t="n">
        <v>857.2733043478261</v>
      </c>
      <c r="BT104" s="2" t="n">
        <v>0</v>
      </c>
      <c r="BU104" s="2" t="n">
        <v>9193.815113043478</v>
      </c>
      <c r="BV104" s="2" t="n">
        <v>10051.0884173913</v>
      </c>
      <c r="BW104" s="2" t="n">
        <v>55243.45179326086</v>
      </c>
      <c r="BX104" s="2" t="n">
        <v>5495.32</v>
      </c>
      <c r="BY104" s="2" t="n">
        <v>472.17</v>
      </c>
      <c r="BZ104" s="2" t="n">
        <v>0</v>
      </c>
      <c r="CA104" s="2" t="n">
        <v>5967.49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1288</v>
      </c>
      <c r="B105" t="inlineStr">
        <is>
          <t>Ks. Stefańskiego 6, 84-140 Jastarnia</t>
        </is>
      </c>
      <c r="C105" t="inlineStr">
        <is>
          <t>Jastania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102660.62</v>
      </c>
      <c r="AP105" s="2" t="n">
        <v>4494</v>
      </c>
      <c r="AQ105" s="2" t="n">
        <v>95056.12962962962</v>
      </c>
      <c r="AR105" s="2" t="n">
        <v>0</v>
      </c>
      <c r="AS105" s="2" t="n">
        <v>88521.67</v>
      </c>
      <c r="AT105" s="2" t="n">
        <v>14138.95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102660.62</v>
      </c>
      <c r="BB105" s="2" t="n">
        <v>102660.62</v>
      </c>
      <c r="BC105" s="2">
        <f>F105+L105+R105+X105+AD105+AJ105+AP105+AV105+IF(BE105="",0,BE105)</f>
        <v/>
      </c>
      <c r="BD105" s="2" t="n">
        <v>1580.973548</v>
      </c>
      <c r="BE105" s="2" t="n"/>
      <c r="BF105" s="2" t="n">
        <v>95056.12962962962</v>
      </c>
      <c r="BG105" s="2" t="n">
        <v>0</v>
      </c>
      <c r="BH105" s="2" t="n">
        <v>0</v>
      </c>
      <c r="BI105" s="2" t="n">
        <v>44995.2</v>
      </c>
      <c r="BJ105" s="2" t="n">
        <v>91.60226086956521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1385.91837</v>
      </c>
      <c r="BQ105" s="2" t="n">
        <v>0</v>
      </c>
      <c r="BR105" s="2" t="n">
        <v>46497.72063086956</v>
      </c>
      <c r="BS105" s="2" t="n">
        <v>857.2733043478261</v>
      </c>
      <c r="BT105" s="2" t="n">
        <v>0</v>
      </c>
      <c r="BU105" s="2" t="n">
        <v>9193.815113043478</v>
      </c>
      <c r="BV105" s="2" t="n">
        <v>10051.0884173913</v>
      </c>
      <c r="BW105" s="2" t="n">
        <v>56548.80904826087</v>
      </c>
      <c r="BX105" s="2" t="n">
        <v>88521.67</v>
      </c>
      <c r="BY105" s="2" t="n">
        <v>14138.95</v>
      </c>
      <c r="BZ105" s="2" t="n">
        <v>0</v>
      </c>
      <c r="CA105" s="2" t="n">
        <v>102660.62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1289</v>
      </c>
      <c r="B106" t="inlineStr">
        <is>
          <t>Dworcowa 1, 84-150 Hel</t>
        </is>
      </c>
      <c r="C106" t="inlineStr">
        <is>
          <t>Hel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94444.67000000001</v>
      </c>
      <c r="AP106" s="2" t="n">
        <v>4494</v>
      </c>
      <c r="AQ106" s="2" t="n">
        <v>87448.76851851853</v>
      </c>
      <c r="AR106" s="2" t="n">
        <v>0</v>
      </c>
      <c r="AS106" s="2" t="n">
        <v>79875.10000000001</v>
      </c>
      <c r="AT106" s="2" t="n">
        <v>14569.57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94444.67000000001</v>
      </c>
      <c r="BB106" s="2" t="n">
        <v>94444.67000000001</v>
      </c>
      <c r="BC106" s="2">
        <f>F106+L106+R106+X106+AD106+AJ106+AP106+AV106+IF(BE106="",0,BE106)</f>
        <v/>
      </c>
      <c r="BD106" s="2" t="n">
        <v>1454.447918</v>
      </c>
      <c r="BE106" s="2" t="n"/>
      <c r="BF106" s="2" t="n">
        <v>87448.76851851853</v>
      </c>
      <c r="BG106" s="2" t="n">
        <v>0</v>
      </c>
      <c r="BH106" s="2" t="n">
        <v>0</v>
      </c>
      <c r="BI106" s="2" t="n">
        <v>44995.2</v>
      </c>
      <c r="BJ106" s="2" t="n">
        <v>91.60226086956521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1275.003045</v>
      </c>
      <c r="BQ106" s="2" t="n">
        <v>0</v>
      </c>
      <c r="BR106" s="2" t="n">
        <v>46386.80530586956</v>
      </c>
      <c r="BS106" s="2" t="n">
        <v>857.2733043478261</v>
      </c>
      <c r="BT106" s="2" t="n">
        <v>0</v>
      </c>
      <c r="BU106" s="2" t="n">
        <v>9193.815113043478</v>
      </c>
      <c r="BV106" s="2" t="n">
        <v>10051.0884173913</v>
      </c>
      <c r="BW106" s="2" t="n">
        <v>56437.89372326086</v>
      </c>
      <c r="BX106" s="2" t="n">
        <v>79875.10000000001</v>
      </c>
      <c r="BY106" s="2" t="n">
        <v>14569.57</v>
      </c>
      <c r="BZ106" s="2" t="n">
        <v>0</v>
      </c>
      <c r="CA106" s="2" t="n">
        <v>94444.67000000001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1290</v>
      </c>
      <c r="B107" t="inlineStr">
        <is>
          <t>Kolumba 2, 70-035 Szczecin</t>
        </is>
      </c>
      <c r="C107" t="inlineStr">
        <is>
          <t>Szczecin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16230.23</v>
      </c>
      <c r="L107" s="2" t="n">
        <v>1351.016367592593</v>
      </c>
      <c r="M107" s="2" t="n">
        <v>15027.99074074074</v>
      </c>
      <c r="N107" s="2" t="n">
        <v>4720.45</v>
      </c>
      <c r="O107" s="2" t="n">
        <v>10930.44</v>
      </c>
      <c r="P107" s="2" t="n">
        <v>579.34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58250.25</v>
      </c>
      <c r="AP107" s="2" t="n">
        <v>4260.897916666667</v>
      </c>
      <c r="AQ107" s="2" t="n">
        <v>53935.41666666666</v>
      </c>
      <c r="AR107" s="2" t="n">
        <v>17118.26</v>
      </c>
      <c r="AS107" s="2" t="n">
        <v>37605.08</v>
      </c>
      <c r="AT107" s="2" t="n">
        <v>3526.91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74480.48</v>
      </c>
      <c r="BB107" s="2" t="n">
        <v>52641.77</v>
      </c>
      <c r="BC107" s="2">
        <f>F107+L107+R107+X107+AD107+AJ107+AP107+AV107+IF(BE107="",0,BE107)</f>
        <v/>
      </c>
      <c r="BD107" s="2" t="n">
        <v>810.6832580000001</v>
      </c>
      <c r="BE107" s="2" t="n"/>
      <c r="BF107" s="2" t="n">
        <v>68963.4074074074</v>
      </c>
      <c r="BG107" s="2" t="n">
        <v>1387.63</v>
      </c>
      <c r="BH107" s="2" t="n">
        <v>177.6</v>
      </c>
      <c r="BI107" s="2" t="n">
        <v>44995.2</v>
      </c>
      <c r="BJ107" s="2" t="n">
        <v>91.60226086956521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710.663895</v>
      </c>
      <c r="BQ107" s="2" t="n">
        <v>0</v>
      </c>
      <c r="BR107" s="2" t="n">
        <v>47387.69615586956</v>
      </c>
      <c r="BS107" s="2" t="n">
        <v>857.2733043478261</v>
      </c>
      <c r="BT107" s="2" t="n">
        <v>0</v>
      </c>
      <c r="BU107" s="2" t="n">
        <v>9506.861113043478</v>
      </c>
      <c r="BV107" s="2" t="n">
        <v>10364.1344173913</v>
      </c>
      <c r="BW107" s="2" t="n">
        <v>57751.83057326086</v>
      </c>
      <c r="BX107" s="2" t="n">
        <v>48535.52</v>
      </c>
      <c r="BY107" s="2" t="n">
        <v>4106.25</v>
      </c>
      <c r="BZ107" s="2" t="n">
        <v>21838.71</v>
      </c>
      <c r="CA107" s="2" t="n">
        <v>52641.77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1291</v>
      </c>
      <c r="B108" t="inlineStr">
        <is>
          <t>pl. Dworcowy 1, 82-300 Elbląg</t>
        </is>
      </c>
      <c r="C108" t="inlineStr">
        <is>
          <t>Elbląg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8137.8</v>
      </c>
      <c r="L108" s="2" t="n">
        <v>677.3965000000001</v>
      </c>
      <c r="M108" s="2" t="n">
        <v>7535</v>
      </c>
      <c r="N108" s="2" t="n">
        <v>1600.2</v>
      </c>
      <c r="O108" s="2" t="n">
        <v>6210.79</v>
      </c>
      <c r="P108" s="2" t="n">
        <v>326.81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30918.58</v>
      </c>
      <c r="AP108" s="2" t="n">
        <v>2261.63687037037</v>
      </c>
      <c r="AQ108" s="2" t="n">
        <v>28628.31481481481</v>
      </c>
      <c r="AR108" s="2" t="n">
        <v>7552.61</v>
      </c>
      <c r="AS108" s="2" t="n">
        <v>22075.97</v>
      </c>
      <c r="AT108" s="2" t="n">
        <v>1290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39056.38</v>
      </c>
      <c r="BB108" s="2" t="n">
        <v>29903.57</v>
      </c>
      <c r="BC108" s="2">
        <f>F108+L108+R108+X108+AD108+AJ108+AP108+AV108+IF(BE108="",0,BE108)</f>
        <v/>
      </c>
      <c r="BD108" s="2" t="n">
        <v>460.514978</v>
      </c>
      <c r="BE108" s="2" t="n"/>
      <c r="BF108" s="2" t="n">
        <v>36163.31481481482</v>
      </c>
      <c r="BG108" s="2" t="n">
        <v>372.81</v>
      </c>
      <c r="BH108" s="2" t="n">
        <v>345</v>
      </c>
      <c r="BI108" s="2" t="n">
        <v>44995.2</v>
      </c>
      <c r="BJ108" s="2" t="n">
        <v>91.60226086956521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403.6981950000001</v>
      </c>
      <c r="BQ108" s="2" t="n">
        <v>0</v>
      </c>
      <c r="BR108" s="2" t="n">
        <v>46233.31045586956</v>
      </c>
      <c r="BS108" s="2" t="n">
        <v>857.2733043478261</v>
      </c>
      <c r="BT108" s="2" t="n">
        <v>0</v>
      </c>
      <c r="BU108" s="2" t="n">
        <v>9337.377113043478</v>
      </c>
      <c r="BV108" s="2" t="n">
        <v>10194.6504173913</v>
      </c>
      <c r="BW108" s="2" t="n">
        <v>56427.96087326086</v>
      </c>
      <c r="BX108" s="2" t="n">
        <v>28286.76</v>
      </c>
      <c r="BY108" s="2" t="n">
        <v>1616.81</v>
      </c>
      <c r="BZ108" s="2" t="n">
        <v>9152.809999999999</v>
      </c>
      <c r="CA108" s="2" t="n">
        <v>29903.57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1292</v>
      </c>
      <c r="B109" t="inlineStr">
        <is>
          <t>Dworcowa 8A, 84-310 Lębork</t>
        </is>
      </c>
      <c r="C109" t="inlineStr">
        <is>
          <t>Lębork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6307.700000000001</v>
      </c>
      <c r="L109" s="2" t="n">
        <v>525.0576203703705</v>
      </c>
      <c r="M109" s="2" t="n">
        <v>5840.462962962964</v>
      </c>
      <c r="N109" s="2" t="n">
        <v>2191.77</v>
      </c>
      <c r="O109" s="2" t="n">
        <v>3844.41</v>
      </c>
      <c r="P109" s="2" t="n">
        <v>271.52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12212.35</v>
      </c>
      <c r="AP109" s="2" t="n">
        <v>4127</v>
      </c>
      <c r="AQ109" s="2" t="n">
        <v>11307.73148148148</v>
      </c>
      <c r="AR109" s="2" t="n">
        <v>4906.02</v>
      </c>
      <c r="AS109" s="2" t="n">
        <v>6674.58</v>
      </c>
      <c r="AT109" s="2" t="n">
        <v>631.75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18520.05</v>
      </c>
      <c r="BB109" s="2" t="n">
        <v>11422.26</v>
      </c>
      <c r="BC109" s="2">
        <f>F109+L109+R109+X109+AD109+AJ109+AP109+AV109+IF(BE109="",0,BE109)</f>
        <v/>
      </c>
      <c r="BD109" s="2" t="n">
        <v>175.902804</v>
      </c>
      <c r="BE109" s="2" t="n"/>
      <c r="BF109" s="2" t="n">
        <v>17148.19444444445</v>
      </c>
      <c r="BG109" s="2" t="n">
        <v>0</v>
      </c>
      <c r="BH109" s="2" t="n">
        <v>0</v>
      </c>
      <c r="BI109" s="2" t="n">
        <v>44995.2</v>
      </c>
      <c r="BJ109" s="2" t="n">
        <v>91.60226086956521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154.20051</v>
      </c>
      <c r="BQ109" s="2" t="n">
        <v>0</v>
      </c>
      <c r="BR109" s="2" t="n">
        <v>45266.00277086956</v>
      </c>
      <c r="BS109" s="2" t="n">
        <v>857.2733043478261</v>
      </c>
      <c r="BT109" s="2" t="n">
        <v>0</v>
      </c>
      <c r="BU109" s="2" t="n">
        <v>9193.815113043478</v>
      </c>
      <c r="BV109" s="2" t="n">
        <v>10051.0884173913</v>
      </c>
      <c r="BW109" s="2" t="n">
        <v>55317.09118826086</v>
      </c>
      <c r="BX109" s="2" t="n">
        <v>10518.99</v>
      </c>
      <c r="BY109" s="2" t="n">
        <v>903.27</v>
      </c>
      <c r="BZ109" s="2" t="n">
        <v>7097.790000000001</v>
      </c>
      <c r="CA109" s="2" t="n">
        <v>11422.26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1293</v>
      </c>
      <c r="B110" t="inlineStr">
        <is>
          <t>Dworcowa 10, 84-100 Puck</t>
        </is>
      </c>
      <c r="C110" t="inlineStr">
        <is>
          <t>Puck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1220.23</v>
      </c>
      <c r="L110" s="2" t="n">
        <v>101.5728490740741</v>
      </c>
      <c r="M110" s="2" t="n">
        <v>1129.842592592593</v>
      </c>
      <c r="N110" s="2" t="n">
        <v>228.46</v>
      </c>
      <c r="O110" s="2" t="n">
        <v>942.3200000000001</v>
      </c>
      <c r="P110" s="2" t="n">
        <v>49.45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17455.82</v>
      </c>
      <c r="AP110" s="2" t="n">
        <v>4227</v>
      </c>
      <c r="AQ110" s="2" t="n">
        <v>16162.7962962963</v>
      </c>
      <c r="AR110" s="2" t="n">
        <v>3757.82</v>
      </c>
      <c r="AS110" s="2" t="n">
        <v>11606.11</v>
      </c>
      <c r="AT110" s="2" t="n">
        <v>2091.89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18676.05</v>
      </c>
      <c r="BB110" s="2" t="n">
        <v>14689.77</v>
      </c>
      <c r="BC110" s="2">
        <f>F110+L110+R110+X110+AD110+AJ110+AP110+AV110+IF(BE110="",0,BE110)</f>
        <v/>
      </c>
      <c r="BD110" s="2" t="n">
        <v>226.222458</v>
      </c>
      <c r="BE110" s="2" t="n"/>
      <c r="BF110" s="2" t="n">
        <v>17292.63888888889</v>
      </c>
      <c r="BG110" s="2" t="n">
        <v>0</v>
      </c>
      <c r="BH110" s="2" t="n">
        <v>0</v>
      </c>
      <c r="BI110" s="2" t="n">
        <v>44995.2</v>
      </c>
      <c r="BJ110" s="2" t="n">
        <v>91.60226086956521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198.311895</v>
      </c>
      <c r="BQ110" s="2" t="n">
        <v>0</v>
      </c>
      <c r="BR110" s="2" t="n">
        <v>45310.11415586956</v>
      </c>
      <c r="BS110" s="2" t="n">
        <v>857.2733043478261</v>
      </c>
      <c r="BT110" s="2" t="n">
        <v>0</v>
      </c>
      <c r="BU110" s="2" t="n">
        <v>9193.815113043478</v>
      </c>
      <c r="BV110" s="2" t="n">
        <v>10051.0884173913</v>
      </c>
      <c r="BW110" s="2" t="n">
        <v>55361.20257326086</v>
      </c>
      <c r="BX110" s="2" t="n">
        <v>12548.43</v>
      </c>
      <c r="BY110" s="2" t="n">
        <v>2141.34</v>
      </c>
      <c r="BZ110" s="2" t="n">
        <v>3986.28</v>
      </c>
      <c r="CA110" s="2" t="n">
        <v>14689.77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1294</v>
      </c>
      <c r="B111" t="inlineStr">
        <is>
          <t>Plac Dworcowy 3, 49-300 Brzeg</t>
        </is>
      </c>
      <c r="C111" t="inlineStr">
        <is>
          <t>Brzeg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14171.67</v>
      </c>
      <c r="L111" s="2" t="n">
        <v>1179.660308333333</v>
      </c>
      <c r="M111" s="2" t="n">
        <v>13121.91666666666</v>
      </c>
      <c r="N111" s="2" t="n">
        <v>2265.15</v>
      </c>
      <c r="O111" s="2" t="n">
        <v>11293.3</v>
      </c>
      <c r="P111" s="2" t="n">
        <v>613.22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23719.47</v>
      </c>
      <c r="AP111" s="2" t="n">
        <v>1735.035305555556</v>
      </c>
      <c r="AQ111" s="2" t="n">
        <v>21962.47222222222</v>
      </c>
      <c r="AR111" s="2" t="n">
        <v>4190.68</v>
      </c>
      <c r="AS111" s="2" t="n">
        <v>18220.8</v>
      </c>
      <c r="AT111" s="2" t="n">
        <v>1307.99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37891.14</v>
      </c>
      <c r="BB111" s="2" t="n">
        <v>31435.31</v>
      </c>
      <c r="BC111" s="2">
        <f>F111+L111+R111+X111+AD111+AJ111+AP111+AV111+IF(BE111="",0,BE111)</f>
        <v/>
      </c>
      <c r="BD111" s="2" t="n">
        <v>484.103774</v>
      </c>
      <c r="BE111" s="2" t="n"/>
      <c r="BF111" s="2" t="n">
        <v>35084.38888888889</v>
      </c>
      <c r="BG111" s="2" t="n">
        <v>0</v>
      </c>
      <c r="BH111" s="2" t="n">
        <v>219.2</v>
      </c>
      <c r="BI111" s="2" t="n">
        <v>44995.2</v>
      </c>
      <c r="BJ111" s="2" t="n">
        <v>91.60226086956521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424.376685</v>
      </c>
      <c r="BQ111" s="2" t="n">
        <v>0</v>
      </c>
      <c r="BR111" s="2" t="n">
        <v>45755.37894586956</v>
      </c>
      <c r="BS111" s="2" t="n">
        <v>857.2733043478261</v>
      </c>
      <c r="BT111" s="2" t="n">
        <v>0</v>
      </c>
      <c r="BU111" s="2" t="n">
        <v>9237.65511304348</v>
      </c>
      <c r="BV111" s="2" t="n">
        <v>10094.92841739131</v>
      </c>
      <c r="BW111" s="2" t="n">
        <v>55850.30736326086</v>
      </c>
      <c r="BX111" s="2" t="n">
        <v>29514.1</v>
      </c>
      <c r="BY111" s="2" t="n">
        <v>1921.21</v>
      </c>
      <c r="BZ111" s="2" t="n">
        <v>6455.83</v>
      </c>
      <c r="CA111" s="2" t="n">
        <v>31435.31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1295</v>
      </c>
      <c r="B112" t="inlineStr">
        <is>
          <t>Zygmunta Starego 1, 64-920 Piła</t>
        </is>
      </c>
      <c r="C112" t="inlineStr">
        <is>
          <t>Piła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9015.33</v>
      </c>
      <c r="L112" s="2" t="n">
        <v>750.4427472222222</v>
      </c>
      <c r="M112" s="2" t="n">
        <v>8347.527777777777</v>
      </c>
      <c r="N112" s="2" t="n">
        <v>2273.9</v>
      </c>
      <c r="O112" s="2" t="n">
        <v>6524.45</v>
      </c>
      <c r="P112" s="2" t="n">
        <v>216.98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5379.3</v>
      </c>
      <c r="AD112" s="2" t="n">
        <v>343.6775</v>
      </c>
      <c r="AE112" s="2" t="n">
        <v>4980.833333333333</v>
      </c>
      <c r="AF112" s="2" t="n">
        <v>1208.88</v>
      </c>
      <c r="AG112" s="2" t="n">
        <v>4002.01</v>
      </c>
      <c r="AH112" s="2" t="n">
        <v>168.41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21137.13</v>
      </c>
      <c r="AP112" s="2" t="n">
        <v>1546.141916666666</v>
      </c>
      <c r="AQ112" s="2" t="n">
        <v>19571.41666666666</v>
      </c>
      <c r="AR112" s="2" t="n">
        <v>5789.5</v>
      </c>
      <c r="AS112" s="2" t="n">
        <v>13547.8</v>
      </c>
      <c r="AT112" s="2" t="n">
        <v>1799.83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35531.75999999999</v>
      </c>
      <c r="BB112" s="2" t="n">
        <v>26259.48</v>
      </c>
      <c r="BC112" s="2">
        <f>F112+L112+R112+X112+AD112+AJ112+AP112+AV112+IF(BE112="",0,BE112)</f>
        <v/>
      </c>
      <c r="BD112" s="2" t="n">
        <v>404.395992</v>
      </c>
      <c r="BE112" s="2" t="n"/>
      <c r="BF112" s="2" t="n">
        <v>32899.77777777777</v>
      </c>
      <c r="BG112" s="2" t="n">
        <v>0</v>
      </c>
      <c r="BH112" s="2" t="n">
        <v>0</v>
      </c>
      <c r="BI112" s="2" t="n">
        <v>44995.2</v>
      </c>
      <c r="BJ112" s="2" t="n">
        <v>91.60226086956521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354.50298</v>
      </c>
      <c r="BQ112" s="2" t="n">
        <v>0</v>
      </c>
      <c r="BR112" s="2" t="n">
        <v>45466.30524086956</v>
      </c>
      <c r="BS112" s="2" t="n">
        <v>857.2733043478261</v>
      </c>
      <c r="BT112" s="2" t="n">
        <v>0</v>
      </c>
      <c r="BU112" s="2" t="n">
        <v>9193.815113043478</v>
      </c>
      <c r="BV112" s="2" t="n">
        <v>10051.0884173913</v>
      </c>
      <c r="BW112" s="2" t="n">
        <v>55517.39365826086</v>
      </c>
      <c r="BX112" s="2" t="n">
        <v>24074.26</v>
      </c>
      <c r="BY112" s="2" t="n">
        <v>2185.22</v>
      </c>
      <c r="BZ112" s="2" t="n">
        <v>9272.280000000001</v>
      </c>
      <c r="CA112" s="2" t="n">
        <v>26259.48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1296</v>
      </c>
      <c r="B113" t="inlineStr">
        <is>
          <t>Dworcowa 2, 61-801 Poznań</t>
        </is>
      </c>
      <c r="C113" t="inlineStr">
        <is>
          <t>Poznań Główny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16141.39</v>
      </c>
      <c r="L113" s="2" t="n">
        <v>1343.621260185185</v>
      </c>
      <c r="M113" s="2" t="n">
        <v>14945.73148148148</v>
      </c>
      <c r="N113" s="2" t="n">
        <v>3831.98</v>
      </c>
      <c r="O113" s="2" t="n">
        <v>11476.28</v>
      </c>
      <c r="P113" s="2" t="n">
        <v>833.13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27353.26</v>
      </c>
      <c r="AD113" s="2" t="n">
        <v>1747.569388888889</v>
      </c>
      <c r="AE113" s="2" t="n">
        <v>25327.09259259259</v>
      </c>
      <c r="AF113" s="2" t="n">
        <v>6241.32</v>
      </c>
      <c r="AG113" s="2" t="n">
        <v>19945.23</v>
      </c>
      <c r="AH113" s="2" t="n">
        <v>1166.71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7704.139999999999</v>
      </c>
      <c r="AP113" s="2" t="n">
        <v>563.5435740740739</v>
      </c>
      <c r="AQ113" s="2" t="n">
        <v>7133.462962962962</v>
      </c>
      <c r="AR113" s="2" t="n">
        <v>2032.1</v>
      </c>
      <c r="AS113" s="2" t="n">
        <v>5367.12</v>
      </c>
      <c r="AT113" s="2" t="n">
        <v>304.92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51198.78999999999</v>
      </c>
      <c r="BB113" s="2" t="n">
        <v>39093.39</v>
      </c>
      <c r="BC113" s="2">
        <f>F113+L113+R113+X113+AD113+AJ113+AP113+AV113+IF(BE113="",0,BE113)</f>
        <v/>
      </c>
      <c r="BD113" s="2" t="n">
        <v>602.0382060000001</v>
      </c>
      <c r="BE113" s="2" t="n"/>
      <c r="BF113" s="2" t="n">
        <v>47406.28703703704</v>
      </c>
      <c r="BG113" s="2" t="n">
        <v>458.58</v>
      </c>
      <c r="BH113" s="2" t="n">
        <v>0</v>
      </c>
      <c r="BI113" s="2" t="n">
        <v>44995.2</v>
      </c>
      <c r="BJ113" s="2" t="n">
        <v>91.60226086956521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527.760765</v>
      </c>
      <c r="BQ113" s="2" t="n">
        <v>0</v>
      </c>
      <c r="BR113" s="2" t="n">
        <v>46098.14302586956</v>
      </c>
      <c r="BS113" s="2" t="n">
        <v>857.2733043478261</v>
      </c>
      <c r="BT113" s="2" t="n">
        <v>0</v>
      </c>
      <c r="BU113" s="2" t="n">
        <v>9285.531113043478</v>
      </c>
      <c r="BV113" s="2" t="n">
        <v>10142.8044173913</v>
      </c>
      <c r="BW113" s="2" t="n">
        <v>56240.94744326087</v>
      </c>
      <c r="BX113" s="2" t="n">
        <v>36788.63</v>
      </c>
      <c r="BY113" s="2" t="n">
        <v>2304.76</v>
      </c>
      <c r="BZ113" s="2" t="n">
        <v>12105.4</v>
      </c>
      <c r="CA113" s="2" t="n">
        <v>39093.39000000001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1297</v>
      </c>
      <c r="B114" t="inlineStr">
        <is>
          <t>Dworcowa 2, 61-801 Poznań</t>
        </is>
      </c>
      <c r="C114" t="inlineStr">
        <is>
          <t>Poznań Główny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11364.94</v>
      </c>
      <c r="L114" s="2" t="n">
        <v>946.026024074074</v>
      </c>
      <c r="M114" s="2" t="n">
        <v>10523.09259259259</v>
      </c>
      <c r="N114" s="2" t="n">
        <v>1151.92</v>
      </c>
      <c r="O114" s="2" t="n">
        <v>8927.959999999999</v>
      </c>
      <c r="P114" s="2" t="n">
        <v>1285.06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20134.31</v>
      </c>
      <c r="AD114" s="2" t="n">
        <v>1286.358694444445</v>
      </c>
      <c r="AE114" s="2" t="n">
        <v>18642.87962962963</v>
      </c>
      <c r="AF114" s="2" t="n">
        <v>1256.15</v>
      </c>
      <c r="AG114" s="2" t="n">
        <v>17370.52</v>
      </c>
      <c r="AH114" s="2" t="n">
        <v>1507.64</v>
      </c>
      <c r="AI114" s="2" t="n">
        <v>18.2</v>
      </c>
      <c r="AJ114" s="2" t="n">
        <v>0</v>
      </c>
      <c r="AK114" s="2" t="n">
        <v>16.85185185185185</v>
      </c>
      <c r="AL114" s="2" t="n">
        <v>18.2</v>
      </c>
      <c r="AM114" s="2" t="n">
        <v>0</v>
      </c>
      <c r="AN114" s="2" t="n">
        <v>0</v>
      </c>
      <c r="AO114" s="2" t="n">
        <v>6527.81</v>
      </c>
      <c r="AP114" s="2" t="n">
        <v>477.4972129629629</v>
      </c>
      <c r="AQ114" s="2" t="n">
        <v>6044.268518518518</v>
      </c>
      <c r="AR114" s="2" t="n">
        <v>239.27</v>
      </c>
      <c r="AS114" s="2" t="n">
        <v>5827.36</v>
      </c>
      <c r="AT114" s="2" t="n">
        <v>461.18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38045.26</v>
      </c>
      <c r="BB114" s="2" t="n">
        <v>35379.72</v>
      </c>
      <c r="BC114" s="2">
        <f>F114+L114+R114+X114+AD114+AJ114+AP114+AV114+IF(BE114="",0,BE114)</f>
        <v/>
      </c>
      <c r="BD114" s="2" t="n">
        <v>544.8476879999999</v>
      </c>
      <c r="BE114" s="2" t="n"/>
      <c r="BF114" s="2" t="n">
        <v>35227.09259259259</v>
      </c>
      <c r="BG114" s="2" t="n">
        <v>458.58</v>
      </c>
      <c r="BH114" s="2" t="n">
        <v>0</v>
      </c>
      <c r="BI114" s="2" t="n">
        <v>44995.2</v>
      </c>
      <c r="BJ114" s="2" t="n">
        <v>91.60226086956521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477.6262199999999</v>
      </c>
      <c r="BQ114" s="2" t="n">
        <v>0</v>
      </c>
      <c r="BR114" s="2" t="n">
        <v>46048.00848086956</v>
      </c>
      <c r="BS114" s="2" t="n">
        <v>857.2733043478261</v>
      </c>
      <c r="BT114" s="2" t="n">
        <v>0</v>
      </c>
      <c r="BU114" s="2" t="n">
        <v>9285.531113043478</v>
      </c>
      <c r="BV114" s="2" t="n">
        <v>10142.8044173913</v>
      </c>
      <c r="BW114" s="2" t="n">
        <v>56190.81289826086</v>
      </c>
      <c r="BX114" s="2" t="n">
        <v>32125.84</v>
      </c>
      <c r="BY114" s="2" t="n">
        <v>3253.88</v>
      </c>
      <c r="BZ114" s="2" t="n">
        <v>2665.54</v>
      </c>
      <c r="CA114" s="2" t="n">
        <v>35379.72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1298</v>
      </c>
      <c r="B115" t="inlineStr">
        <is>
          <t>Kolumba 2, 70-035 Szczecin</t>
        </is>
      </c>
      <c r="C115" t="inlineStr">
        <is>
          <t>Szczecin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15626.87</v>
      </c>
      <c r="L115" s="2" t="n">
        <v>1300.792234259259</v>
      </c>
      <c r="M115" s="2" t="n">
        <v>14469.32407407407</v>
      </c>
      <c r="N115" s="2" t="n">
        <v>5177.67</v>
      </c>
      <c r="O115" s="2" t="n">
        <v>9896.719999999999</v>
      </c>
      <c r="P115" s="2" t="n">
        <v>552.48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42142.34</v>
      </c>
      <c r="AP115" s="2" t="n">
        <v>3082.63412962963</v>
      </c>
      <c r="AQ115" s="2" t="n">
        <v>39020.68518518518</v>
      </c>
      <c r="AR115" s="2" t="n">
        <v>13401.49</v>
      </c>
      <c r="AS115" s="2" t="n">
        <v>26727.97</v>
      </c>
      <c r="AT115" s="2" t="n">
        <v>2012.88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57769.20999999999</v>
      </c>
      <c r="BB115" s="2" t="n">
        <v>39190.05</v>
      </c>
      <c r="BC115" s="2">
        <f>F115+L115+R115+X115+AD115+AJ115+AP115+AV115+IF(BE115="",0,BE115)</f>
        <v/>
      </c>
      <c r="BD115" s="2" t="n">
        <v>603.5267700000001</v>
      </c>
      <c r="BE115" s="2" t="n"/>
      <c r="BF115" s="2" t="n">
        <v>53490.00925925926</v>
      </c>
      <c r="BG115" s="2" t="n">
        <v>1387.63</v>
      </c>
      <c r="BH115" s="2" t="n">
        <v>177.6</v>
      </c>
      <c r="BI115" s="2" t="n">
        <v>44995.2</v>
      </c>
      <c r="BJ115" s="2" t="n">
        <v>91.60226086956521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529.0656750000001</v>
      </c>
      <c r="BQ115" s="2" t="n">
        <v>0</v>
      </c>
      <c r="BR115" s="2" t="n">
        <v>47206.09793586956</v>
      </c>
      <c r="BS115" s="2" t="n">
        <v>857.2733043478261</v>
      </c>
      <c r="BT115" s="2" t="n">
        <v>0</v>
      </c>
      <c r="BU115" s="2" t="n">
        <v>9506.861113043478</v>
      </c>
      <c r="BV115" s="2" t="n">
        <v>10364.1344173913</v>
      </c>
      <c r="BW115" s="2" t="n">
        <v>57570.23235326086</v>
      </c>
      <c r="BX115" s="2" t="n">
        <v>36624.69</v>
      </c>
      <c r="BY115" s="2" t="n">
        <v>2565.36</v>
      </c>
      <c r="BZ115" s="2" t="n">
        <v>18579.16</v>
      </c>
      <c r="CA115" s="2" t="n">
        <v>39190.05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1299</v>
      </c>
      <c r="B116" t="inlineStr">
        <is>
          <t>Pawia 5a, 31-154 Kraków</t>
        </is>
      </c>
      <c r="C116" t="inlineStr">
        <is>
          <t>Kraków Główny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26675.01</v>
      </c>
      <c r="L116" s="2" t="n">
        <v>2220.447591666667</v>
      </c>
      <c r="M116" s="2" t="n">
        <v>24699.08333333333</v>
      </c>
      <c r="N116" s="2" t="n">
        <v>6462.42</v>
      </c>
      <c r="O116" s="2" t="n">
        <v>19069.38</v>
      </c>
      <c r="P116" s="2" t="n">
        <v>1143.21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20272.68</v>
      </c>
      <c r="X116" s="2" t="n">
        <v>750</v>
      </c>
      <c r="Y116" s="2" t="n">
        <v>18771</v>
      </c>
      <c r="Z116" s="2" t="n">
        <v>2341.29</v>
      </c>
      <c r="AA116" s="2" t="n">
        <v>17659.93</v>
      </c>
      <c r="AB116" s="2" t="n">
        <v>271.46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12855.33</v>
      </c>
      <c r="AP116" s="2" t="n">
        <v>940.3435833333334</v>
      </c>
      <c r="AQ116" s="2" t="n">
        <v>11903.08333333333</v>
      </c>
      <c r="AR116" s="2" t="n">
        <v>2386.5</v>
      </c>
      <c r="AS116" s="2" t="n">
        <v>9980.790000000001</v>
      </c>
      <c r="AT116" s="2" t="n">
        <v>488.04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59803.02</v>
      </c>
      <c r="BB116" s="2" t="n">
        <v>48612.81</v>
      </c>
      <c r="BC116" s="2">
        <f>F116+L116+R116+X116+AD116+AJ116+AP116+AV116+IF(BE116="",0,BE116)</f>
        <v/>
      </c>
      <c r="BD116" s="2" t="n">
        <v>714.5676330000001</v>
      </c>
      <c r="BE116" s="2" t="n"/>
      <c r="BF116" s="2" t="n">
        <v>55373.16666666666</v>
      </c>
      <c r="BG116" s="2" t="n">
        <v>600</v>
      </c>
      <c r="BH116" s="2" t="n">
        <v>100</v>
      </c>
      <c r="BI116" s="2" t="n">
        <v>44995.2</v>
      </c>
      <c r="BJ116" s="2" t="n">
        <v>91.60226086956521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656.272935</v>
      </c>
      <c r="BQ116" s="2" t="n">
        <v>0</v>
      </c>
      <c r="BR116" s="2" t="n">
        <v>46468.07519586956</v>
      </c>
      <c r="BS116" s="2" t="n">
        <v>857.2733043478261</v>
      </c>
      <c r="BT116" s="2" t="n">
        <v>0</v>
      </c>
      <c r="BU116" s="2" t="n">
        <v>9333.815113043478</v>
      </c>
      <c r="BV116" s="2" t="n">
        <v>10191.0884173913</v>
      </c>
      <c r="BW116" s="2" t="n">
        <v>56659.16361326087</v>
      </c>
      <c r="BX116" s="2" t="n">
        <v>46710.1</v>
      </c>
      <c r="BY116" s="2" t="n">
        <v>1902.71</v>
      </c>
      <c r="BZ116" s="2" t="n">
        <v>11190.21</v>
      </c>
      <c r="CA116" s="2" t="n">
        <v>48612.81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s="3" t="inlineStr">
        <is>
          <t>PODSUMOWANIE</t>
        </is>
      </c>
      <c r="B117" s="3" t="n"/>
      <c r="C117" s="3" t="n"/>
      <c r="D117" s="3" t="n"/>
      <c r="E117" s="4">
        <f>SUM(E2:E116)</f>
        <v/>
      </c>
      <c r="F117" s="4">
        <f>SUM(F2:F116)</f>
        <v/>
      </c>
      <c r="G117" s="4">
        <f>SUM(G2:G116)</f>
        <v/>
      </c>
      <c r="H117" s="4">
        <f>SUM(H2:H116)</f>
        <v/>
      </c>
      <c r="I117" s="4">
        <f>SUM(I2:I116)</f>
        <v/>
      </c>
      <c r="J117" s="4">
        <f>SUM(J2:J116)</f>
        <v/>
      </c>
      <c r="K117" s="4">
        <f>SUM(K2:K116)</f>
        <v/>
      </c>
      <c r="L117" s="4">
        <f>SUM(L2:L116)</f>
        <v/>
      </c>
      <c r="M117" s="4">
        <f>SUM(M2:M116)</f>
        <v/>
      </c>
      <c r="N117" s="4">
        <f>SUM(N2:N116)</f>
        <v/>
      </c>
      <c r="O117" s="4">
        <f>SUM(O2:O116)</f>
        <v/>
      </c>
      <c r="P117" s="4">
        <f>SUM(P2:P116)</f>
        <v/>
      </c>
      <c r="Q117" s="4">
        <f>SUM(Q2:Q116)</f>
        <v/>
      </c>
      <c r="R117" s="4">
        <f>SUM(R2:R116)</f>
        <v/>
      </c>
      <c r="S117" s="4">
        <f>SUM(S2:S116)</f>
        <v/>
      </c>
      <c r="T117" s="4">
        <f>SUM(T2:T116)</f>
        <v/>
      </c>
      <c r="U117" s="4">
        <f>SUM(U2:U116)</f>
        <v/>
      </c>
      <c r="V117" s="4">
        <f>SUM(V2:V116)</f>
        <v/>
      </c>
      <c r="W117" s="4">
        <f>SUM(W2:W116)</f>
        <v/>
      </c>
      <c r="X117" s="4">
        <f>SUM(X2:X116)</f>
        <v/>
      </c>
      <c r="Y117" s="4">
        <f>SUM(Y2:Y116)</f>
        <v/>
      </c>
      <c r="Z117" s="4">
        <f>SUM(Z2:Z116)</f>
        <v/>
      </c>
      <c r="AA117" s="4">
        <f>SUM(AA2:AA116)</f>
        <v/>
      </c>
      <c r="AB117" s="4">
        <f>SUM(AB2:AB116)</f>
        <v/>
      </c>
      <c r="AC117" s="4">
        <f>SUM(AC2:AC116)</f>
        <v/>
      </c>
      <c r="AD117" s="4">
        <f>SUM(AD2:AD116)</f>
        <v/>
      </c>
      <c r="AE117" s="4">
        <f>SUM(AE2:AE116)</f>
        <v/>
      </c>
      <c r="AF117" s="4">
        <f>SUM(AF2:AF116)</f>
        <v/>
      </c>
      <c r="AG117" s="4">
        <f>SUM(AG2:AG116)</f>
        <v/>
      </c>
      <c r="AH117" s="4">
        <f>SUM(AH2:AH116)</f>
        <v/>
      </c>
      <c r="AI117" s="4">
        <f>SUM(AI2:AI116)</f>
        <v/>
      </c>
      <c r="AJ117" s="4">
        <f>SUM(AJ2:AJ116)</f>
        <v/>
      </c>
      <c r="AK117" s="4">
        <f>SUM(AK2:AK116)</f>
        <v/>
      </c>
      <c r="AL117" s="4">
        <f>SUM(AL2:AL116)</f>
        <v/>
      </c>
      <c r="AM117" s="4">
        <f>SUM(AM2:AM116)</f>
        <v/>
      </c>
      <c r="AN117" s="4">
        <f>SUM(AN2:AN116)</f>
        <v/>
      </c>
      <c r="AO117" s="4">
        <f>SUM(AO2:AO116)</f>
        <v/>
      </c>
      <c r="AP117" s="4">
        <f>SUM(AP2:AP116)</f>
        <v/>
      </c>
      <c r="AQ117" s="4">
        <f>SUM(AQ2:AQ116)</f>
        <v/>
      </c>
      <c r="AR117" s="4">
        <f>SUM(AR2:AR116)</f>
        <v/>
      </c>
      <c r="AS117" s="4">
        <f>SUM(AS2:AS116)</f>
        <v/>
      </c>
      <c r="AT117" s="4">
        <f>SUM(AT2:AT116)</f>
        <v/>
      </c>
      <c r="AU117" s="4">
        <f>SUM(AU2:AU116)</f>
        <v/>
      </c>
      <c r="AV117" s="4">
        <f>SUM(AV2:AV116)</f>
        <v/>
      </c>
      <c r="AW117" s="4">
        <f>SUM(AW2:AW116)</f>
        <v/>
      </c>
      <c r="AX117" s="4">
        <f>SUM(AX2:AX116)</f>
        <v/>
      </c>
      <c r="AY117" s="4">
        <f>SUM(AY2:AY116)</f>
        <v/>
      </c>
      <c r="AZ117" s="4">
        <f>SUM(AZ2:AZ116)</f>
        <v/>
      </c>
      <c r="BA117" s="4">
        <f>SUM(BA2:BA116)</f>
        <v/>
      </c>
      <c r="BB117" s="4">
        <f>SUM(BB2:BB116)</f>
        <v/>
      </c>
      <c r="BC117" s="4">
        <f>SUM(BC2:BC116)</f>
        <v/>
      </c>
      <c r="BD117" s="4">
        <f>SUM(BD2:BD116)</f>
        <v/>
      </c>
      <c r="BE117" s="4">
        <f>SUM(BE2:BE116)</f>
        <v/>
      </c>
      <c r="BF117" s="4">
        <f>SUM(BF2:BF116)</f>
        <v/>
      </c>
      <c r="BG117" s="4">
        <f>SUM(BG2:BG116)</f>
        <v/>
      </c>
      <c r="BH117" s="4">
        <f>SUM(BH2:BH116)</f>
        <v/>
      </c>
      <c r="BI117" s="4">
        <f>SUM(BI2:BI116)</f>
        <v/>
      </c>
      <c r="BJ117" s="4">
        <f>SUM(BJ2:BJ116)</f>
        <v/>
      </c>
      <c r="BK117" s="4">
        <f>SUM(BK2:BK116)</f>
        <v/>
      </c>
      <c r="BL117" s="4">
        <f>SUM(BL2:BL116)</f>
        <v/>
      </c>
      <c r="BM117" s="4">
        <f>SUM(BM2:BM116)</f>
        <v/>
      </c>
      <c r="BN117" s="4">
        <f>SUM(BN2:BN116)</f>
        <v/>
      </c>
      <c r="BO117" s="4">
        <f>SUM(BO2:BO116)</f>
        <v/>
      </c>
      <c r="BP117" s="4">
        <f>SUM(BP2:BP116)</f>
        <v/>
      </c>
      <c r="BQ117" s="4">
        <f>SUM(BQ2:BQ116)</f>
        <v/>
      </c>
      <c r="BR117" s="4">
        <f>SUM(BR2:BR116)</f>
        <v/>
      </c>
      <c r="BS117" s="4">
        <f>SUM(BS2:BS116)</f>
        <v/>
      </c>
      <c r="BT117" s="4">
        <f>SUM(BT2:BT116)</f>
        <v/>
      </c>
      <c r="BU117" s="4">
        <f>SUM(BU2:BU116)</f>
        <v/>
      </c>
      <c r="BV117" s="4">
        <f>SUM(BV2:BV116)</f>
        <v/>
      </c>
      <c r="BW117" s="4">
        <f>SUM(BW2:BW116)</f>
        <v/>
      </c>
      <c r="BX117" s="4">
        <f>SUM(BX2:BX116)</f>
        <v/>
      </c>
      <c r="BY117" s="4">
        <f>SUM(BY2:BY116)</f>
        <v/>
      </c>
      <c r="BZ117" s="4">
        <f>SUM(BZ2:BZ116)</f>
        <v/>
      </c>
      <c r="CA117" s="4">
        <f>SUM(CA2:CA116)</f>
        <v/>
      </c>
      <c r="CB117" s="4">
        <f>SUM(CB2:CB116)</f>
        <v/>
      </c>
      <c r="CC117" s="3" t="n"/>
    </row>
  </sheetData>
  <conditionalFormatting sqref="CB2:CB116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1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17" customWidth="1" min="61" max="61"/>
    <col width="18" customWidth="1" min="62" max="62"/>
    <col width="17" customWidth="1" min="63" max="63"/>
    <col width="27" customWidth="1" min="64" max="64"/>
    <col width="20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19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16725.91</v>
      </c>
      <c r="L2" s="2" t="n">
        <v>1392.277137962963</v>
      </c>
      <c r="M2" s="2" t="n">
        <v>15486.9537037037</v>
      </c>
      <c r="N2" s="2" t="n">
        <v>0</v>
      </c>
      <c r="O2" s="2" t="n">
        <v>16254.18</v>
      </c>
      <c r="P2" s="2" t="n">
        <v>471.73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26187.7</v>
      </c>
      <c r="X2" s="2" t="n">
        <v>750</v>
      </c>
      <c r="Y2" s="2" t="n">
        <v>24247.87037037037</v>
      </c>
      <c r="Z2" s="2" t="n">
        <v>0</v>
      </c>
      <c r="AA2" s="2" t="n">
        <v>25642.45</v>
      </c>
      <c r="AB2" s="2" t="n">
        <v>545.25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12475.7</v>
      </c>
      <c r="AP2" s="2" t="n">
        <v>577.5787037037038</v>
      </c>
      <c r="AQ2" s="2" t="n">
        <v>11551.57407407407</v>
      </c>
      <c r="AR2" s="2" t="n">
        <v>0</v>
      </c>
      <c r="AS2" s="2" t="n">
        <v>11863.69</v>
      </c>
      <c r="AT2" s="2" t="n">
        <v>612.01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55389.31</v>
      </c>
      <c r="BB2" s="2" t="n">
        <v>55389.31</v>
      </c>
      <c r="BC2" s="2">
        <f>F2+L2+R2+X2+AD2+AJ2+AP2+AV2+IF(BE2="",0,BE2)</f>
        <v/>
      </c>
      <c r="BD2" s="2" t="n">
        <v>803.238744</v>
      </c>
      <c r="BE2" s="2" t="n"/>
      <c r="BF2" s="2" t="n">
        <v>51286.39814814815</v>
      </c>
      <c r="BG2" s="2" t="n">
        <v>1175.06</v>
      </c>
      <c r="BH2" s="2" t="n">
        <v>240</v>
      </c>
      <c r="BI2" s="2" t="n">
        <v>43215.42</v>
      </c>
      <c r="BJ2" s="2" t="n">
        <v>63.5491452991453</v>
      </c>
      <c r="BK2" s="2" t="n">
        <v>0</v>
      </c>
      <c r="BL2" s="2" t="n">
        <v>20</v>
      </c>
      <c r="BM2" s="2" t="n">
        <v>478.9743589743589</v>
      </c>
      <c r="BN2" s="2" t="n">
        <v>5</v>
      </c>
      <c r="BO2" s="2" t="n">
        <v>0</v>
      </c>
      <c r="BP2" s="2" t="n">
        <v>747.755685</v>
      </c>
      <c r="BQ2" s="2" t="n">
        <v>0</v>
      </c>
      <c r="BR2" s="2" t="n">
        <v>45945.7591892735</v>
      </c>
      <c r="BS2" s="2" t="n">
        <v>856.8234444444444</v>
      </c>
      <c r="BT2" s="2" t="n">
        <v>410.2564102564103</v>
      </c>
      <c r="BU2" s="2" t="n">
        <v>9293.016671794872</v>
      </c>
      <c r="BV2" s="2" t="n">
        <v>10560.09652649573</v>
      </c>
      <c r="BW2" s="2" t="n">
        <v>56505.85571576923</v>
      </c>
      <c r="BX2" s="2" t="n">
        <v>53760.32000000001</v>
      </c>
      <c r="BY2" s="2" t="n">
        <v>1628.99</v>
      </c>
      <c r="BZ2" s="2" t="n">
        <v>0</v>
      </c>
      <c r="CA2" s="2" t="n">
        <v>55389.31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2866.36</v>
      </c>
      <c r="L3" s="2" t="n">
        <v>238.5979296296296</v>
      </c>
      <c r="M3" s="2" t="n">
        <v>2654.037037037036</v>
      </c>
      <c r="N3" s="2" t="n">
        <v>0</v>
      </c>
      <c r="O3" s="2" t="n">
        <v>2589.62</v>
      </c>
      <c r="P3" s="2" t="n">
        <v>276.74</v>
      </c>
      <c r="Q3" s="2" t="n">
        <v>3481.65</v>
      </c>
      <c r="R3" s="2" t="n">
        <v>241.78125</v>
      </c>
      <c r="S3" s="2" t="n">
        <v>3223.75</v>
      </c>
      <c r="T3" s="2" t="n">
        <v>0</v>
      </c>
      <c r="U3" s="2" t="n">
        <v>3129.77</v>
      </c>
      <c r="V3" s="2" t="n">
        <v>351.88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46.59</v>
      </c>
      <c r="AD3" s="2" t="n">
        <v>2.976583333333334</v>
      </c>
      <c r="AE3" s="2" t="n">
        <v>43.13888888888889</v>
      </c>
      <c r="AF3" s="2" t="n">
        <v>0</v>
      </c>
      <c r="AG3" s="2" t="n">
        <v>46.59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8478.66</v>
      </c>
      <c r="AP3" s="2" t="n">
        <v>392.5305555555556</v>
      </c>
      <c r="AQ3" s="2" t="n">
        <v>7850.61111111111</v>
      </c>
      <c r="AR3" s="2" t="n">
        <v>0</v>
      </c>
      <c r="AS3" s="2" t="n">
        <v>8118.38</v>
      </c>
      <c r="AT3" s="2" t="n">
        <v>360.28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14873.26</v>
      </c>
      <c r="BB3" s="2" t="n">
        <v>14873.26</v>
      </c>
      <c r="BC3" s="2">
        <f>F3+L3+R3+X3+AD3+AJ3+AP3+AV3+IF(BE3="",0,BE3)</f>
        <v/>
      </c>
      <c r="BD3" s="2" t="n">
        <v>229.048204</v>
      </c>
      <c r="BE3" s="2" t="n"/>
      <c r="BF3" s="2" t="n">
        <v>13771.53703703704</v>
      </c>
      <c r="BG3" s="2" t="n">
        <v>0</v>
      </c>
      <c r="BH3" s="2" t="n">
        <v>0</v>
      </c>
      <c r="BI3" s="2" t="n">
        <v>43215.42</v>
      </c>
      <c r="BJ3" s="2" t="n">
        <v>63.5491452991453</v>
      </c>
      <c r="BK3" s="2" t="n">
        <v>0</v>
      </c>
      <c r="BL3" s="2" t="n">
        <v>20</v>
      </c>
      <c r="BM3" s="2" t="n">
        <v>478.9743589743589</v>
      </c>
      <c r="BN3" s="2" t="n">
        <v>5</v>
      </c>
      <c r="BO3" s="2" t="n">
        <v>0</v>
      </c>
      <c r="BP3" s="2" t="n">
        <v>200.78901</v>
      </c>
      <c r="BQ3" s="2" t="n">
        <v>0</v>
      </c>
      <c r="BR3" s="2" t="n">
        <v>43983.73251427351</v>
      </c>
      <c r="BS3" s="2" t="n">
        <v>856.8234444444444</v>
      </c>
      <c r="BT3" s="2" t="n">
        <v>410.2564102564103</v>
      </c>
      <c r="BU3" s="2" t="n">
        <v>9010.004671794872</v>
      </c>
      <c r="BV3" s="2" t="n">
        <v>10277.08452649573</v>
      </c>
      <c r="BW3" s="2" t="n">
        <v>54260.81704076923</v>
      </c>
      <c r="BX3" s="2" t="n">
        <v>13884.36</v>
      </c>
      <c r="BY3" s="2" t="n">
        <v>988.9</v>
      </c>
      <c r="BZ3" s="2" t="n">
        <v>0</v>
      </c>
      <c r="CA3" s="2" t="n">
        <v>14873.26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6153.150000000001</v>
      </c>
      <c r="L4" s="2" t="n">
        <v>512.192763888889</v>
      </c>
      <c r="M4" s="2" t="n">
        <v>5697.361111111111</v>
      </c>
      <c r="N4" s="2" t="n">
        <v>0</v>
      </c>
      <c r="O4" s="2" t="n">
        <v>5676.72</v>
      </c>
      <c r="P4" s="2" t="n">
        <v>476.43</v>
      </c>
      <c r="Q4" s="2" t="n">
        <v>16748.03</v>
      </c>
      <c r="R4" s="2" t="n">
        <v>500</v>
      </c>
      <c r="S4" s="2" t="n">
        <v>15507.43518518518</v>
      </c>
      <c r="T4" s="2" t="n">
        <v>0</v>
      </c>
      <c r="U4" s="2" t="n">
        <v>15917.68</v>
      </c>
      <c r="V4" s="2" t="n">
        <v>830.35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6207.32</v>
      </c>
      <c r="AP4" s="2" t="n">
        <v>287.3759259259259</v>
      </c>
      <c r="AQ4" s="2" t="n">
        <v>5747.518518518518</v>
      </c>
      <c r="AR4" s="2" t="n">
        <v>0</v>
      </c>
      <c r="AS4" s="2" t="n">
        <v>5890.28</v>
      </c>
      <c r="AT4" s="2" t="n">
        <v>317.04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29108.5</v>
      </c>
      <c r="BB4" s="2" t="n">
        <v>29108.5</v>
      </c>
      <c r="BC4" s="2">
        <f>F4+L4+R4+X4+AD4+AJ4+AP4+AV4+IF(BE4="",0,BE4)</f>
        <v/>
      </c>
      <c r="BD4" s="2" t="n">
        <v>448.2709</v>
      </c>
      <c r="BE4" s="2" t="n"/>
      <c r="BF4" s="2" t="n">
        <v>26952.31481481481</v>
      </c>
      <c r="BG4" s="2" t="n">
        <v>0</v>
      </c>
      <c r="BH4" s="2" t="n">
        <v>0</v>
      </c>
      <c r="BI4" s="2" t="n">
        <v>43215.42</v>
      </c>
      <c r="BJ4" s="2" t="n">
        <v>63.5491452991453</v>
      </c>
      <c r="BK4" s="2" t="n">
        <v>0</v>
      </c>
      <c r="BL4" s="2" t="n">
        <v>20</v>
      </c>
      <c r="BM4" s="2" t="n">
        <v>478.9743589743589</v>
      </c>
      <c r="BN4" s="2" t="n">
        <v>5</v>
      </c>
      <c r="BO4" s="2" t="n">
        <v>0</v>
      </c>
      <c r="BP4" s="2" t="n">
        <v>392.96475</v>
      </c>
      <c r="BQ4" s="2" t="n">
        <v>0</v>
      </c>
      <c r="BR4" s="2" t="n">
        <v>44175.90825427351</v>
      </c>
      <c r="BS4" s="2" t="n">
        <v>856.8234444444444</v>
      </c>
      <c r="BT4" s="2" t="n">
        <v>410.2564102564103</v>
      </c>
      <c r="BU4" s="2" t="n">
        <v>9010.004671794872</v>
      </c>
      <c r="BV4" s="2" t="n">
        <v>10277.08452649573</v>
      </c>
      <c r="BW4" s="2" t="n">
        <v>54452.99278076923</v>
      </c>
      <c r="BX4" s="2" t="n">
        <v>27484.68</v>
      </c>
      <c r="BY4" s="2" t="n">
        <v>1623.82</v>
      </c>
      <c r="BZ4" s="2" t="n">
        <v>0</v>
      </c>
      <c r="CA4" s="2" t="n">
        <v>29108.5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17720.43</v>
      </c>
      <c r="L5" s="2" t="n">
        <v>1475.061719444444</v>
      </c>
      <c r="M5" s="2" t="n">
        <v>16407.80555555555</v>
      </c>
      <c r="N5" s="2" t="n">
        <v>0</v>
      </c>
      <c r="O5" s="2" t="n">
        <v>16546.13</v>
      </c>
      <c r="P5" s="2" t="n">
        <v>1174.3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28069.95</v>
      </c>
      <c r="AD5" s="2" t="n">
        <v>1793.357916666667</v>
      </c>
      <c r="AE5" s="2" t="n">
        <v>25990.69444444444</v>
      </c>
      <c r="AF5" s="2" t="n">
        <v>0</v>
      </c>
      <c r="AG5" s="2" t="n">
        <v>26130.97</v>
      </c>
      <c r="AH5" s="2" t="n">
        <v>1938.98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10596.27</v>
      </c>
      <c r="AP5" s="2" t="n">
        <v>490.5680555555556</v>
      </c>
      <c r="AQ5" s="2" t="n">
        <v>9811.361111111111</v>
      </c>
      <c r="AR5" s="2" t="n">
        <v>0</v>
      </c>
      <c r="AS5" s="2" t="n">
        <v>10019.54</v>
      </c>
      <c r="AT5" s="2" t="n">
        <v>576.73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56386.65000000001</v>
      </c>
      <c r="BB5" s="2" t="n">
        <v>56386.65000000001</v>
      </c>
      <c r="BC5" s="2">
        <f>F5+L5+R5+X5+AD5+AJ5+AP5+AV5+IF(BE5="",0,BE5)</f>
        <v/>
      </c>
      <c r="BD5" s="2" t="n">
        <v>868.35441</v>
      </c>
      <c r="BE5" s="2" t="n"/>
      <c r="BF5" s="2" t="n">
        <v>52209.86111111111</v>
      </c>
      <c r="BG5" s="2" t="n">
        <v>0</v>
      </c>
      <c r="BH5" s="2" t="n">
        <v>0</v>
      </c>
      <c r="BI5" s="2" t="n">
        <v>43215.42</v>
      </c>
      <c r="BJ5" s="2" t="n">
        <v>63.5491452991453</v>
      </c>
      <c r="BK5" s="2" t="n">
        <v>0</v>
      </c>
      <c r="BL5" s="2" t="n">
        <v>20</v>
      </c>
      <c r="BM5" s="2" t="n">
        <v>478.9743589743589</v>
      </c>
      <c r="BN5" s="2" t="n">
        <v>5</v>
      </c>
      <c r="BO5" s="2" t="n">
        <v>0</v>
      </c>
      <c r="BP5" s="2" t="n">
        <v>761.219775</v>
      </c>
      <c r="BQ5" s="2" t="n">
        <v>0</v>
      </c>
      <c r="BR5" s="2" t="n">
        <v>44544.1632792735</v>
      </c>
      <c r="BS5" s="2" t="n">
        <v>856.8234444444444</v>
      </c>
      <c r="BT5" s="2" t="n">
        <v>410.2564102564103</v>
      </c>
      <c r="BU5" s="2" t="n">
        <v>9010.004671794872</v>
      </c>
      <c r="BV5" s="2" t="n">
        <v>10277.08452649573</v>
      </c>
      <c r="BW5" s="2" t="n">
        <v>54821.24780576923</v>
      </c>
      <c r="BX5" s="2" t="n">
        <v>52696.64000000001</v>
      </c>
      <c r="BY5" s="2" t="n">
        <v>3690.01</v>
      </c>
      <c r="BZ5" s="2" t="n">
        <v>0</v>
      </c>
      <c r="CA5" s="2" t="n">
        <v>56386.65000000001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4783.63</v>
      </c>
      <c r="L6" s="2" t="n">
        <v>398.1929046296296</v>
      </c>
      <c r="M6" s="2" t="n">
        <v>4429.287037037036</v>
      </c>
      <c r="N6" s="2" t="n">
        <v>0</v>
      </c>
      <c r="O6" s="2" t="n">
        <v>4396.01</v>
      </c>
      <c r="P6" s="2" t="n">
        <v>387.62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9939.18</v>
      </c>
      <c r="AP6" s="2" t="n">
        <v>460.1472222222222</v>
      </c>
      <c r="AQ6" s="2" t="n">
        <v>9202.944444444443</v>
      </c>
      <c r="AR6" s="2" t="n">
        <v>0</v>
      </c>
      <c r="AS6" s="2" t="n">
        <v>8889.719999999999</v>
      </c>
      <c r="AT6" s="2" t="n">
        <v>1049.46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14722.81</v>
      </c>
      <c r="BB6" s="2" t="n">
        <v>14722.81</v>
      </c>
      <c r="BC6" s="2">
        <f>F6+L6+R6+X6+AD6+AJ6+AP6+AV6+IF(BE6="",0,BE6)</f>
        <v/>
      </c>
      <c r="BD6" s="2" t="n">
        <v>226.731274</v>
      </c>
      <c r="BE6" s="2" t="n"/>
      <c r="BF6" s="2" t="n">
        <v>13632.23148148148</v>
      </c>
      <c r="BG6" s="2" t="n">
        <v>0</v>
      </c>
      <c r="BH6" s="2" t="n">
        <v>0</v>
      </c>
      <c r="BI6" s="2" t="n">
        <v>43215.42</v>
      </c>
      <c r="BJ6" s="2" t="n">
        <v>63.5491452991453</v>
      </c>
      <c r="BK6" s="2" t="n">
        <v>0</v>
      </c>
      <c r="BL6" s="2" t="n">
        <v>20</v>
      </c>
      <c r="BM6" s="2" t="n">
        <v>478.9743589743589</v>
      </c>
      <c r="BN6" s="2" t="n">
        <v>5</v>
      </c>
      <c r="BO6" s="2" t="n">
        <v>0</v>
      </c>
      <c r="BP6" s="2" t="n">
        <v>198.757935</v>
      </c>
      <c r="BQ6" s="2" t="n">
        <v>0</v>
      </c>
      <c r="BR6" s="2" t="n">
        <v>43981.70143927351</v>
      </c>
      <c r="BS6" s="2" t="n">
        <v>856.8234444444444</v>
      </c>
      <c r="BT6" s="2" t="n">
        <v>410.2564102564103</v>
      </c>
      <c r="BU6" s="2" t="n">
        <v>9010.004671794872</v>
      </c>
      <c r="BV6" s="2" t="n">
        <v>10277.08452649573</v>
      </c>
      <c r="BW6" s="2" t="n">
        <v>54258.78596576923</v>
      </c>
      <c r="BX6" s="2" t="n">
        <v>13285.73</v>
      </c>
      <c r="BY6" s="2" t="n">
        <v>1437.08</v>
      </c>
      <c r="BZ6" s="2" t="n">
        <v>0</v>
      </c>
      <c r="CA6" s="2" t="n">
        <v>14722.81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14745.52</v>
      </c>
      <c r="L7" s="2" t="n">
        <v>1227.428007407407</v>
      </c>
      <c r="M7" s="2" t="n">
        <v>13653.25925925926</v>
      </c>
      <c r="N7" s="2" t="n">
        <v>0</v>
      </c>
      <c r="O7" s="2" t="n">
        <v>12879.42</v>
      </c>
      <c r="P7" s="2" t="n">
        <v>1866.1</v>
      </c>
      <c r="Q7" s="2" t="n">
        <v>18.2</v>
      </c>
      <c r="R7" s="2" t="n">
        <v>1.263888888888889</v>
      </c>
      <c r="S7" s="2" t="n">
        <v>16.85185185185185</v>
      </c>
      <c r="T7" s="2" t="n">
        <v>0</v>
      </c>
      <c r="U7" s="2" t="n">
        <v>18.2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27392.64</v>
      </c>
      <c r="AP7" s="2" t="n">
        <v>1268.177777777778</v>
      </c>
      <c r="AQ7" s="2" t="n">
        <v>25363.55555555555</v>
      </c>
      <c r="AR7" s="2" t="n">
        <v>0</v>
      </c>
      <c r="AS7" s="2" t="n">
        <v>25346.87</v>
      </c>
      <c r="AT7" s="2" t="n">
        <v>2045.77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42156.36</v>
      </c>
      <c r="BB7" s="2" t="n">
        <v>42156.36</v>
      </c>
      <c r="BC7" s="2">
        <f>F7+L7+R7+X7+AD7+AJ7+AP7+AV7+IF(BE7="",0,BE7)</f>
        <v/>
      </c>
      <c r="BD7" s="2" t="n">
        <v>649.207944</v>
      </c>
      <c r="BE7" s="2" t="n"/>
      <c r="BF7" s="2" t="n">
        <v>39033.66666666666</v>
      </c>
      <c r="BG7" s="2" t="n">
        <v>0</v>
      </c>
      <c r="BH7" s="2" t="n">
        <v>0</v>
      </c>
      <c r="BI7" s="2" t="n">
        <v>43215.42</v>
      </c>
      <c r="BJ7" s="2" t="n">
        <v>63.5491452991453</v>
      </c>
      <c r="BK7" s="2" t="n">
        <v>0</v>
      </c>
      <c r="BL7" s="2" t="n">
        <v>20</v>
      </c>
      <c r="BM7" s="2" t="n">
        <v>478.9743589743589</v>
      </c>
      <c r="BN7" s="2" t="n">
        <v>5</v>
      </c>
      <c r="BO7" s="2" t="n">
        <v>0</v>
      </c>
      <c r="BP7" s="2" t="n">
        <v>569.11086</v>
      </c>
      <c r="BQ7" s="2" t="n">
        <v>0</v>
      </c>
      <c r="BR7" s="2" t="n">
        <v>44352.05436427351</v>
      </c>
      <c r="BS7" s="2" t="n">
        <v>856.8234444444444</v>
      </c>
      <c r="BT7" s="2" t="n">
        <v>410.2564102564103</v>
      </c>
      <c r="BU7" s="2" t="n">
        <v>9010.004671794872</v>
      </c>
      <c r="BV7" s="2" t="n">
        <v>10277.08452649573</v>
      </c>
      <c r="BW7" s="2" t="n">
        <v>54629.13889076923</v>
      </c>
      <c r="BX7" s="2" t="n">
        <v>38244.49</v>
      </c>
      <c r="BY7" s="2" t="n">
        <v>3911.87</v>
      </c>
      <c r="BZ7" s="2" t="n">
        <v>0</v>
      </c>
      <c r="CA7" s="2" t="n">
        <v>42156.36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10742.71</v>
      </c>
      <c r="L8" s="2" t="n">
        <v>894.2311379629631</v>
      </c>
      <c r="M8" s="2" t="n">
        <v>9946.953703703704</v>
      </c>
      <c r="N8" s="2" t="n">
        <v>0</v>
      </c>
      <c r="O8" s="2" t="n">
        <v>9256.1</v>
      </c>
      <c r="P8" s="2" t="n">
        <v>1486.61</v>
      </c>
      <c r="Q8" s="2" t="n">
        <v>13.4</v>
      </c>
      <c r="R8" s="2" t="n">
        <v>0.9305555555555555</v>
      </c>
      <c r="S8" s="2" t="n">
        <v>12.40740740740741</v>
      </c>
      <c r="T8" s="2" t="n">
        <v>0</v>
      </c>
      <c r="U8" s="2" t="n">
        <v>13.4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16649.48</v>
      </c>
      <c r="AP8" s="2" t="n">
        <v>770.8092592592593</v>
      </c>
      <c r="AQ8" s="2" t="n">
        <v>15416.18518518518</v>
      </c>
      <c r="AR8" s="2" t="n">
        <v>0</v>
      </c>
      <c r="AS8" s="2" t="n">
        <v>15517.47</v>
      </c>
      <c r="AT8" s="2" t="n">
        <v>1132.01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27405.59</v>
      </c>
      <c r="BB8" s="2" t="n">
        <v>27405.59</v>
      </c>
      <c r="BC8" s="2">
        <f>F8+L8+R8+X8+AD8+AJ8+AP8+AV8+IF(BE8="",0,BE8)</f>
        <v/>
      </c>
      <c r="BD8" s="2" t="n">
        <v>422.046086</v>
      </c>
      <c r="BE8" s="2" t="n"/>
      <c r="BF8" s="2" t="n">
        <v>25375.5462962963</v>
      </c>
      <c r="BG8" s="2" t="n">
        <v>0</v>
      </c>
      <c r="BH8" s="2" t="n">
        <v>0</v>
      </c>
      <c r="BI8" s="2" t="n">
        <v>43215.42</v>
      </c>
      <c r="BJ8" s="2" t="n">
        <v>63.5491452991453</v>
      </c>
      <c r="BK8" s="2" t="n">
        <v>0</v>
      </c>
      <c r="BL8" s="2" t="n">
        <v>20</v>
      </c>
      <c r="BM8" s="2" t="n">
        <v>478.9743589743589</v>
      </c>
      <c r="BN8" s="2" t="n">
        <v>5</v>
      </c>
      <c r="BO8" s="2" t="n">
        <v>0</v>
      </c>
      <c r="BP8" s="2" t="n">
        <v>369.975465</v>
      </c>
      <c r="BQ8" s="2" t="n">
        <v>0</v>
      </c>
      <c r="BR8" s="2" t="n">
        <v>44152.91896927351</v>
      </c>
      <c r="BS8" s="2" t="n">
        <v>856.8234444444444</v>
      </c>
      <c r="BT8" s="2" t="n">
        <v>410.2564102564103</v>
      </c>
      <c r="BU8" s="2" t="n">
        <v>9010.004671794872</v>
      </c>
      <c r="BV8" s="2" t="n">
        <v>10277.08452649573</v>
      </c>
      <c r="BW8" s="2" t="n">
        <v>54430.00349576923</v>
      </c>
      <c r="BX8" s="2" t="n">
        <v>24786.97</v>
      </c>
      <c r="BY8" s="2" t="n">
        <v>2618.62</v>
      </c>
      <c r="BZ8" s="2" t="n">
        <v>0</v>
      </c>
      <c r="CA8" s="2" t="n">
        <v>27405.59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22.2</v>
      </c>
      <c r="F9" s="2" t="n">
        <v>1.438888888888889</v>
      </c>
      <c r="G9" s="2" t="n">
        <v>20.55555555555555</v>
      </c>
      <c r="H9" s="2" t="n">
        <v>0</v>
      </c>
      <c r="I9" s="2" t="n">
        <v>22.2</v>
      </c>
      <c r="J9" s="2" t="n">
        <v>0</v>
      </c>
      <c r="K9" s="2" t="n">
        <v>6330.8</v>
      </c>
      <c r="L9" s="2" t="n">
        <v>526.9804814814814</v>
      </c>
      <c r="M9" s="2" t="n">
        <v>5861.851851851851</v>
      </c>
      <c r="N9" s="2" t="n">
        <v>0</v>
      </c>
      <c r="O9" s="2" t="n">
        <v>5858.74</v>
      </c>
      <c r="P9" s="2" t="n">
        <v>472.06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17782.35</v>
      </c>
      <c r="AP9" s="2" t="n">
        <v>823.2569444444443</v>
      </c>
      <c r="AQ9" s="2" t="n">
        <v>16465.13888888889</v>
      </c>
      <c r="AR9" s="2" t="n">
        <v>0</v>
      </c>
      <c r="AS9" s="2" t="n">
        <v>16907.68</v>
      </c>
      <c r="AT9" s="2" t="n">
        <v>874.67</v>
      </c>
      <c r="AU9" s="2" t="n">
        <v>206.05</v>
      </c>
      <c r="AV9" s="2" t="n">
        <v>8.203842592592592</v>
      </c>
      <c r="AW9" s="2" t="n">
        <v>190.787037037037</v>
      </c>
      <c r="AX9" s="2" t="n">
        <v>0</v>
      </c>
      <c r="AY9" s="2" t="n">
        <v>199.55</v>
      </c>
      <c r="AZ9" s="2" t="n">
        <v>6.5</v>
      </c>
      <c r="BA9" s="2" t="n">
        <v>24341.4</v>
      </c>
      <c r="BB9" s="2" t="n">
        <v>24341.4</v>
      </c>
      <c r="BC9" s="2">
        <f>F9+L9+R9+X9+AD9+AJ9+AP9+AV9+IF(BE9="",0,BE9)</f>
        <v/>
      </c>
      <c r="BD9" s="2" t="n">
        <v>374.85756</v>
      </c>
      <c r="BE9" s="2" t="n"/>
      <c r="BF9" s="2" t="n">
        <v>22538.33333333333</v>
      </c>
      <c r="BG9" s="2" t="n">
        <v>0</v>
      </c>
      <c r="BH9" s="2" t="n">
        <v>0</v>
      </c>
      <c r="BI9" s="2" t="n">
        <v>43215.42</v>
      </c>
      <c r="BJ9" s="2" t="n">
        <v>63.5491452991453</v>
      </c>
      <c r="BK9" s="2" t="n">
        <v>0</v>
      </c>
      <c r="BL9" s="2" t="n">
        <v>20</v>
      </c>
      <c r="BM9" s="2" t="n">
        <v>478.9743589743589</v>
      </c>
      <c r="BN9" s="2" t="n">
        <v>5</v>
      </c>
      <c r="BO9" s="2" t="n">
        <v>0</v>
      </c>
      <c r="BP9" s="2" t="n">
        <v>328.6089</v>
      </c>
      <c r="BQ9" s="2" t="n">
        <v>0</v>
      </c>
      <c r="BR9" s="2" t="n">
        <v>44111.55240427351</v>
      </c>
      <c r="BS9" s="2" t="n">
        <v>856.8234444444444</v>
      </c>
      <c r="BT9" s="2" t="n">
        <v>410.2564102564103</v>
      </c>
      <c r="BU9" s="2" t="n">
        <v>9010.004671794872</v>
      </c>
      <c r="BV9" s="2" t="n">
        <v>10277.08452649573</v>
      </c>
      <c r="BW9" s="2" t="n">
        <v>54388.63693076923</v>
      </c>
      <c r="BX9" s="2" t="n">
        <v>22988.17</v>
      </c>
      <c r="BY9" s="2" t="n">
        <v>1353.23</v>
      </c>
      <c r="BZ9" s="2" t="n">
        <v>0</v>
      </c>
      <c r="CA9" s="2" t="n">
        <v>24341.4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3912.65</v>
      </c>
      <c r="L10" s="2" t="n">
        <v>325.6918842592592</v>
      </c>
      <c r="M10" s="2" t="n">
        <v>3622.824074074073</v>
      </c>
      <c r="N10" s="2" t="n">
        <v>0</v>
      </c>
      <c r="O10" s="2" t="n">
        <v>3577.45</v>
      </c>
      <c r="P10" s="2" t="n">
        <v>335.2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5041.740000000001</v>
      </c>
      <c r="AP10" s="2" t="n">
        <v>233.4138888888889</v>
      </c>
      <c r="AQ10" s="2" t="n">
        <v>4668.277777777778</v>
      </c>
      <c r="AR10" s="2" t="n">
        <v>0</v>
      </c>
      <c r="AS10" s="2" t="n">
        <v>4769.18</v>
      </c>
      <c r="AT10" s="2" t="n">
        <v>272.56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8954.389999999999</v>
      </c>
      <c r="BB10" s="2" t="n">
        <v>8954.389999999999</v>
      </c>
      <c r="BC10" s="2">
        <f>F10+L10+R10+X10+AD10+AJ10+AP10+AV10+IF(BE10="",0,BE10)</f>
        <v/>
      </c>
      <c r="BD10" s="2" t="n">
        <v>137.897606</v>
      </c>
      <c r="BE10" s="2" t="n"/>
      <c r="BF10" s="2" t="n">
        <v>8291.101851851852</v>
      </c>
      <c r="BG10" s="2" t="n">
        <v>0</v>
      </c>
      <c r="BH10" s="2" t="n">
        <v>0</v>
      </c>
      <c r="BI10" s="2" t="n">
        <v>43215.42</v>
      </c>
      <c r="BJ10" s="2" t="n">
        <v>63.5491452991453</v>
      </c>
      <c r="BK10" s="2" t="n">
        <v>0</v>
      </c>
      <c r="BL10" s="2" t="n">
        <v>20</v>
      </c>
      <c r="BM10" s="2" t="n">
        <v>478.9743589743589</v>
      </c>
      <c r="BN10" s="2" t="n">
        <v>5</v>
      </c>
      <c r="BO10" s="2" t="n">
        <v>0</v>
      </c>
      <c r="BP10" s="2" t="n">
        <v>120.884265</v>
      </c>
      <c r="BQ10" s="2" t="n">
        <v>0</v>
      </c>
      <c r="BR10" s="2" t="n">
        <v>43903.82776927351</v>
      </c>
      <c r="BS10" s="2" t="n">
        <v>856.8234444444444</v>
      </c>
      <c r="BT10" s="2" t="n">
        <v>410.2564102564103</v>
      </c>
      <c r="BU10" s="2" t="n">
        <v>9010.004671794872</v>
      </c>
      <c r="BV10" s="2" t="n">
        <v>10277.08452649573</v>
      </c>
      <c r="BW10" s="2" t="n">
        <v>54180.91229576923</v>
      </c>
      <c r="BX10" s="2" t="n">
        <v>8346.630000000001</v>
      </c>
      <c r="BY10" s="2" t="n">
        <v>607.76</v>
      </c>
      <c r="BZ10" s="2" t="n">
        <v>0</v>
      </c>
      <c r="CA10" s="2" t="n">
        <v>8954.390000000001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3450.78</v>
      </c>
      <c r="L11" s="2" t="n">
        <v>287.2454833333334</v>
      </c>
      <c r="M11" s="2" t="n">
        <v>3195.166666666667</v>
      </c>
      <c r="N11" s="2" t="n">
        <v>0</v>
      </c>
      <c r="O11" s="2" t="n">
        <v>2997.86</v>
      </c>
      <c r="P11" s="2" t="n">
        <v>452.92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5081.389999999999</v>
      </c>
      <c r="AP11" s="2" t="n">
        <v>235.249537037037</v>
      </c>
      <c r="AQ11" s="2" t="n">
        <v>4704.99074074074</v>
      </c>
      <c r="AR11" s="2" t="n">
        <v>0</v>
      </c>
      <c r="AS11" s="2" t="n">
        <v>4424.23</v>
      </c>
      <c r="AT11" s="2" t="n">
        <v>657.16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8532.17</v>
      </c>
      <c r="BB11" s="2" t="n">
        <v>8532.17</v>
      </c>
      <c r="BC11" s="2">
        <f>F11+L11+R11+X11+AD11+AJ11+AP11+AV11+IF(BE11="",0,BE11)</f>
        <v/>
      </c>
      <c r="BD11" s="2" t="n">
        <v>131.395418</v>
      </c>
      <c r="BE11" s="2" t="n"/>
      <c r="BF11" s="2" t="n">
        <v>7900.157407407407</v>
      </c>
      <c r="BG11" s="2" t="n">
        <v>0</v>
      </c>
      <c r="BH11" s="2" t="n">
        <v>0</v>
      </c>
      <c r="BI11" s="2" t="n">
        <v>43215.42</v>
      </c>
      <c r="BJ11" s="2" t="n">
        <v>63.5491452991453</v>
      </c>
      <c r="BK11" s="2" t="n">
        <v>0</v>
      </c>
      <c r="BL11" s="2" t="n">
        <v>20</v>
      </c>
      <c r="BM11" s="2" t="n">
        <v>478.9743589743589</v>
      </c>
      <c r="BN11" s="2" t="n">
        <v>5</v>
      </c>
      <c r="BO11" s="2" t="n">
        <v>0</v>
      </c>
      <c r="BP11" s="2" t="n">
        <v>115.184295</v>
      </c>
      <c r="BQ11" s="2" t="n">
        <v>0</v>
      </c>
      <c r="BR11" s="2" t="n">
        <v>43898.1277992735</v>
      </c>
      <c r="BS11" s="2" t="n">
        <v>856.8234444444444</v>
      </c>
      <c r="BT11" s="2" t="n">
        <v>410.2564102564103</v>
      </c>
      <c r="BU11" s="2" t="n">
        <v>9010.004671794872</v>
      </c>
      <c r="BV11" s="2" t="n">
        <v>10277.08452649573</v>
      </c>
      <c r="BW11" s="2" t="n">
        <v>54175.21232576923</v>
      </c>
      <c r="BX11" s="2" t="n">
        <v>7422.09</v>
      </c>
      <c r="BY11" s="2" t="n">
        <v>1110.08</v>
      </c>
      <c r="BZ11" s="2" t="n">
        <v>0</v>
      </c>
      <c r="CA11" s="2" t="n">
        <v>8532.17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52</v>
      </c>
      <c r="L12" s="2" t="n">
        <v>4.328518518518519</v>
      </c>
      <c r="M12" s="2" t="n">
        <v>48.14814814814815</v>
      </c>
      <c r="N12" s="2" t="n">
        <v>0</v>
      </c>
      <c r="O12" s="2" t="n">
        <v>52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3782.04</v>
      </c>
      <c r="AP12" s="2" t="n">
        <v>3500</v>
      </c>
      <c r="AQ12" s="2" t="n">
        <v>3501.888888888889</v>
      </c>
      <c r="AR12" s="2" t="n">
        <v>0</v>
      </c>
      <c r="AS12" s="2" t="n">
        <v>3569.56</v>
      </c>
      <c r="AT12" s="2" t="n">
        <v>212.48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3834.04</v>
      </c>
      <c r="BB12" s="2" t="n">
        <v>3834.04</v>
      </c>
      <c r="BC12" s="2">
        <f>F12+L12+R12+X12+AD12+AJ12+AP12+AV12+IF(BE12="",0,BE12)</f>
        <v/>
      </c>
      <c r="BD12" s="2" t="n">
        <v>59.04421600000001</v>
      </c>
      <c r="BE12" s="2" t="n"/>
      <c r="BF12" s="2" t="n">
        <v>3550.037037037037</v>
      </c>
      <c r="BG12" s="2" t="n">
        <v>0</v>
      </c>
      <c r="BH12" s="2" t="n">
        <v>0</v>
      </c>
      <c r="BI12" s="2" t="n">
        <v>43215.42</v>
      </c>
      <c r="BJ12" s="2" t="n">
        <v>63.5491452991453</v>
      </c>
      <c r="BK12" s="2" t="n">
        <v>0</v>
      </c>
      <c r="BL12" s="2" t="n">
        <v>20</v>
      </c>
      <c r="BM12" s="2" t="n">
        <v>478.9743589743589</v>
      </c>
      <c r="BN12" s="2" t="n">
        <v>5</v>
      </c>
      <c r="BO12" s="2" t="n">
        <v>0</v>
      </c>
      <c r="BP12" s="2" t="n">
        <v>51.75953999999999</v>
      </c>
      <c r="BQ12" s="2" t="n">
        <v>0</v>
      </c>
      <c r="BR12" s="2" t="n">
        <v>43834.7030442735</v>
      </c>
      <c r="BS12" s="2" t="n">
        <v>856.8234444444444</v>
      </c>
      <c r="BT12" s="2" t="n">
        <v>410.2564102564103</v>
      </c>
      <c r="BU12" s="2" t="n">
        <v>9010.004671794872</v>
      </c>
      <c r="BV12" s="2" t="n">
        <v>10277.08452649573</v>
      </c>
      <c r="BW12" s="2" t="n">
        <v>54111.78757076923</v>
      </c>
      <c r="BX12" s="2" t="n">
        <v>3621.56</v>
      </c>
      <c r="BY12" s="2" t="n">
        <v>212.48</v>
      </c>
      <c r="BZ12" s="2" t="n">
        <v>0</v>
      </c>
      <c r="CA12" s="2" t="n">
        <v>3834.04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1578.98</v>
      </c>
      <c r="F13" s="2" t="n">
        <v>102.3412962962963</v>
      </c>
      <c r="G13" s="2" t="n">
        <v>1462.018518518518</v>
      </c>
      <c r="H13" s="2" t="n">
        <v>0</v>
      </c>
      <c r="I13" s="2" t="n">
        <v>1463.57</v>
      </c>
      <c r="J13" s="2" t="n">
        <v>115.41</v>
      </c>
      <c r="K13" s="2" t="n">
        <v>618.71</v>
      </c>
      <c r="L13" s="2" t="n">
        <v>51.50187870370371</v>
      </c>
      <c r="M13" s="2" t="n">
        <v>572.8796296296297</v>
      </c>
      <c r="N13" s="2" t="n">
        <v>0</v>
      </c>
      <c r="O13" s="2" t="n">
        <v>530.51</v>
      </c>
      <c r="P13" s="2" t="n">
        <v>88.2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5800.04</v>
      </c>
      <c r="AP13" s="2" t="n">
        <v>3740</v>
      </c>
      <c r="AQ13" s="2" t="n">
        <v>5370.407407407407</v>
      </c>
      <c r="AR13" s="2" t="n">
        <v>0</v>
      </c>
      <c r="AS13" s="2" t="n">
        <v>5020.75</v>
      </c>
      <c r="AT13" s="2" t="n">
        <v>779.29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7997.73</v>
      </c>
      <c r="BB13" s="2" t="n">
        <v>7997.73</v>
      </c>
      <c r="BC13" s="2">
        <f>F13+L13+R13+X13+AD13+AJ13+AP13+AV13+IF(BE13="",0,BE13)</f>
        <v/>
      </c>
      <c r="BD13" s="2" t="n">
        <v>123.165042</v>
      </c>
      <c r="BE13" s="2" t="n"/>
      <c r="BF13" s="2" t="n">
        <v>7405.305555555555</v>
      </c>
      <c r="BG13" s="2" t="n">
        <v>0</v>
      </c>
      <c r="BH13" s="2" t="n">
        <v>0</v>
      </c>
      <c r="BI13" s="2" t="n">
        <v>43215.42</v>
      </c>
      <c r="BJ13" s="2" t="n">
        <v>63.5491452991453</v>
      </c>
      <c r="BK13" s="2" t="n">
        <v>0</v>
      </c>
      <c r="BL13" s="2" t="n">
        <v>20</v>
      </c>
      <c r="BM13" s="2" t="n">
        <v>478.9743589743589</v>
      </c>
      <c r="BN13" s="2" t="n">
        <v>5</v>
      </c>
      <c r="BO13" s="2" t="n">
        <v>0</v>
      </c>
      <c r="BP13" s="2" t="n">
        <v>107.969355</v>
      </c>
      <c r="BQ13" s="2" t="n">
        <v>0</v>
      </c>
      <c r="BR13" s="2" t="n">
        <v>43890.91285927351</v>
      </c>
      <c r="BS13" s="2" t="n">
        <v>856.8234444444444</v>
      </c>
      <c r="BT13" s="2" t="n">
        <v>410.2564102564103</v>
      </c>
      <c r="BU13" s="2" t="n">
        <v>9010.004671794872</v>
      </c>
      <c r="BV13" s="2" t="n">
        <v>10277.08452649573</v>
      </c>
      <c r="BW13" s="2" t="n">
        <v>54167.99738576923</v>
      </c>
      <c r="BX13" s="2" t="n">
        <v>7014.83</v>
      </c>
      <c r="BY13" s="2" t="n">
        <v>982.9</v>
      </c>
      <c r="BZ13" s="2" t="n">
        <v>0</v>
      </c>
      <c r="CA13" s="2" t="n">
        <v>7997.73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7164.74</v>
      </c>
      <c r="L14" s="2" t="n">
        <v>596.3982648148149</v>
      </c>
      <c r="M14" s="2" t="n">
        <v>6634.018518518518</v>
      </c>
      <c r="N14" s="2" t="n">
        <v>0</v>
      </c>
      <c r="O14" s="2" t="n">
        <v>6837.44</v>
      </c>
      <c r="P14" s="2" t="n">
        <v>327.3</v>
      </c>
      <c r="Q14" s="2" t="n">
        <v>248.94</v>
      </c>
      <c r="R14" s="2" t="n">
        <v>17.2875</v>
      </c>
      <c r="S14" s="2" t="n">
        <v>230.5</v>
      </c>
      <c r="T14" s="2" t="n">
        <v>0</v>
      </c>
      <c r="U14" s="2" t="n">
        <v>248.94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10499.06</v>
      </c>
      <c r="AP14" s="2" t="n">
        <v>4100</v>
      </c>
      <c r="AQ14" s="2" t="n">
        <v>9721.351851851852</v>
      </c>
      <c r="AR14" s="2" t="n">
        <v>0</v>
      </c>
      <c r="AS14" s="2" t="n">
        <v>9898.35</v>
      </c>
      <c r="AT14" s="2" t="n">
        <v>600.71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17912.74</v>
      </c>
      <c r="BB14" s="2" t="n">
        <v>17912.74</v>
      </c>
      <c r="BC14" s="2">
        <f>F14+L14+R14+X14+AD14+AJ14+AP14+AV14+IF(BE14="",0,BE14)</f>
        <v/>
      </c>
      <c r="BD14" s="2" t="n">
        <v>275.856196</v>
      </c>
      <c r="BE14" s="2" t="n"/>
      <c r="BF14" s="2" t="n">
        <v>16585.87037037037</v>
      </c>
      <c r="BG14" s="2" t="n">
        <v>0</v>
      </c>
      <c r="BH14" s="2" t="n">
        <v>0</v>
      </c>
      <c r="BI14" s="2" t="n">
        <v>43215.42</v>
      </c>
      <c r="BJ14" s="2" t="n">
        <v>63.5491452991453</v>
      </c>
      <c r="BK14" s="2" t="n">
        <v>0</v>
      </c>
      <c r="BL14" s="2" t="n">
        <v>20</v>
      </c>
      <c r="BM14" s="2" t="n">
        <v>478.9743589743589</v>
      </c>
      <c r="BN14" s="2" t="n">
        <v>5</v>
      </c>
      <c r="BO14" s="2" t="n">
        <v>0</v>
      </c>
      <c r="BP14" s="2" t="n">
        <v>241.82199</v>
      </c>
      <c r="BQ14" s="2" t="n">
        <v>0</v>
      </c>
      <c r="BR14" s="2" t="n">
        <v>44024.7654942735</v>
      </c>
      <c r="BS14" s="2" t="n">
        <v>856.8234444444444</v>
      </c>
      <c r="BT14" s="2" t="n">
        <v>410.2564102564103</v>
      </c>
      <c r="BU14" s="2" t="n">
        <v>9010.004671794872</v>
      </c>
      <c r="BV14" s="2" t="n">
        <v>10277.08452649573</v>
      </c>
      <c r="BW14" s="2" t="n">
        <v>54301.85002076923</v>
      </c>
      <c r="BX14" s="2" t="n">
        <v>16984.73</v>
      </c>
      <c r="BY14" s="2" t="n">
        <v>928.01</v>
      </c>
      <c r="BZ14" s="2" t="n">
        <v>0</v>
      </c>
      <c r="CA14" s="2" t="n">
        <v>17912.74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15.8</v>
      </c>
      <c r="F15" s="2" t="n">
        <v>1.024074074074074</v>
      </c>
      <c r="G15" s="2" t="n">
        <v>14.62962962962963</v>
      </c>
      <c r="H15" s="2" t="n">
        <v>0</v>
      </c>
      <c r="I15" s="2" t="n">
        <v>15.8</v>
      </c>
      <c r="J15" s="2" t="n">
        <v>0</v>
      </c>
      <c r="K15" s="2" t="n">
        <v>57</v>
      </c>
      <c r="L15" s="2" t="n">
        <v>4.744722222222222</v>
      </c>
      <c r="M15" s="2" t="n">
        <v>52.77777777777777</v>
      </c>
      <c r="N15" s="2" t="n">
        <v>0</v>
      </c>
      <c r="O15" s="2" t="n">
        <v>31</v>
      </c>
      <c r="P15" s="2" t="n">
        <v>26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2321.1</v>
      </c>
      <c r="AP15" s="2" t="n">
        <v>3500</v>
      </c>
      <c r="AQ15" s="2" t="n">
        <v>2149.166666666667</v>
      </c>
      <c r="AR15" s="2" t="n">
        <v>0</v>
      </c>
      <c r="AS15" s="2" t="n">
        <v>1936.34</v>
      </c>
      <c r="AT15" s="2" t="n">
        <v>384.76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2393.9</v>
      </c>
      <c r="BB15" s="2" t="n">
        <v>2393.9</v>
      </c>
      <c r="BC15" s="2">
        <f>F15+L15+R15+X15+AD15+AJ15+AP15+AV15+IF(BE15="",0,BE15)</f>
        <v/>
      </c>
      <c r="BD15" s="2" t="n">
        <v>36.86606</v>
      </c>
      <c r="BE15" s="2" t="n"/>
      <c r="BF15" s="2" t="n">
        <v>2216.574074074074</v>
      </c>
      <c r="BG15" s="2" t="n">
        <v>0</v>
      </c>
      <c r="BH15" s="2" t="n">
        <v>0</v>
      </c>
      <c r="BI15" s="2" t="n">
        <v>43215.42</v>
      </c>
      <c r="BJ15" s="2" t="n">
        <v>63.5491452991453</v>
      </c>
      <c r="BK15" s="2" t="n">
        <v>0</v>
      </c>
      <c r="BL15" s="2" t="n">
        <v>20</v>
      </c>
      <c r="BM15" s="2" t="n">
        <v>478.9743589743589</v>
      </c>
      <c r="BN15" s="2" t="n">
        <v>5</v>
      </c>
      <c r="BO15" s="2" t="n">
        <v>0</v>
      </c>
      <c r="BP15" s="2" t="n">
        <v>32.31765</v>
      </c>
      <c r="BQ15" s="2" t="n">
        <v>0</v>
      </c>
      <c r="BR15" s="2" t="n">
        <v>43815.2611542735</v>
      </c>
      <c r="BS15" s="2" t="n">
        <v>856.8234444444444</v>
      </c>
      <c r="BT15" s="2" t="n">
        <v>410.2564102564103</v>
      </c>
      <c r="BU15" s="2" t="n">
        <v>9010.004671794872</v>
      </c>
      <c r="BV15" s="2" t="n">
        <v>10277.08452649573</v>
      </c>
      <c r="BW15" s="2" t="n">
        <v>54092.34568076923</v>
      </c>
      <c r="BX15" s="2" t="n">
        <v>1983.14</v>
      </c>
      <c r="BY15" s="2" t="n">
        <v>410.76</v>
      </c>
      <c r="BZ15" s="2" t="n">
        <v>0</v>
      </c>
      <c r="CA15" s="2" t="n">
        <v>2393.9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12009.48</v>
      </c>
      <c r="L16" s="2" t="n">
        <v>999.678011111111</v>
      </c>
      <c r="M16" s="2" t="n">
        <v>11119.88888888889</v>
      </c>
      <c r="N16" s="2" t="n">
        <v>0</v>
      </c>
      <c r="O16" s="2" t="n">
        <v>11759.83</v>
      </c>
      <c r="P16" s="2" t="n">
        <v>249.65</v>
      </c>
      <c r="Q16" s="2" t="n">
        <v>6.7</v>
      </c>
      <c r="R16" s="2" t="n">
        <v>0.4652777777777777</v>
      </c>
      <c r="S16" s="2" t="n">
        <v>6.203703703703703</v>
      </c>
      <c r="T16" s="2" t="n">
        <v>0</v>
      </c>
      <c r="U16" s="2" t="n">
        <v>6.7</v>
      </c>
      <c r="V16" s="2" t="n">
        <v>0</v>
      </c>
      <c r="W16" s="2" t="n">
        <v>40406.96</v>
      </c>
      <c r="X16" s="2" t="n">
        <v>750</v>
      </c>
      <c r="Y16" s="2" t="n">
        <v>37413.85185185185</v>
      </c>
      <c r="Z16" s="2" t="n">
        <v>0</v>
      </c>
      <c r="AA16" s="2" t="n">
        <v>39418.31</v>
      </c>
      <c r="AB16" s="2" t="n">
        <v>988.65</v>
      </c>
      <c r="AC16" s="2" t="n">
        <v>44</v>
      </c>
      <c r="AD16" s="2" t="n">
        <v>2.811111111111111</v>
      </c>
      <c r="AE16" s="2" t="n">
        <v>40.74074074074074</v>
      </c>
      <c r="AF16" s="2" t="n">
        <v>0</v>
      </c>
      <c r="AG16" s="2" t="n">
        <v>44</v>
      </c>
      <c r="AH16" s="2" t="n">
        <v>0</v>
      </c>
      <c r="AI16" s="2" t="n">
        <v>8.800000000000001</v>
      </c>
      <c r="AJ16" s="2" t="n">
        <v>0.6111111111111112</v>
      </c>
      <c r="AK16" s="2" t="n">
        <v>8.148148148148149</v>
      </c>
      <c r="AL16" s="2" t="n">
        <v>0</v>
      </c>
      <c r="AM16" s="2" t="n">
        <v>0</v>
      </c>
      <c r="AN16" s="2" t="n">
        <v>8.800000000000001</v>
      </c>
      <c r="AO16" s="2" t="n">
        <v>6791.53</v>
      </c>
      <c r="AP16" s="2" t="n">
        <v>4150</v>
      </c>
      <c r="AQ16" s="2" t="n">
        <v>6288.453703703703</v>
      </c>
      <c r="AR16" s="2" t="n">
        <v>0</v>
      </c>
      <c r="AS16" s="2" t="n">
        <v>6479.25</v>
      </c>
      <c r="AT16" s="2" t="n">
        <v>312.28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59267.47</v>
      </c>
      <c r="BB16" s="2" t="n">
        <v>59267.47</v>
      </c>
      <c r="BC16" s="2">
        <f>F16+L16+R16+X16+AD16+AJ16+AP16+AV16+IF(BE16="",0,BE16)</f>
        <v/>
      </c>
      <c r="BD16" s="2" t="n">
        <v>835.945814</v>
      </c>
      <c r="BE16" s="2" t="n"/>
      <c r="BF16" s="2" t="n">
        <v>54877.28703703702</v>
      </c>
      <c r="BG16" s="2" t="n">
        <v>1056.72</v>
      </c>
      <c r="BH16" s="2" t="n">
        <v>276</v>
      </c>
      <c r="BI16" s="2" t="n">
        <v>43215.42</v>
      </c>
      <c r="BJ16" s="2" t="n">
        <v>63.5491452991453</v>
      </c>
      <c r="BK16" s="2" t="n">
        <v>0</v>
      </c>
      <c r="BL16" s="2" t="n">
        <v>20</v>
      </c>
      <c r="BM16" s="2" t="n">
        <v>478.9743589743589</v>
      </c>
      <c r="BN16" s="2" t="n">
        <v>5</v>
      </c>
      <c r="BO16" s="2" t="n">
        <v>0</v>
      </c>
      <c r="BP16" s="2" t="n">
        <v>800.110845</v>
      </c>
      <c r="BQ16" s="2" t="n">
        <v>0</v>
      </c>
      <c r="BR16" s="2" t="n">
        <v>45915.77434927351</v>
      </c>
      <c r="BS16" s="2" t="n">
        <v>856.8234444444444</v>
      </c>
      <c r="BT16" s="2" t="n">
        <v>410.2564102564103</v>
      </c>
      <c r="BU16" s="2" t="n">
        <v>9276.548671794872</v>
      </c>
      <c r="BV16" s="2" t="n">
        <v>10543.62852649573</v>
      </c>
      <c r="BW16" s="2" t="n">
        <v>56459.40287576924</v>
      </c>
      <c r="BX16" s="2" t="n">
        <v>57708.09</v>
      </c>
      <c r="BY16" s="2" t="n">
        <v>1559.38</v>
      </c>
      <c r="BZ16" s="2" t="n">
        <v>0</v>
      </c>
      <c r="CA16" s="2" t="n">
        <v>59267.46999999999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1648.39</v>
      </c>
      <c r="AP17" s="2" t="n">
        <v>3500</v>
      </c>
      <c r="AQ17" s="2" t="n">
        <v>1526.287037037037</v>
      </c>
      <c r="AR17" s="2" t="n">
        <v>0</v>
      </c>
      <c r="AS17" s="2" t="n">
        <v>1469.32</v>
      </c>
      <c r="AT17" s="2" t="n">
        <v>179.07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1648.39</v>
      </c>
      <c r="BB17" s="2" t="n">
        <v>1648.39</v>
      </c>
      <c r="BC17" s="2">
        <f>F17+L17+R17+X17+AD17+AJ17+AP17+AV17+IF(BE17="",0,BE17)</f>
        <v/>
      </c>
      <c r="BD17" s="2" t="n">
        <v>25.385206</v>
      </c>
      <c r="BE17" s="2" t="n"/>
      <c r="BF17" s="2" t="n">
        <v>1526.287037037037</v>
      </c>
      <c r="BG17" s="2" t="n">
        <v>0</v>
      </c>
      <c r="BH17" s="2" t="n">
        <v>0</v>
      </c>
      <c r="BI17" s="2" t="n">
        <v>43215.42</v>
      </c>
      <c r="BJ17" s="2" t="n">
        <v>63.5491452991453</v>
      </c>
      <c r="BK17" s="2" t="n">
        <v>0</v>
      </c>
      <c r="BL17" s="2" t="n">
        <v>20</v>
      </c>
      <c r="BM17" s="2" t="n">
        <v>478.9743589743589</v>
      </c>
      <c r="BN17" s="2" t="n">
        <v>5</v>
      </c>
      <c r="BO17" s="2" t="n">
        <v>0</v>
      </c>
      <c r="BP17" s="2" t="n">
        <v>22.253265</v>
      </c>
      <c r="BQ17" s="2" t="n">
        <v>0</v>
      </c>
      <c r="BR17" s="2" t="n">
        <v>43805.19676927351</v>
      </c>
      <c r="BS17" s="2" t="n">
        <v>856.8234444444444</v>
      </c>
      <c r="BT17" s="2" t="n">
        <v>410.2564102564103</v>
      </c>
      <c r="BU17" s="2" t="n">
        <v>9010.004671794872</v>
      </c>
      <c r="BV17" s="2" t="n">
        <v>10277.08452649573</v>
      </c>
      <c r="BW17" s="2" t="n">
        <v>54082.28129576923</v>
      </c>
      <c r="BX17" s="2" t="n">
        <v>1469.32</v>
      </c>
      <c r="BY17" s="2" t="n">
        <v>179.07</v>
      </c>
      <c r="BZ17" s="2" t="n">
        <v>0</v>
      </c>
      <c r="CA17" s="2" t="n">
        <v>1648.39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6879.4</v>
      </c>
      <c r="L18" s="2" t="n">
        <v>572.6463518518518</v>
      </c>
      <c r="M18" s="2" t="n">
        <v>6369.814814814814</v>
      </c>
      <c r="N18" s="2" t="n">
        <v>0</v>
      </c>
      <c r="O18" s="2" t="n">
        <v>6543.4</v>
      </c>
      <c r="P18" s="2" t="n">
        <v>336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2103.28</v>
      </c>
      <c r="AP18" s="2" t="n">
        <v>4150</v>
      </c>
      <c r="AQ18" s="2" t="n">
        <v>1947.481481481481</v>
      </c>
      <c r="AR18" s="2" t="n">
        <v>0</v>
      </c>
      <c r="AS18" s="2" t="n">
        <v>1934.77</v>
      </c>
      <c r="AT18" s="2" t="n">
        <v>168.51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8982.68</v>
      </c>
      <c r="BB18" s="2" t="n">
        <v>8982.68</v>
      </c>
      <c r="BC18" s="2">
        <f>F18+L18+R18+X18+AD18+AJ18+AP18+AV18+IF(BE18="",0,BE18)</f>
        <v/>
      </c>
      <c r="BD18" s="2" t="n">
        <v>138.333272</v>
      </c>
      <c r="BE18" s="2" t="n"/>
      <c r="BF18" s="2" t="n">
        <v>8317.296296296296</v>
      </c>
      <c r="BG18" s="2" t="n">
        <v>0</v>
      </c>
      <c r="BH18" s="2" t="n">
        <v>0</v>
      </c>
      <c r="BI18" s="2" t="n">
        <v>43215.42</v>
      </c>
      <c r="BJ18" s="2" t="n">
        <v>63.5491452991453</v>
      </c>
      <c r="BK18" s="2" t="n">
        <v>0</v>
      </c>
      <c r="BL18" s="2" t="n">
        <v>20</v>
      </c>
      <c r="BM18" s="2" t="n">
        <v>478.9743589743589</v>
      </c>
      <c r="BN18" s="2" t="n">
        <v>5</v>
      </c>
      <c r="BO18" s="2" t="n">
        <v>0</v>
      </c>
      <c r="BP18" s="2" t="n">
        <v>121.26618</v>
      </c>
      <c r="BQ18" s="2" t="n">
        <v>0</v>
      </c>
      <c r="BR18" s="2" t="n">
        <v>43904.2096842735</v>
      </c>
      <c r="BS18" s="2" t="n">
        <v>856.8234444444444</v>
      </c>
      <c r="BT18" s="2" t="n">
        <v>410.2564102564103</v>
      </c>
      <c r="BU18" s="2" t="n">
        <v>9010.004671794872</v>
      </c>
      <c r="BV18" s="2" t="n">
        <v>10277.08452649573</v>
      </c>
      <c r="BW18" s="2" t="n">
        <v>54181.29421076923</v>
      </c>
      <c r="BX18" s="2" t="n">
        <v>8478.17</v>
      </c>
      <c r="BY18" s="2" t="n">
        <v>504.51</v>
      </c>
      <c r="BZ18" s="2" t="n">
        <v>0</v>
      </c>
      <c r="CA18" s="2" t="n">
        <v>8982.68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7258.88</v>
      </c>
      <c r="L19" s="2" t="n">
        <v>604.2345481481482</v>
      </c>
      <c r="M19" s="2" t="n">
        <v>6721.185185185185</v>
      </c>
      <c r="N19" s="2" t="n">
        <v>0</v>
      </c>
      <c r="O19" s="2" t="n">
        <v>7064.88</v>
      </c>
      <c r="P19" s="2" t="n">
        <v>194</v>
      </c>
      <c r="Q19" s="2" t="n">
        <v>15523.85</v>
      </c>
      <c r="R19" s="2" t="n">
        <v>1078.045138888889</v>
      </c>
      <c r="S19" s="2" t="n">
        <v>14373.93518518518</v>
      </c>
      <c r="T19" s="2" t="n">
        <v>0</v>
      </c>
      <c r="U19" s="2" t="n">
        <v>14939.44</v>
      </c>
      <c r="V19" s="2" t="n">
        <v>584.41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7625.28</v>
      </c>
      <c r="AP19" s="2" t="n">
        <v>4150</v>
      </c>
      <c r="AQ19" s="2" t="n">
        <v>7060.444444444443</v>
      </c>
      <c r="AR19" s="2" t="n">
        <v>0</v>
      </c>
      <c r="AS19" s="2" t="n">
        <v>7235.49</v>
      </c>
      <c r="AT19" s="2" t="n">
        <v>389.79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30408.01</v>
      </c>
      <c r="BB19" s="2" t="n">
        <v>30408.01</v>
      </c>
      <c r="BC19" s="2">
        <f>F19+L19+R19+X19+AD19+AJ19+AP19+AV19+IF(BE19="",0,BE19)</f>
        <v/>
      </c>
      <c r="BD19" s="2" t="n">
        <v>468.283354</v>
      </c>
      <c r="BE19" s="2" t="n"/>
      <c r="BF19" s="2" t="n">
        <v>28155.56481481481</v>
      </c>
      <c r="BG19" s="2" t="n">
        <v>0</v>
      </c>
      <c r="BH19" s="2" t="n">
        <v>0</v>
      </c>
      <c r="BI19" s="2" t="n">
        <v>43215.42</v>
      </c>
      <c r="BJ19" s="2" t="n">
        <v>63.5491452991453</v>
      </c>
      <c r="BK19" s="2" t="n">
        <v>0</v>
      </c>
      <c r="BL19" s="2" t="n">
        <v>20</v>
      </c>
      <c r="BM19" s="2" t="n">
        <v>478.9743589743589</v>
      </c>
      <c r="BN19" s="2" t="n">
        <v>5</v>
      </c>
      <c r="BO19" s="2" t="n">
        <v>0</v>
      </c>
      <c r="BP19" s="2" t="n">
        <v>410.508135</v>
      </c>
      <c r="BQ19" s="2" t="n">
        <v>0</v>
      </c>
      <c r="BR19" s="2" t="n">
        <v>44193.45163927351</v>
      </c>
      <c r="BS19" s="2" t="n">
        <v>856.8234444444444</v>
      </c>
      <c r="BT19" s="2" t="n">
        <v>410.2564102564103</v>
      </c>
      <c r="BU19" s="2" t="n">
        <v>9010.004671794872</v>
      </c>
      <c r="BV19" s="2" t="n">
        <v>10277.08452649573</v>
      </c>
      <c r="BW19" s="2" t="n">
        <v>54470.53616576923</v>
      </c>
      <c r="BX19" s="2" t="n">
        <v>29239.81</v>
      </c>
      <c r="BY19" s="2" t="n">
        <v>1168.2</v>
      </c>
      <c r="BZ19" s="2" t="n">
        <v>0</v>
      </c>
      <c r="CA19" s="2" t="n">
        <v>30408.01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1785.84</v>
      </c>
      <c r="L20" s="2" t="n">
        <v>148.6546444444445</v>
      </c>
      <c r="M20" s="2" t="n">
        <v>1653.555555555556</v>
      </c>
      <c r="N20" s="2" t="n">
        <v>0</v>
      </c>
      <c r="O20" s="2" t="n">
        <v>1645.4</v>
      </c>
      <c r="P20" s="2" t="n">
        <v>140.44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3062.08</v>
      </c>
      <c r="AP20" s="2" t="n">
        <v>4150</v>
      </c>
      <c r="AQ20" s="2" t="n">
        <v>2835.259259259259</v>
      </c>
      <c r="AR20" s="2" t="n">
        <v>0</v>
      </c>
      <c r="AS20" s="2" t="n">
        <v>2903.34</v>
      </c>
      <c r="AT20" s="2" t="n">
        <v>158.74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4847.92</v>
      </c>
      <c r="BB20" s="2" t="n">
        <v>4847.92</v>
      </c>
      <c r="BC20" s="2">
        <f>F20+L20+R20+X20+AD20+AJ20+AP20+AV20+IF(BE20="",0,BE20)</f>
        <v/>
      </c>
      <c r="BD20" s="2" t="n">
        <v>74.65796800000001</v>
      </c>
      <c r="BE20" s="2" t="n"/>
      <c r="BF20" s="2" t="n">
        <v>4488.814814814815</v>
      </c>
      <c r="BG20" s="2" t="n">
        <v>0</v>
      </c>
      <c r="BH20" s="2" t="n">
        <v>0</v>
      </c>
      <c r="BI20" s="2" t="n">
        <v>43215.42</v>
      </c>
      <c r="BJ20" s="2" t="n">
        <v>63.5491452991453</v>
      </c>
      <c r="BK20" s="2" t="n">
        <v>0</v>
      </c>
      <c r="BL20" s="2" t="n">
        <v>20</v>
      </c>
      <c r="BM20" s="2" t="n">
        <v>478.9743589743589</v>
      </c>
      <c r="BN20" s="2" t="n">
        <v>5</v>
      </c>
      <c r="BO20" s="2" t="n">
        <v>0</v>
      </c>
      <c r="BP20" s="2" t="n">
        <v>65.44692000000001</v>
      </c>
      <c r="BQ20" s="2" t="n">
        <v>0</v>
      </c>
      <c r="BR20" s="2" t="n">
        <v>43848.39042427351</v>
      </c>
      <c r="BS20" s="2" t="n">
        <v>856.8234444444444</v>
      </c>
      <c r="BT20" s="2" t="n">
        <v>410.2564102564103</v>
      </c>
      <c r="BU20" s="2" t="n">
        <v>9010.004671794872</v>
      </c>
      <c r="BV20" s="2" t="n">
        <v>10277.08452649573</v>
      </c>
      <c r="BW20" s="2" t="n">
        <v>54125.47495076923</v>
      </c>
      <c r="BX20" s="2" t="n">
        <v>4548.74</v>
      </c>
      <c r="BY20" s="2" t="n">
        <v>299.18</v>
      </c>
      <c r="BZ20" s="2" t="n">
        <v>0</v>
      </c>
      <c r="CA20" s="2" t="n">
        <v>4847.92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3821.29</v>
      </c>
      <c r="L21" s="2" t="n">
        <v>318.0870101851852</v>
      </c>
      <c r="M21" s="2" t="n">
        <v>3538.231481481481</v>
      </c>
      <c r="N21" s="2" t="n">
        <v>0</v>
      </c>
      <c r="O21" s="2" t="n">
        <v>1814.39</v>
      </c>
      <c r="P21" s="2" t="n">
        <v>2006.9</v>
      </c>
      <c r="Q21" s="2" t="n">
        <v>137.6</v>
      </c>
      <c r="R21" s="2" t="n">
        <v>9.555555555555554</v>
      </c>
      <c r="S21" s="2" t="n">
        <v>127.4074074074074</v>
      </c>
      <c r="T21" s="2" t="n">
        <v>0</v>
      </c>
      <c r="U21" s="2" t="n">
        <v>137.6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7735.68</v>
      </c>
      <c r="AP21" s="2" t="n">
        <v>4150</v>
      </c>
      <c r="AQ21" s="2" t="n">
        <v>7162.666666666666</v>
      </c>
      <c r="AR21" s="2" t="n">
        <v>0</v>
      </c>
      <c r="AS21" s="2" t="n">
        <v>6930.41</v>
      </c>
      <c r="AT21" s="2" t="n">
        <v>805.27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11694.57</v>
      </c>
      <c r="BB21" s="2" t="n">
        <v>11694.57</v>
      </c>
      <c r="BC21" s="2">
        <f>F21+L21+R21+X21+AD21+AJ21+AP21+AV21+IF(BE21="",0,BE21)</f>
        <v/>
      </c>
      <c r="BD21" s="2" t="n">
        <v>180.096378</v>
      </c>
      <c r="BE21" s="2" t="n"/>
      <c r="BF21" s="2" t="n">
        <v>10828.30555555555</v>
      </c>
      <c r="BG21" s="2" t="n">
        <v>0</v>
      </c>
      <c r="BH21" s="2" t="n">
        <v>0</v>
      </c>
      <c r="BI21" s="2" t="n">
        <v>43215.42</v>
      </c>
      <c r="BJ21" s="2" t="n">
        <v>63.5491452991453</v>
      </c>
      <c r="BK21" s="2" t="n">
        <v>0</v>
      </c>
      <c r="BL21" s="2" t="n">
        <v>20</v>
      </c>
      <c r="BM21" s="2" t="n">
        <v>478.9743589743589</v>
      </c>
      <c r="BN21" s="2" t="n">
        <v>5</v>
      </c>
      <c r="BO21" s="2" t="n">
        <v>0</v>
      </c>
      <c r="BP21" s="2" t="n">
        <v>157.876695</v>
      </c>
      <c r="BQ21" s="2" t="n">
        <v>0</v>
      </c>
      <c r="BR21" s="2" t="n">
        <v>43940.8201992735</v>
      </c>
      <c r="BS21" s="2" t="n">
        <v>856.8234444444444</v>
      </c>
      <c r="BT21" s="2" t="n">
        <v>410.2564102564103</v>
      </c>
      <c r="BU21" s="2" t="n">
        <v>9010.004671794872</v>
      </c>
      <c r="BV21" s="2" t="n">
        <v>10277.08452649573</v>
      </c>
      <c r="BW21" s="2" t="n">
        <v>54217.90472576923</v>
      </c>
      <c r="BX21" s="2" t="n">
        <v>8882.4</v>
      </c>
      <c r="BY21" s="2" t="n">
        <v>2812.17</v>
      </c>
      <c r="BZ21" s="2" t="n">
        <v>0</v>
      </c>
      <c r="CA21" s="2" t="n">
        <v>11694.57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222.63</v>
      </c>
      <c r="L22" s="2" t="n">
        <v>18.53188611111111</v>
      </c>
      <c r="M22" s="2" t="n">
        <v>206.1388888888889</v>
      </c>
      <c r="N22" s="2" t="n">
        <v>0</v>
      </c>
      <c r="O22" s="2" t="n">
        <v>222.63</v>
      </c>
      <c r="P22" s="2" t="n">
        <v>0</v>
      </c>
      <c r="Q22" s="2" t="n">
        <v>44</v>
      </c>
      <c r="R22" s="2" t="n">
        <v>3.055555555555555</v>
      </c>
      <c r="S22" s="2" t="n">
        <v>40.74074074074074</v>
      </c>
      <c r="T22" s="2" t="n">
        <v>0</v>
      </c>
      <c r="U22" s="2" t="n">
        <v>44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860.3099999999999</v>
      </c>
      <c r="AP22" s="2" t="n">
        <v>3500</v>
      </c>
      <c r="AQ22" s="2" t="n">
        <v>796.5833333333333</v>
      </c>
      <c r="AR22" s="2" t="n">
        <v>0</v>
      </c>
      <c r="AS22" s="2" t="n">
        <v>837.3099999999999</v>
      </c>
      <c r="AT22" s="2" t="n">
        <v>23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1126.94</v>
      </c>
      <c r="BB22" s="2" t="n">
        <v>1126.94</v>
      </c>
      <c r="BC22" s="2">
        <f>F22+L22+R22+X22+AD22+AJ22+AP22+AV22+IF(BE22="",0,BE22)</f>
        <v/>
      </c>
      <c r="BD22" s="2" t="n">
        <v>17.354876</v>
      </c>
      <c r="BE22" s="2" t="n"/>
      <c r="BF22" s="2" t="n">
        <v>1043.462962962963</v>
      </c>
      <c r="BG22" s="2" t="n">
        <v>0</v>
      </c>
      <c r="BH22" s="2" t="n">
        <v>0</v>
      </c>
      <c r="BI22" s="2" t="n">
        <v>43215.42</v>
      </c>
      <c r="BJ22" s="2" t="n">
        <v>63.5491452991453</v>
      </c>
      <c r="BK22" s="2" t="n">
        <v>0</v>
      </c>
      <c r="BL22" s="2" t="n">
        <v>20</v>
      </c>
      <c r="BM22" s="2" t="n">
        <v>478.9743589743589</v>
      </c>
      <c r="BN22" s="2" t="n">
        <v>5</v>
      </c>
      <c r="BO22" s="2" t="n">
        <v>0</v>
      </c>
      <c r="BP22" s="2" t="n">
        <v>15.21369</v>
      </c>
      <c r="BQ22" s="2" t="n">
        <v>0</v>
      </c>
      <c r="BR22" s="2" t="n">
        <v>43798.1571942735</v>
      </c>
      <c r="BS22" s="2" t="n">
        <v>856.8234444444444</v>
      </c>
      <c r="BT22" s="2" t="n">
        <v>410.2564102564103</v>
      </c>
      <c r="BU22" s="2" t="n">
        <v>9010.004671794872</v>
      </c>
      <c r="BV22" s="2" t="n">
        <v>10277.08452649573</v>
      </c>
      <c r="BW22" s="2" t="n">
        <v>54075.24172076923</v>
      </c>
      <c r="BX22" s="2" t="n">
        <v>1103.94</v>
      </c>
      <c r="BY22" s="2" t="n">
        <v>23</v>
      </c>
      <c r="BZ22" s="2" t="n">
        <v>0</v>
      </c>
      <c r="CA22" s="2" t="n">
        <v>1126.94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11343.26</v>
      </c>
      <c r="L23" s="2" t="n">
        <v>944.2213648148148</v>
      </c>
      <c r="M23" s="2" t="n">
        <v>10503.01851851852</v>
      </c>
      <c r="N23" s="2" t="n">
        <v>0</v>
      </c>
      <c r="O23" s="2" t="n">
        <v>10994.16</v>
      </c>
      <c r="P23" s="2" t="n">
        <v>349.1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13391.03</v>
      </c>
      <c r="AP23" s="2" t="n">
        <v>3500</v>
      </c>
      <c r="AQ23" s="2" t="n">
        <v>12399.10185185185</v>
      </c>
      <c r="AR23" s="2" t="n">
        <v>0</v>
      </c>
      <c r="AS23" s="2" t="n">
        <v>12880.79</v>
      </c>
      <c r="AT23" s="2" t="n">
        <v>510.24</v>
      </c>
      <c r="AU23" s="2" t="n">
        <v>7691.2</v>
      </c>
      <c r="AV23" s="2" t="n">
        <v>612.4474074074074</v>
      </c>
      <c r="AW23" s="2" t="n">
        <v>7121.481481481481</v>
      </c>
      <c r="AX23" s="2" t="n">
        <v>0</v>
      </c>
      <c r="AY23" s="2" t="n">
        <v>7476.55</v>
      </c>
      <c r="AZ23" s="2" t="n">
        <v>214.65</v>
      </c>
      <c r="BA23" s="2" t="n">
        <v>32425.49</v>
      </c>
      <c r="BB23" s="2" t="n">
        <v>32425.49</v>
      </c>
      <c r="BC23" s="2">
        <f>F23+L23+R23+X23+AD23+AJ23+AP23+AV23+IF(BE23="",0,BE23)</f>
        <v/>
      </c>
      <c r="BD23" s="2" t="n">
        <v>499.352546</v>
      </c>
      <c r="BE23" s="2" t="n"/>
      <c r="BF23" s="2" t="n">
        <v>30023.60185185185</v>
      </c>
      <c r="BG23" s="2" t="n">
        <v>0</v>
      </c>
      <c r="BH23" s="2" t="n">
        <v>0</v>
      </c>
      <c r="BI23" s="2" t="n">
        <v>43215.42</v>
      </c>
      <c r="BJ23" s="2" t="n">
        <v>63.5491452991453</v>
      </c>
      <c r="BK23" s="2" t="n">
        <v>0</v>
      </c>
      <c r="BL23" s="2" t="n">
        <v>20</v>
      </c>
      <c r="BM23" s="2" t="n">
        <v>478.9743589743589</v>
      </c>
      <c r="BN23" s="2" t="n">
        <v>5</v>
      </c>
      <c r="BO23" s="2" t="n">
        <v>0</v>
      </c>
      <c r="BP23" s="2" t="n">
        <v>437.744115</v>
      </c>
      <c r="BQ23" s="2" t="n">
        <v>0</v>
      </c>
      <c r="BR23" s="2" t="n">
        <v>44220.68761927351</v>
      </c>
      <c r="BS23" s="2" t="n">
        <v>856.8234444444444</v>
      </c>
      <c r="BT23" s="2" t="n">
        <v>410.2564102564103</v>
      </c>
      <c r="BU23" s="2" t="n">
        <v>9010.004671794872</v>
      </c>
      <c r="BV23" s="2" t="n">
        <v>10277.08452649573</v>
      </c>
      <c r="BW23" s="2" t="n">
        <v>54497.77214576923</v>
      </c>
      <c r="BX23" s="2" t="n">
        <v>31351.5</v>
      </c>
      <c r="BY23" s="2" t="n">
        <v>1073.99</v>
      </c>
      <c r="BZ23" s="2" t="n">
        <v>0</v>
      </c>
      <c r="CA23" s="2" t="n">
        <v>32425.49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4624.32</v>
      </c>
      <c r="L24" s="2" t="n">
        <v>384.9318222222222</v>
      </c>
      <c r="M24" s="2" t="n">
        <v>4281.777777777777</v>
      </c>
      <c r="N24" s="2" t="n">
        <v>0</v>
      </c>
      <c r="O24" s="2" t="n">
        <v>4379.92</v>
      </c>
      <c r="P24" s="2" t="n">
        <v>244.4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2244.93</v>
      </c>
      <c r="AJ24" s="2" t="n">
        <v>155.8979166666666</v>
      </c>
      <c r="AK24" s="2" t="n">
        <v>2078.638888888889</v>
      </c>
      <c r="AL24" s="2" t="n">
        <v>0</v>
      </c>
      <c r="AM24" s="2" t="n">
        <v>2015.55</v>
      </c>
      <c r="AN24" s="2" t="n">
        <v>229.38</v>
      </c>
      <c r="AO24" s="2" t="n">
        <v>1443.96</v>
      </c>
      <c r="AP24" s="2" t="n">
        <v>4200</v>
      </c>
      <c r="AQ24" s="2" t="n">
        <v>1337</v>
      </c>
      <c r="AR24" s="2" t="n">
        <v>0</v>
      </c>
      <c r="AS24" s="2" t="n">
        <v>1380.24</v>
      </c>
      <c r="AT24" s="2" t="n">
        <v>63.72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8313.209999999999</v>
      </c>
      <c r="BB24" s="2" t="n">
        <v>8313.209999999999</v>
      </c>
      <c r="BC24" s="2">
        <f>F24+L24+R24+X24+AD24+AJ24+AP24+AV24+IF(BE24="",0,BE24)</f>
        <v/>
      </c>
      <c r="BD24" s="2" t="n">
        <v>128.023434</v>
      </c>
      <c r="BE24" s="2" t="n"/>
      <c r="BF24" s="2" t="n">
        <v>7697.416666666666</v>
      </c>
      <c r="BG24" s="2" t="n">
        <v>0</v>
      </c>
      <c r="BH24" s="2" t="n">
        <v>0</v>
      </c>
      <c r="BI24" s="2" t="n">
        <v>43215.42</v>
      </c>
      <c r="BJ24" s="2" t="n">
        <v>63.5491452991453</v>
      </c>
      <c r="BK24" s="2" t="n">
        <v>0</v>
      </c>
      <c r="BL24" s="2" t="n">
        <v>20</v>
      </c>
      <c r="BM24" s="2" t="n">
        <v>478.9743589743589</v>
      </c>
      <c r="BN24" s="2" t="n">
        <v>5</v>
      </c>
      <c r="BO24" s="2" t="n">
        <v>0</v>
      </c>
      <c r="BP24" s="2" t="n">
        <v>112.228335</v>
      </c>
      <c r="BQ24" s="2" t="n">
        <v>0</v>
      </c>
      <c r="BR24" s="2" t="n">
        <v>43895.17183927351</v>
      </c>
      <c r="BS24" s="2" t="n">
        <v>856.8234444444444</v>
      </c>
      <c r="BT24" s="2" t="n">
        <v>410.2564102564103</v>
      </c>
      <c r="BU24" s="2" t="n">
        <v>9010.004671794872</v>
      </c>
      <c r="BV24" s="2" t="n">
        <v>10277.08452649573</v>
      </c>
      <c r="BW24" s="2" t="n">
        <v>54172.25636576923</v>
      </c>
      <c r="BX24" s="2" t="n">
        <v>7775.71</v>
      </c>
      <c r="BY24" s="2" t="n">
        <v>537.5</v>
      </c>
      <c r="BZ24" s="2" t="n">
        <v>0</v>
      </c>
      <c r="CA24" s="2" t="n">
        <v>8313.209999999999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49416.12</v>
      </c>
      <c r="L25" s="2" t="n">
        <v>4113.434433333334</v>
      </c>
      <c r="M25" s="2" t="n">
        <v>45755.66666666666</v>
      </c>
      <c r="N25" s="2" t="n">
        <v>0</v>
      </c>
      <c r="O25" s="2" t="n">
        <v>47189.54</v>
      </c>
      <c r="P25" s="2" t="n">
        <v>2226.58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688.51</v>
      </c>
      <c r="AJ25" s="2" t="n">
        <v>47.81319444444444</v>
      </c>
      <c r="AK25" s="2" t="n">
        <v>637.5092592592592</v>
      </c>
      <c r="AL25" s="2" t="n">
        <v>0</v>
      </c>
      <c r="AM25" s="2" t="n">
        <v>508.71</v>
      </c>
      <c r="AN25" s="2" t="n">
        <v>179.8</v>
      </c>
      <c r="AO25" s="2" t="n">
        <v>2225.02</v>
      </c>
      <c r="AP25" s="2" t="n">
        <v>162.7560925925926</v>
      </c>
      <c r="AQ25" s="2" t="n">
        <v>2060.203703703703</v>
      </c>
      <c r="AR25" s="2" t="n">
        <v>0</v>
      </c>
      <c r="AS25" s="2" t="n">
        <v>1911.57</v>
      </c>
      <c r="AT25" s="2" t="n">
        <v>313.45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52329.65</v>
      </c>
      <c r="BB25" s="2" t="n">
        <v>52329.65</v>
      </c>
      <c r="BC25" s="2">
        <f>F25+L25+R25+X25+AD25+AJ25+AP25+AV25+IF(BE25="",0,BE25)</f>
        <v/>
      </c>
      <c r="BD25" s="2" t="n">
        <v>805.8766100000001</v>
      </c>
      <c r="BE25" s="2" t="n"/>
      <c r="BF25" s="2" t="n">
        <v>48453.37962962963</v>
      </c>
      <c r="BG25" s="2" t="n">
        <v>0</v>
      </c>
      <c r="BH25" s="2" t="n">
        <v>0</v>
      </c>
      <c r="BI25" s="2" t="n">
        <v>43215.42</v>
      </c>
      <c r="BJ25" s="2" t="n">
        <v>63.5491452991453</v>
      </c>
      <c r="BK25" s="2" t="n">
        <v>0</v>
      </c>
      <c r="BL25" s="2" t="n">
        <v>20</v>
      </c>
      <c r="BM25" s="2" t="n">
        <v>478.9743589743589</v>
      </c>
      <c r="BN25" s="2" t="n">
        <v>5</v>
      </c>
      <c r="BO25" s="2" t="n">
        <v>0</v>
      </c>
      <c r="BP25" s="2" t="n">
        <v>706.450275</v>
      </c>
      <c r="BQ25" s="2" t="n">
        <v>0</v>
      </c>
      <c r="BR25" s="2" t="n">
        <v>44489.39377927351</v>
      </c>
      <c r="BS25" s="2" t="n">
        <v>856.8234444444444</v>
      </c>
      <c r="BT25" s="2" t="n">
        <v>410.2564102564103</v>
      </c>
      <c r="BU25" s="2" t="n">
        <v>9010.004671794872</v>
      </c>
      <c r="BV25" s="2" t="n">
        <v>10277.08452649573</v>
      </c>
      <c r="BW25" s="2" t="n">
        <v>54766.47830576923</v>
      </c>
      <c r="BX25" s="2" t="n">
        <v>49609.82</v>
      </c>
      <c r="BY25" s="2" t="n">
        <v>2719.83</v>
      </c>
      <c r="BZ25" s="2" t="n">
        <v>0</v>
      </c>
      <c r="CA25" s="2" t="n">
        <v>52329.65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33360.23</v>
      </c>
      <c r="L26" s="2" t="n">
        <v>2776.930256481481</v>
      </c>
      <c r="M26" s="2" t="n">
        <v>30889.10185185185</v>
      </c>
      <c r="N26" s="2" t="n">
        <v>0</v>
      </c>
      <c r="O26" s="2" t="n">
        <v>31193.32</v>
      </c>
      <c r="P26" s="2" t="n">
        <v>2166.91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682.79</v>
      </c>
      <c r="AJ26" s="2" t="n">
        <v>47.41597222222222</v>
      </c>
      <c r="AK26" s="2" t="n">
        <v>632.2129629629629</v>
      </c>
      <c r="AL26" s="2" t="n">
        <v>0</v>
      </c>
      <c r="AM26" s="2" t="n">
        <v>647.79</v>
      </c>
      <c r="AN26" s="2" t="n">
        <v>35</v>
      </c>
      <c r="AO26" s="2" t="n">
        <v>2010.04</v>
      </c>
      <c r="AP26" s="2" t="n">
        <v>147.0307037037037</v>
      </c>
      <c r="AQ26" s="2" t="n">
        <v>1861.148148148148</v>
      </c>
      <c r="AR26" s="2" t="n">
        <v>0</v>
      </c>
      <c r="AS26" s="2" t="n">
        <v>1880.55</v>
      </c>
      <c r="AT26" s="2" t="n">
        <v>129.49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36053.06</v>
      </c>
      <c r="BB26" s="2" t="n">
        <v>36053.06</v>
      </c>
      <c r="BC26" s="2">
        <f>F26+L26+R26+X26+AD26+AJ26+AP26+AV26+IF(BE26="",0,BE26)</f>
        <v/>
      </c>
      <c r="BD26" s="2" t="n">
        <v>555.2171239999999</v>
      </c>
      <c r="BE26" s="2" t="n"/>
      <c r="BF26" s="2" t="n">
        <v>33382.46296296296</v>
      </c>
      <c r="BG26" s="2" t="n">
        <v>0</v>
      </c>
      <c r="BH26" s="2" t="n">
        <v>0</v>
      </c>
      <c r="BI26" s="2" t="n">
        <v>43215.42</v>
      </c>
      <c r="BJ26" s="2" t="n">
        <v>63.5491452991453</v>
      </c>
      <c r="BK26" s="2" t="n">
        <v>0</v>
      </c>
      <c r="BL26" s="2" t="n">
        <v>20</v>
      </c>
      <c r="BM26" s="2" t="n">
        <v>478.9743589743589</v>
      </c>
      <c r="BN26" s="2" t="n">
        <v>5</v>
      </c>
      <c r="BO26" s="2" t="n">
        <v>0</v>
      </c>
      <c r="BP26" s="2" t="n">
        <v>486.71631</v>
      </c>
      <c r="BQ26" s="2" t="n">
        <v>0</v>
      </c>
      <c r="BR26" s="2" t="n">
        <v>44269.65981427351</v>
      </c>
      <c r="BS26" s="2" t="n">
        <v>856.8234444444444</v>
      </c>
      <c r="BT26" s="2" t="n">
        <v>410.2564102564103</v>
      </c>
      <c r="BU26" s="2" t="n">
        <v>9010.004671794872</v>
      </c>
      <c r="BV26" s="2" t="n">
        <v>10277.08452649573</v>
      </c>
      <c r="BW26" s="2" t="n">
        <v>54546.74434076923</v>
      </c>
      <c r="BX26" s="2" t="n">
        <v>33721.66</v>
      </c>
      <c r="BY26" s="2" t="n">
        <v>2331.4</v>
      </c>
      <c r="BZ26" s="2" t="n">
        <v>0</v>
      </c>
      <c r="CA26" s="2" t="n">
        <v>36053.06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3258.42</v>
      </c>
      <c r="L27" s="2" t="n">
        <v>271.2332944444444</v>
      </c>
      <c r="M27" s="2" t="n">
        <v>3017.055555555555</v>
      </c>
      <c r="N27" s="2" t="n">
        <v>0</v>
      </c>
      <c r="O27" s="2" t="n">
        <v>2676.02</v>
      </c>
      <c r="P27" s="2" t="n">
        <v>582.4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508.92</v>
      </c>
      <c r="AD27" s="2" t="n">
        <v>32.51433333333333</v>
      </c>
      <c r="AE27" s="2" t="n">
        <v>471.2222222222222</v>
      </c>
      <c r="AF27" s="2" t="n">
        <v>0</v>
      </c>
      <c r="AG27" s="2" t="n">
        <v>356.51</v>
      </c>
      <c r="AH27" s="2" t="n">
        <v>152.41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2876.54</v>
      </c>
      <c r="AP27" s="2" t="n">
        <v>210.413574074074</v>
      </c>
      <c r="AQ27" s="2" t="n">
        <v>2663.462962962963</v>
      </c>
      <c r="AR27" s="2" t="n">
        <v>0</v>
      </c>
      <c r="AS27" s="2" t="n">
        <v>2473.65</v>
      </c>
      <c r="AT27" s="2" t="n">
        <v>402.89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6643.88</v>
      </c>
      <c r="BB27" s="2" t="n">
        <v>6643.88</v>
      </c>
      <c r="BC27" s="2">
        <f>F27+L27+R27+X27+AD27+AJ27+AP27+AV27+IF(BE27="",0,BE27)</f>
        <v/>
      </c>
      <c r="BD27" s="2" t="n">
        <v>102.315752</v>
      </c>
      <c r="BE27" s="2" t="n"/>
      <c r="BF27" s="2" t="n">
        <v>6151.74074074074</v>
      </c>
      <c r="BG27" s="2" t="n">
        <v>518</v>
      </c>
      <c r="BH27" s="2" t="n">
        <v>352</v>
      </c>
      <c r="BI27" s="2" t="n">
        <v>43215.42</v>
      </c>
      <c r="BJ27" s="2" t="n">
        <v>63.5491452991453</v>
      </c>
      <c r="BK27" s="2" t="n">
        <v>0</v>
      </c>
      <c r="BL27" s="2" t="n">
        <v>20</v>
      </c>
      <c r="BM27" s="2" t="n">
        <v>478.9743589743589</v>
      </c>
      <c r="BN27" s="2" t="n">
        <v>5</v>
      </c>
      <c r="BO27" s="2" t="n">
        <v>0</v>
      </c>
      <c r="BP27" s="2" t="n">
        <v>89.69237999999999</v>
      </c>
      <c r="BQ27" s="2" t="n">
        <v>0</v>
      </c>
      <c r="BR27" s="2" t="n">
        <v>44742.63588427351</v>
      </c>
      <c r="BS27" s="2" t="n">
        <v>856.8234444444444</v>
      </c>
      <c r="BT27" s="2" t="n">
        <v>410.2564102564103</v>
      </c>
      <c r="BU27" s="2" t="n">
        <v>9184.004671794872</v>
      </c>
      <c r="BV27" s="2" t="n">
        <v>10451.08452649573</v>
      </c>
      <c r="BW27" s="2" t="n">
        <v>55193.72041076923</v>
      </c>
      <c r="BX27" s="2" t="n">
        <v>5506.18</v>
      </c>
      <c r="BY27" s="2" t="n">
        <v>1137.7</v>
      </c>
      <c r="BZ27" s="2" t="n">
        <v>0</v>
      </c>
      <c r="CA27" s="2" t="n">
        <v>6643.88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1986.94</v>
      </c>
      <c r="L28" s="2" t="n">
        <v>165.3943574074074</v>
      </c>
      <c r="M28" s="2" t="n">
        <v>1839.759259259259</v>
      </c>
      <c r="N28" s="2" t="n">
        <v>0</v>
      </c>
      <c r="O28" s="2" t="n">
        <v>1967.94</v>
      </c>
      <c r="P28" s="2" t="n">
        <v>19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7604.2</v>
      </c>
      <c r="AD28" s="2" t="n">
        <v>485.8238888888889</v>
      </c>
      <c r="AE28" s="2" t="n">
        <v>7040.925925925925</v>
      </c>
      <c r="AF28" s="2" t="n">
        <v>0</v>
      </c>
      <c r="AG28" s="2" t="n">
        <v>7149.95</v>
      </c>
      <c r="AH28" s="2" t="n">
        <v>454.25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9591.139999999999</v>
      </c>
      <c r="BB28" s="2" t="n">
        <v>9591.139999999999</v>
      </c>
      <c r="BC28" s="2">
        <f>F28+L28+R28+X28+AD28+AJ28+AP28+AV28+IF(BE28="",0,BE28)</f>
        <v/>
      </c>
      <c r="BD28" s="2" t="n">
        <v>147.703556</v>
      </c>
      <c r="BE28" s="2" t="n"/>
      <c r="BF28" s="2" t="n">
        <v>8880.685185185184</v>
      </c>
      <c r="BG28" s="2" t="n">
        <v>400</v>
      </c>
      <c r="BH28" s="2" t="n">
        <v>241.5</v>
      </c>
      <c r="BI28" s="2" t="n">
        <v>43215.42</v>
      </c>
      <c r="BJ28" s="2" t="n">
        <v>63.5491452991453</v>
      </c>
      <c r="BK28" s="2" t="n">
        <v>0</v>
      </c>
      <c r="BL28" s="2" t="n">
        <v>20</v>
      </c>
      <c r="BM28" s="2" t="n">
        <v>478.9743589743589</v>
      </c>
      <c r="BN28" s="2" t="n">
        <v>5</v>
      </c>
      <c r="BO28" s="2" t="n">
        <v>0</v>
      </c>
      <c r="BP28" s="2" t="n">
        <v>129.48039</v>
      </c>
      <c r="BQ28" s="2" t="n">
        <v>0</v>
      </c>
      <c r="BR28" s="2" t="n">
        <v>44553.9238942735</v>
      </c>
      <c r="BS28" s="2" t="n">
        <v>856.8234444444444</v>
      </c>
      <c r="BT28" s="2" t="n">
        <v>410.2564102564103</v>
      </c>
      <c r="BU28" s="2" t="n">
        <v>9138.304671794873</v>
      </c>
      <c r="BV28" s="2" t="n">
        <v>10405.38452649573</v>
      </c>
      <c r="BW28" s="2" t="n">
        <v>54959.30842076923</v>
      </c>
      <c r="BX28" s="2" t="n">
        <v>9117.889999999999</v>
      </c>
      <c r="BY28" s="2" t="n">
        <v>473.25</v>
      </c>
      <c r="BZ28" s="2" t="n">
        <v>0</v>
      </c>
      <c r="CA28" s="2" t="n">
        <v>9591.139999999999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1502.08</v>
      </c>
      <c r="L29" s="2" t="n">
        <v>125.0342518518519</v>
      </c>
      <c r="M29" s="2" t="n">
        <v>1390.814814814815</v>
      </c>
      <c r="N29" s="2" t="n">
        <v>0</v>
      </c>
      <c r="O29" s="2" t="n">
        <v>1440.14</v>
      </c>
      <c r="P29" s="2" t="n">
        <v>61.94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3038.77</v>
      </c>
      <c r="AD29" s="2" t="n">
        <v>194.1436388888889</v>
      </c>
      <c r="AE29" s="2" t="n">
        <v>2813.675925925926</v>
      </c>
      <c r="AF29" s="2" t="n">
        <v>0</v>
      </c>
      <c r="AG29" s="2" t="n">
        <v>2910.1</v>
      </c>
      <c r="AH29" s="2" t="n">
        <v>128.67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984.29</v>
      </c>
      <c r="AP29" s="2" t="n">
        <v>71.99899074074074</v>
      </c>
      <c r="AQ29" s="2" t="n">
        <v>911.3796296296296</v>
      </c>
      <c r="AR29" s="2" t="n">
        <v>0</v>
      </c>
      <c r="AS29" s="2" t="n">
        <v>836.85</v>
      </c>
      <c r="AT29" s="2" t="n">
        <v>147.44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5525.14</v>
      </c>
      <c r="BB29" s="2" t="n">
        <v>5525.14</v>
      </c>
      <c r="BC29" s="2">
        <f>F29+L29+R29+X29+AD29+AJ29+AP29+AV29+IF(BE29="",0,BE29)</f>
        <v/>
      </c>
      <c r="BD29" s="2" t="n">
        <v>85.08715600000001</v>
      </c>
      <c r="BE29" s="2" t="n"/>
      <c r="BF29" s="2" t="n">
        <v>5115.87037037037</v>
      </c>
      <c r="BG29" s="2" t="n">
        <v>362.68</v>
      </c>
      <c r="BH29" s="2" t="n">
        <v>246</v>
      </c>
      <c r="BI29" s="2" t="n">
        <v>43215.42</v>
      </c>
      <c r="BJ29" s="2" t="n">
        <v>63.5491452991453</v>
      </c>
      <c r="BK29" s="2" t="n">
        <v>0</v>
      </c>
      <c r="BL29" s="2" t="n">
        <v>20</v>
      </c>
      <c r="BM29" s="2" t="n">
        <v>478.9743589743589</v>
      </c>
      <c r="BN29" s="2" t="n">
        <v>5</v>
      </c>
      <c r="BO29" s="2" t="n">
        <v>0</v>
      </c>
      <c r="BP29" s="2" t="n">
        <v>74.58939000000001</v>
      </c>
      <c r="BQ29" s="2" t="n">
        <v>0</v>
      </c>
      <c r="BR29" s="2" t="n">
        <v>44466.21289427351</v>
      </c>
      <c r="BS29" s="2" t="n">
        <v>856.8234444444444</v>
      </c>
      <c r="BT29" s="2" t="n">
        <v>410.2564102564103</v>
      </c>
      <c r="BU29" s="2" t="n">
        <v>9131.740671794872</v>
      </c>
      <c r="BV29" s="2" t="n">
        <v>10398.82052649573</v>
      </c>
      <c r="BW29" s="2" t="n">
        <v>54865.03342076924</v>
      </c>
      <c r="BX29" s="2" t="n">
        <v>5187.09</v>
      </c>
      <c r="BY29" s="2" t="n">
        <v>338.05</v>
      </c>
      <c r="BZ29" s="2" t="n">
        <v>0</v>
      </c>
      <c r="CA29" s="2" t="n">
        <v>5525.14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3674.72</v>
      </c>
      <c r="L30" s="2" t="n">
        <v>305.8864148148148</v>
      </c>
      <c r="M30" s="2" t="n">
        <v>3402.518518518518</v>
      </c>
      <c r="N30" s="2" t="n">
        <v>0</v>
      </c>
      <c r="O30" s="2" t="n">
        <v>3414.72</v>
      </c>
      <c r="P30" s="2" t="n">
        <v>260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3319.9</v>
      </c>
      <c r="AD30" s="2" t="n">
        <v>212.1047222222222</v>
      </c>
      <c r="AE30" s="2" t="n">
        <v>3073.981481481481</v>
      </c>
      <c r="AF30" s="2" t="n">
        <v>0</v>
      </c>
      <c r="AG30" s="2" t="n">
        <v>3165.55</v>
      </c>
      <c r="AH30" s="2" t="n">
        <v>154.35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1726.18</v>
      </c>
      <c r="AP30" s="2" t="n">
        <v>126.2668703703704</v>
      </c>
      <c r="AQ30" s="2" t="n">
        <v>1598.314814814815</v>
      </c>
      <c r="AR30" s="2" t="n">
        <v>0</v>
      </c>
      <c r="AS30" s="2" t="n">
        <v>1669.58</v>
      </c>
      <c r="AT30" s="2" t="n">
        <v>56.6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8720.799999999999</v>
      </c>
      <c r="BB30" s="2" t="n">
        <v>8720.799999999999</v>
      </c>
      <c r="BC30" s="2">
        <f>F30+L30+R30+X30+AD30+AJ30+AP30+AV30+IF(BE30="",0,BE30)</f>
        <v/>
      </c>
      <c r="BD30" s="2" t="n">
        <v>134.30032</v>
      </c>
      <c r="BE30" s="2" t="n"/>
      <c r="BF30" s="2" t="n">
        <v>8074.814814814815</v>
      </c>
      <c r="BG30" s="2" t="n">
        <v>300</v>
      </c>
      <c r="BH30" s="2" t="n">
        <v>340.5</v>
      </c>
      <c r="BI30" s="2" t="n">
        <v>43215.42</v>
      </c>
      <c r="BJ30" s="2" t="n">
        <v>63.5491452991453</v>
      </c>
      <c r="BK30" s="2" t="n">
        <v>0</v>
      </c>
      <c r="BL30" s="2" t="n">
        <v>20</v>
      </c>
      <c r="BM30" s="2" t="n">
        <v>478.9743589743589</v>
      </c>
      <c r="BN30" s="2" t="n">
        <v>5</v>
      </c>
      <c r="BO30" s="2" t="n">
        <v>0</v>
      </c>
      <c r="BP30" s="2" t="n">
        <v>117.7308</v>
      </c>
      <c r="BQ30" s="2" t="n">
        <v>0</v>
      </c>
      <c r="BR30" s="2" t="n">
        <v>44541.1743042735</v>
      </c>
      <c r="BS30" s="2" t="n">
        <v>856.8234444444444</v>
      </c>
      <c r="BT30" s="2" t="n">
        <v>410.2564102564103</v>
      </c>
      <c r="BU30" s="2" t="n">
        <v>9138.104671794872</v>
      </c>
      <c r="BV30" s="2" t="n">
        <v>10405.18452649573</v>
      </c>
      <c r="BW30" s="2" t="n">
        <v>54946.35883076923</v>
      </c>
      <c r="BX30" s="2" t="n">
        <v>8249.85</v>
      </c>
      <c r="BY30" s="2" t="n">
        <v>470.95</v>
      </c>
      <c r="BZ30" s="2" t="n">
        <v>0</v>
      </c>
      <c r="CA30" s="2" t="n">
        <v>8720.800000000001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2291.33</v>
      </c>
      <c r="L31" s="2" t="n">
        <v>190.7320064814815</v>
      </c>
      <c r="M31" s="2" t="n">
        <v>2121.601851851852</v>
      </c>
      <c r="N31" s="2" t="n">
        <v>0</v>
      </c>
      <c r="O31" s="2" t="n">
        <v>2069.88</v>
      </c>
      <c r="P31" s="2" t="n">
        <v>221.45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266.7</v>
      </c>
      <c r="AD31" s="2" t="n">
        <v>17.03916666666667</v>
      </c>
      <c r="AE31" s="2" t="n">
        <v>246.9444444444444</v>
      </c>
      <c r="AF31" s="2" t="n">
        <v>0</v>
      </c>
      <c r="AG31" s="2" t="n">
        <v>215.84</v>
      </c>
      <c r="AH31" s="2" t="n">
        <v>50.86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1739.46</v>
      </c>
      <c r="AP31" s="2" t="n">
        <v>127.2382777777778</v>
      </c>
      <c r="AQ31" s="2" t="n">
        <v>1610.611111111111</v>
      </c>
      <c r="AR31" s="2" t="n">
        <v>0</v>
      </c>
      <c r="AS31" s="2" t="n">
        <v>1622.84</v>
      </c>
      <c r="AT31" s="2" t="n">
        <v>116.62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4297.49</v>
      </c>
      <c r="BB31" s="2" t="n">
        <v>4297.49</v>
      </c>
      <c r="BC31" s="2">
        <f>F31+L31+R31+X31+AD31+AJ31+AP31+AV31+IF(BE31="",0,BE31)</f>
        <v/>
      </c>
      <c r="BD31" s="2" t="n">
        <v>66.181346</v>
      </c>
      <c r="BE31" s="2" t="n"/>
      <c r="BF31" s="2" t="n">
        <v>3979.157407407407</v>
      </c>
      <c r="BG31" s="2" t="n">
        <v>250</v>
      </c>
      <c r="BH31" s="2" t="n">
        <v>182.45</v>
      </c>
      <c r="BI31" s="2" t="n">
        <v>43215.42</v>
      </c>
      <c r="BJ31" s="2" t="n">
        <v>63.5491452991453</v>
      </c>
      <c r="BK31" s="2" t="n">
        <v>0</v>
      </c>
      <c r="BL31" s="2" t="n">
        <v>20</v>
      </c>
      <c r="BM31" s="2" t="n">
        <v>478.9743589743589</v>
      </c>
      <c r="BN31" s="2" t="n">
        <v>5</v>
      </c>
      <c r="BO31" s="2" t="n">
        <v>0</v>
      </c>
      <c r="BP31" s="2" t="n">
        <v>58.016115</v>
      </c>
      <c r="BQ31" s="2" t="n">
        <v>0</v>
      </c>
      <c r="BR31" s="2" t="n">
        <v>44273.4096192735</v>
      </c>
      <c r="BS31" s="2" t="n">
        <v>856.8234444444444</v>
      </c>
      <c r="BT31" s="2" t="n">
        <v>410.2564102564103</v>
      </c>
      <c r="BU31" s="2" t="n">
        <v>9096.494671794871</v>
      </c>
      <c r="BV31" s="2" t="n">
        <v>10363.57452649573</v>
      </c>
      <c r="BW31" s="2" t="n">
        <v>54636.98414576922</v>
      </c>
      <c r="BX31" s="2" t="n">
        <v>3908.56</v>
      </c>
      <c r="BY31" s="2" t="n">
        <v>388.93</v>
      </c>
      <c r="BZ31" s="2" t="n">
        <v>0</v>
      </c>
      <c r="CA31" s="2" t="n">
        <v>4297.490000000001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3876.6</v>
      </c>
      <c r="AD32" s="2" t="n">
        <v>247.6716666666667</v>
      </c>
      <c r="AE32" s="2" t="n">
        <v>3589.444444444444</v>
      </c>
      <c r="AF32" s="2" t="n">
        <v>0</v>
      </c>
      <c r="AG32" s="2" t="n">
        <v>2913.57</v>
      </c>
      <c r="AH32" s="2" t="n">
        <v>963.03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1080.03</v>
      </c>
      <c r="AP32" s="2" t="n">
        <v>79.00219444444444</v>
      </c>
      <c r="AQ32" s="2" t="n">
        <v>1000.027777777778</v>
      </c>
      <c r="AR32" s="2" t="n">
        <v>0</v>
      </c>
      <c r="AS32" s="2" t="n">
        <v>1033.96</v>
      </c>
      <c r="AT32" s="2" t="n">
        <v>46.07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4956.63</v>
      </c>
      <c r="BB32" s="2" t="n">
        <v>4956.63</v>
      </c>
      <c r="BC32" s="2">
        <f>F32+L32+R32+X32+AD32+AJ32+AP32+AV32+IF(BE32="",0,BE32)</f>
        <v/>
      </c>
      <c r="BD32" s="2" t="n">
        <v>76.33210200000001</v>
      </c>
      <c r="BE32" s="2" t="n"/>
      <c r="BF32" s="2" t="n">
        <v>4589.472222222222</v>
      </c>
      <c r="BG32" s="2" t="n">
        <v>0</v>
      </c>
      <c r="BH32" s="2" t="n">
        <v>0</v>
      </c>
      <c r="BI32" s="2" t="n">
        <v>43215.42</v>
      </c>
      <c r="BJ32" s="2" t="n">
        <v>63.5491452991453</v>
      </c>
      <c r="BK32" s="2" t="n">
        <v>0</v>
      </c>
      <c r="BL32" s="2" t="n">
        <v>20</v>
      </c>
      <c r="BM32" s="2" t="n">
        <v>478.9743589743589</v>
      </c>
      <c r="BN32" s="2" t="n">
        <v>5</v>
      </c>
      <c r="BO32" s="2" t="n">
        <v>0</v>
      </c>
      <c r="BP32" s="2" t="n">
        <v>66.91450500000001</v>
      </c>
      <c r="BQ32" s="2" t="n">
        <v>0</v>
      </c>
      <c r="BR32" s="2" t="n">
        <v>43849.85800927351</v>
      </c>
      <c r="BS32" s="2" t="n">
        <v>856.8234444444444</v>
      </c>
      <c r="BT32" s="2" t="n">
        <v>410.2564102564103</v>
      </c>
      <c r="BU32" s="2" t="n">
        <v>9010.004671794872</v>
      </c>
      <c r="BV32" s="2" t="n">
        <v>10277.08452649573</v>
      </c>
      <c r="BW32" s="2" t="n">
        <v>54126.94253576923</v>
      </c>
      <c r="BX32" s="2" t="n">
        <v>3947.53</v>
      </c>
      <c r="BY32" s="2" t="n">
        <v>1009.1</v>
      </c>
      <c r="BZ32" s="2" t="n">
        <v>0</v>
      </c>
      <c r="CA32" s="2" t="n">
        <v>4956.63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3138.84</v>
      </c>
      <c r="L33" s="2" t="n">
        <v>261.2793666666667</v>
      </c>
      <c r="M33" s="2" t="n">
        <v>2906.333333333333</v>
      </c>
      <c r="N33" s="2" t="n">
        <v>0</v>
      </c>
      <c r="O33" s="2" t="n">
        <v>2736.98</v>
      </c>
      <c r="P33" s="2" t="n">
        <v>401.86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2476.81</v>
      </c>
      <c r="AD33" s="2" t="n">
        <v>158.2406388888889</v>
      </c>
      <c r="AE33" s="2" t="n">
        <v>2293.342592592593</v>
      </c>
      <c r="AF33" s="2" t="n">
        <v>0</v>
      </c>
      <c r="AG33" s="2" t="n">
        <v>1926.38</v>
      </c>
      <c r="AH33" s="2" t="n">
        <v>550.4299999999999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2491.5</v>
      </c>
      <c r="AP33" s="2" t="n">
        <v>182.2486111111111</v>
      </c>
      <c r="AQ33" s="2" t="n">
        <v>2306.944444444444</v>
      </c>
      <c r="AR33" s="2" t="n">
        <v>0</v>
      </c>
      <c r="AS33" s="2" t="n">
        <v>1964.89</v>
      </c>
      <c r="AT33" s="2" t="n">
        <v>526.61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8107.15</v>
      </c>
      <c r="BB33" s="2" t="n">
        <v>8107.15</v>
      </c>
      <c r="BC33" s="2">
        <f>F33+L33+R33+X33+AD33+AJ33+AP33+AV33+IF(BE33="",0,BE33)</f>
        <v/>
      </c>
      <c r="BD33" s="2" t="n">
        <v>124.85011</v>
      </c>
      <c r="BE33" s="2" t="n"/>
      <c r="BF33" s="2" t="n">
        <v>7506.62037037037</v>
      </c>
      <c r="BG33" s="2" t="n">
        <v>300</v>
      </c>
      <c r="BH33" s="2" t="n">
        <v>225</v>
      </c>
      <c r="BI33" s="2" t="n">
        <v>43215.42</v>
      </c>
      <c r="BJ33" s="2" t="n">
        <v>63.5491452991453</v>
      </c>
      <c r="BK33" s="2" t="n">
        <v>0</v>
      </c>
      <c r="BL33" s="2" t="n">
        <v>20</v>
      </c>
      <c r="BM33" s="2" t="n">
        <v>478.9743589743589</v>
      </c>
      <c r="BN33" s="2" t="n">
        <v>5</v>
      </c>
      <c r="BO33" s="2" t="n">
        <v>0</v>
      </c>
      <c r="BP33" s="2" t="n">
        <v>109.446525</v>
      </c>
      <c r="BQ33" s="2" t="n">
        <v>0</v>
      </c>
      <c r="BR33" s="2" t="n">
        <v>44417.39002927351</v>
      </c>
      <c r="BS33" s="2" t="n">
        <v>856.8234444444444</v>
      </c>
      <c r="BT33" s="2" t="n">
        <v>410.2564102564103</v>
      </c>
      <c r="BU33" s="2" t="n">
        <v>9115.004671794872</v>
      </c>
      <c r="BV33" s="2" t="n">
        <v>10382.08452649573</v>
      </c>
      <c r="BW33" s="2" t="n">
        <v>54799.47455576923</v>
      </c>
      <c r="BX33" s="2" t="n">
        <v>6628.250000000001</v>
      </c>
      <c r="BY33" s="2" t="n">
        <v>1478.9</v>
      </c>
      <c r="BZ33" s="2" t="n">
        <v>0</v>
      </c>
      <c r="CA33" s="2" t="n">
        <v>8107.150000000001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7895.7</v>
      </c>
      <c r="L34" s="2" t="n">
        <v>657.2439166666667</v>
      </c>
      <c r="M34" s="2" t="n">
        <v>7310.833333333333</v>
      </c>
      <c r="N34" s="2" t="n">
        <v>0</v>
      </c>
      <c r="O34" s="2" t="n">
        <v>7405.99</v>
      </c>
      <c r="P34" s="2" t="n">
        <v>489.71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7488.51</v>
      </c>
      <c r="AP34" s="2" t="n">
        <v>547.7706388888889</v>
      </c>
      <c r="AQ34" s="2" t="n">
        <v>6933.805555555556</v>
      </c>
      <c r="AR34" s="2" t="n">
        <v>0</v>
      </c>
      <c r="AS34" s="2" t="n">
        <v>7038.21</v>
      </c>
      <c r="AT34" s="2" t="n">
        <v>450.3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15384.21</v>
      </c>
      <c r="BB34" s="2" t="n">
        <v>15384.21</v>
      </c>
      <c r="BC34" s="2">
        <f>F34+L34+R34+X34+AD34+AJ34+AP34+AV34+IF(BE34="",0,BE34)</f>
        <v/>
      </c>
      <c r="BD34" s="2" t="n">
        <v>236.916834</v>
      </c>
      <c r="BE34" s="2" t="n"/>
      <c r="BF34" s="2" t="n">
        <v>14244.63888888889</v>
      </c>
      <c r="BG34" s="2" t="n">
        <v>0</v>
      </c>
      <c r="BH34" s="2" t="n">
        <v>0</v>
      </c>
      <c r="BI34" s="2" t="n">
        <v>43215.42</v>
      </c>
      <c r="BJ34" s="2" t="n">
        <v>63.5491452991453</v>
      </c>
      <c r="BK34" s="2" t="n">
        <v>0</v>
      </c>
      <c r="BL34" s="2" t="n">
        <v>20</v>
      </c>
      <c r="BM34" s="2" t="n">
        <v>478.9743589743589</v>
      </c>
      <c r="BN34" s="2" t="n">
        <v>5</v>
      </c>
      <c r="BO34" s="2" t="n">
        <v>0</v>
      </c>
      <c r="BP34" s="2" t="n">
        <v>207.686835</v>
      </c>
      <c r="BQ34" s="2" t="n">
        <v>0</v>
      </c>
      <c r="BR34" s="2" t="n">
        <v>43990.63033927351</v>
      </c>
      <c r="BS34" s="2" t="n">
        <v>856.8234444444444</v>
      </c>
      <c r="BT34" s="2" t="n">
        <v>410.2564102564103</v>
      </c>
      <c r="BU34" s="2" t="n">
        <v>9010.004671794872</v>
      </c>
      <c r="BV34" s="2" t="n">
        <v>10277.08452649573</v>
      </c>
      <c r="BW34" s="2" t="n">
        <v>54267.71486576923</v>
      </c>
      <c r="BX34" s="2" t="n">
        <v>14444.2</v>
      </c>
      <c r="BY34" s="2" t="n">
        <v>940.01</v>
      </c>
      <c r="BZ34" s="2" t="n">
        <v>0</v>
      </c>
      <c r="CA34" s="2" t="n">
        <v>15384.21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0.17</v>
      </c>
      <c r="AP35" s="2" t="n">
        <v>0</v>
      </c>
      <c r="AQ35" s="2" t="n">
        <v>0.1574074074074074</v>
      </c>
      <c r="AR35" s="2" t="n">
        <v>0</v>
      </c>
      <c r="AS35" s="2" t="n">
        <v>0.17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0.17</v>
      </c>
      <c r="BB35" s="2" t="n">
        <v>0.17</v>
      </c>
      <c r="BC35" s="2">
        <f>F35+L35+R35+X35+AD35+AJ35+AP35+AV35+IF(BE35="",0,BE35)</f>
        <v/>
      </c>
      <c r="BD35" s="2" t="n">
        <v>0.002618</v>
      </c>
      <c r="BE35" s="2" t="n"/>
      <c r="BF35" s="2" t="n">
        <v>0.1574074074074074</v>
      </c>
      <c r="BG35" s="2" t="n">
        <v>0</v>
      </c>
      <c r="BH35" s="2" t="n">
        <v>0</v>
      </c>
      <c r="BI35" s="2" t="n">
        <v>43215.42</v>
      </c>
      <c r="BJ35" s="2" t="n">
        <v>63.5491452991453</v>
      </c>
      <c r="BK35" s="2" t="n">
        <v>0</v>
      </c>
      <c r="BL35" s="2" t="n">
        <v>20</v>
      </c>
      <c r="BM35" s="2" t="n">
        <v>478.9743589743589</v>
      </c>
      <c r="BN35" s="2" t="n">
        <v>5</v>
      </c>
      <c r="BO35" s="2" t="n">
        <v>0</v>
      </c>
      <c r="BP35" s="2" t="n">
        <v>0.002295</v>
      </c>
      <c r="BQ35" s="2" t="n">
        <v>0</v>
      </c>
      <c r="BR35" s="2" t="n">
        <v>43782.9457992735</v>
      </c>
      <c r="BS35" s="2" t="n">
        <v>856.8234444444444</v>
      </c>
      <c r="BT35" s="2" t="n">
        <v>410.2564102564103</v>
      </c>
      <c r="BU35" s="2" t="n">
        <v>9010.004671794872</v>
      </c>
      <c r="BV35" s="2" t="n">
        <v>10277.08452649573</v>
      </c>
      <c r="BW35" s="2" t="n">
        <v>54060.03032576923</v>
      </c>
      <c r="BX35" s="2" t="n">
        <v>0.17</v>
      </c>
      <c r="BY35" s="2" t="n">
        <v>0</v>
      </c>
      <c r="BZ35" s="2" t="n">
        <v>0</v>
      </c>
      <c r="CA35" s="2" t="n">
        <v>0.17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1203</v>
      </c>
      <c r="B36" t="inlineStr">
        <is>
          <t>Piłsudskiego 105, 50-085 Wrocław</t>
        </is>
      </c>
      <c r="C36" t="inlineStr">
        <is>
          <t>Wrocław Główny</t>
        </is>
      </c>
      <c r="D36" t="inlineStr">
        <is>
          <t>FAA2000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27607.84</v>
      </c>
      <c r="L36" s="2" t="n">
        <v>2298.097051851852</v>
      </c>
      <c r="M36" s="2" t="n">
        <v>25562.81481481481</v>
      </c>
      <c r="N36" s="2" t="n">
        <v>4706.03</v>
      </c>
      <c r="O36" s="2" t="n">
        <v>21537.86</v>
      </c>
      <c r="P36" s="2" t="n">
        <v>1363.95</v>
      </c>
      <c r="Q36" s="2" t="n">
        <v>21944.13</v>
      </c>
      <c r="R36" s="2" t="n">
        <v>1600</v>
      </c>
      <c r="S36" s="2" t="n">
        <v>20318.63888888889</v>
      </c>
      <c r="T36" s="2" t="n">
        <v>4231.26</v>
      </c>
      <c r="U36" s="2" t="n">
        <v>16231.86</v>
      </c>
      <c r="V36" s="2" t="n">
        <v>1481.01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12411.64</v>
      </c>
      <c r="AP36" s="2" t="n">
        <v>907.8884814814813</v>
      </c>
      <c r="AQ36" s="2" t="n">
        <v>11492.25925925926</v>
      </c>
      <c r="AR36" s="2" t="n">
        <v>1582.48</v>
      </c>
      <c r="AS36" s="2" t="n">
        <v>10450.56</v>
      </c>
      <c r="AT36" s="2" t="n">
        <v>378.6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61963.61</v>
      </c>
      <c r="BB36" s="2" t="n">
        <v>51443.84</v>
      </c>
      <c r="BC36" s="2">
        <f>F36+L36+R36+X36+AD36+AJ36+AP36+AV36+IF(BE36="",0,BE36)</f>
        <v/>
      </c>
      <c r="BD36" s="2" t="n">
        <v>792.235136</v>
      </c>
      <c r="BE36" s="2" t="n"/>
      <c r="BF36" s="2" t="n">
        <v>57373.71296296296</v>
      </c>
      <c r="BG36" s="2" t="n">
        <v>0</v>
      </c>
      <c r="BH36" s="2" t="n">
        <v>0</v>
      </c>
      <c r="BI36" s="2" t="n">
        <v>43215.42</v>
      </c>
      <c r="BJ36" s="2" t="n">
        <v>63.5491452991453</v>
      </c>
      <c r="BK36" s="2" t="n">
        <v>0</v>
      </c>
      <c r="BL36" s="2" t="n">
        <v>20</v>
      </c>
      <c r="BM36" s="2" t="n">
        <v>478.9743589743589</v>
      </c>
      <c r="BN36" s="2" t="n">
        <v>5</v>
      </c>
      <c r="BO36" s="2" t="n">
        <v>0</v>
      </c>
      <c r="BP36" s="2" t="n">
        <v>694.49184</v>
      </c>
      <c r="BQ36" s="2" t="n">
        <v>0</v>
      </c>
      <c r="BR36" s="2" t="n">
        <v>44477.43534427351</v>
      </c>
      <c r="BS36" s="2" t="n">
        <v>856.8234444444444</v>
      </c>
      <c r="BT36" s="2" t="n">
        <v>410.2564102564103</v>
      </c>
      <c r="BU36" s="2" t="n">
        <v>9010.004671794872</v>
      </c>
      <c r="BV36" s="2" t="n">
        <v>10277.08452649573</v>
      </c>
      <c r="BW36" s="2" t="n">
        <v>54754.51987076923</v>
      </c>
      <c r="BX36" s="2" t="n">
        <v>48220.28</v>
      </c>
      <c r="BY36" s="2" t="n">
        <v>3223.56</v>
      </c>
      <c r="BZ36" s="2" t="n">
        <v>10519.77</v>
      </c>
      <c r="CA36" s="2" t="n">
        <v>51443.84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1204</v>
      </c>
      <c r="B37" t="inlineStr">
        <is>
          <t>Piłsudskiego 105, 50-085 Wrocław</t>
        </is>
      </c>
      <c r="C37" t="inlineStr">
        <is>
          <t>Wrocław Główny</t>
        </is>
      </c>
      <c r="D37" t="inlineStr">
        <is>
          <t>FAA2000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7792.92</v>
      </c>
      <c r="L37" s="2" t="n">
        <v>648.6884333333334</v>
      </c>
      <c r="M37" s="2" t="n">
        <v>7215.666666666666</v>
      </c>
      <c r="N37" s="2" t="n">
        <v>173.97</v>
      </c>
      <c r="O37" s="2" t="n">
        <v>7314.54</v>
      </c>
      <c r="P37" s="2" t="n">
        <v>304.41</v>
      </c>
      <c r="Q37" s="2" t="n">
        <v>18067.27</v>
      </c>
      <c r="R37" s="2" t="n">
        <v>1600</v>
      </c>
      <c r="S37" s="2" t="n">
        <v>16728.9537037037</v>
      </c>
      <c r="T37" s="2" t="n">
        <v>709.22</v>
      </c>
      <c r="U37" s="2" t="n">
        <v>16547.28</v>
      </c>
      <c r="V37" s="2" t="n">
        <v>810.77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7926.67</v>
      </c>
      <c r="AP37" s="2" t="n">
        <v>579.8212314814815</v>
      </c>
      <c r="AQ37" s="2" t="n">
        <v>7339.509259259259</v>
      </c>
      <c r="AR37" s="2" t="n">
        <v>239.36</v>
      </c>
      <c r="AS37" s="2" t="n">
        <v>7416.27</v>
      </c>
      <c r="AT37" s="2" t="n">
        <v>271.04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33786.86</v>
      </c>
      <c r="BB37" s="2" t="n">
        <v>32664.31</v>
      </c>
      <c r="BC37" s="2">
        <f>F37+L37+R37+X37+AD37+AJ37+AP37+AV37+IF(BE37="",0,BE37)</f>
        <v/>
      </c>
      <c r="BD37" s="2" t="n">
        <v>503.0303740000001</v>
      </c>
      <c r="BE37" s="2" t="n"/>
      <c r="BF37" s="2" t="n">
        <v>31284.12962962963</v>
      </c>
      <c r="BG37" s="2" t="n">
        <v>652.9399999999999</v>
      </c>
      <c r="BH37" s="2" t="n">
        <v>82</v>
      </c>
      <c r="BI37" s="2" t="n">
        <v>43215.42</v>
      </c>
      <c r="BJ37" s="2" t="n">
        <v>63.5491452991453</v>
      </c>
      <c r="BK37" s="2" t="n">
        <v>0</v>
      </c>
      <c r="BL37" s="2" t="n">
        <v>20</v>
      </c>
      <c r="BM37" s="2" t="n">
        <v>478.9743589743589</v>
      </c>
      <c r="BN37" s="2" t="n">
        <v>5</v>
      </c>
      <c r="BO37" s="2" t="n">
        <v>0</v>
      </c>
      <c r="BP37" s="2" t="n">
        <v>440.968185</v>
      </c>
      <c r="BQ37" s="2" t="n">
        <v>0</v>
      </c>
      <c r="BR37" s="2" t="n">
        <v>44958.85168927351</v>
      </c>
      <c r="BS37" s="2" t="n">
        <v>856.8234444444444</v>
      </c>
      <c r="BT37" s="2" t="n">
        <v>410.2564102564103</v>
      </c>
      <c r="BU37" s="2" t="n">
        <v>9156.992671794871</v>
      </c>
      <c r="BV37" s="2" t="n">
        <v>10424.07252649573</v>
      </c>
      <c r="BW37" s="2" t="n">
        <v>55382.92421576924</v>
      </c>
      <c r="BX37" s="2" t="n">
        <v>31278.09</v>
      </c>
      <c r="BY37" s="2" t="n">
        <v>1386.22</v>
      </c>
      <c r="BZ37" s="2" t="n">
        <v>1122.55</v>
      </c>
      <c r="CA37" s="2" t="n">
        <v>32664.31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1205</v>
      </c>
      <c r="B38" t="inlineStr">
        <is>
          <t>WROCLAW</t>
        </is>
      </c>
      <c r="C38" t="inlineStr">
        <is>
          <t>Ciechocinek</t>
        </is>
      </c>
      <c r="D38" t="inlineStr">
        <is>
          <t>ST|40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0.17</v>
      </c>
      <c r="AP38" s="2" t="n">
        <v>0</v>
      </c>
      <c r="AQ38" s="2" t="n">
        <v>0.1574074074074074</v>
      </c>
      <c r="AR38" s="2" t="n">
        <v>0</v>
      </c>
      <c r="AS38" s="2" t="n">
        <v>0.17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0.17</v>
      </c>
      <c r="BB38" s="2" t="n">
        <v>0.17</v>
      </c>
      <c r="BC38" s="2">
        <f>F38+L38+R38+X38+AD38+AJ38+AP38+AV38+IF(BE38="",0,BE38)</f>
        <v/>
      </c>
      <c r="BD38" s="2" t="n">
        <v>0.002618</v>
      </c>
      <c r="BE38" s="2" t="n"/>
      <c r="BF38" s="2" t="n">
        <v>0.1574074074074074</v>
      </c>
      <c r="BG38" s="2" t="n">
        <v>652.9399999999999</v>
      </c>
      <c r="BH38" s="2" t="n">
        <v>82</v>
      </c>
      <c r="BI38" s="2" t="n">
        <v>43215.42</v>
      </c>
      <c r="BJ38" s="2" t="n">
        <v>63.5491452991453</v>
      </c>
      <c r="BK38" s="2" t="n">
        <v>0</v>
      </c>
      <c r="BL38" s="2" t="n">
        <v>20</v>
      </c>
      <c r="BM38" s="2" t="n">
        <v>478.9743589743589</v>
      </c>
      <c r="BN38" s="2" t="n">
        <v>5</v>
      </c>
      <c r="BO38" s="2" t="n">
        <v>0</v>
      </c>
      <c r="BP38" s="2" t="n">
        <v>0.002295</v>
      </c>
      <c r="BQ38" s="2" t="n">
        <v>0</v>
      </c>
      <c r="BR38" s="2" t="n">
        <v>44517.88579927351</v>
      </c>
      <c r="BS38" s="2" t="n">
        <v>856.8234444444444</v>
      </c>
      <c r="BT38" s="2" t="n">
        <v>410.2564102564103</v>
      </c>
      <c r="BU38" s="2" t="n">
        <v>9156.992671794871</v>
      </c>
      <c r="BV38" s="2" t="n">
        <v>10424.07252649573</v>
      </c>
      <c r="BW38" s="2" t="n">
        <v>54941.95832576923</v>
      </c>
      <c r="BX38" s="2" t="n">
        <v>0.17</v>
      </c>
      <c r="BY38" s="2" t="n">
        <v>0</v>
      </c>
      <c r="BZ38" s="2" t="n">
        <v>0</v>
      </c>
      <c r="CA38" s="2" t="n">
        <v>0.17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1206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20345.17</v>
      </c>
      <c r="L39" s="2" t="n">
        <v>1693.547021296297</v>
      </c>
      <c r="M39" s="2" t="n">
        <v>18838.12037037037</v>
      </c>
      <c r="N39" s="2" t="n">
        <v>4013.28</v>
      </c>
      <c r="O39" s="2" t="n">
        <v>15282.6</v>
      </c>
      <c r="P39" s="2" t="n">
        <v>1049.29</v>
      </c>
      <c r="Q39" s="2" t="n">
        <v>38523.50999999999</v>
      </c>
      <c r="R39" s="2" t="n">
        <v>1600</v>
      </c>
      <c r="S39" s="2" t="n">
        <v>35669.91666666666</v>
      </c>
      <c r="T39" s="2" t="n">
        <v>6861.42</v>
      </c>
      <c r="U39" s="2" t="n">
        <v>30184</v>
      </c>
      <c r="V39" s="2" t="n">
        <v>1478.09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12293.4</v>
      </c>
      <c r="AP39" s="2" t="n">
        <v>899.2394444444444</v>
      </c>
      <c r="AQ39" s="2" t="n">
        <v>11382.77777777778</v>
      </c>
      <c r="AR39" s="2" t="n">
        <v>2666.74</v>
      </c>
      <c r="AS39" s="2" t="n">
        <v>9075.059999999999</v>
      </c>
      <c r="AT39" s="2" t="n">
        <v>551.6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71162.07999999999</v>
      </c>
      <c r="BB39" s="2" t="n">
        <v>57620.64</v>
      </c>
      <c r="BC39" s="2">
        <f>F39+L39+R39+X39+AD39+AJ39+AP39+AV39+IF(BE39="",0,BE39)</f>
        <v/>
      </c>
      <c r="BD39" s="2" t="n">
        <v>887.3578560000001</v>
      </c>
      <c r="BE39" s="2" t="n"/>
      <c r="BF39" s="2" t="n">
        <v>65890.8148148148</v>
      </c>
      <c r="BG39" s="2" t="n">
        <v>652.9399999999999</v>
      </c>
      <c r="BH39" s="2" t="n">
        <v>82</v>
      </c>
      <c r="BI39" s="2" t="n">
        <v>43215.42</v>
      </c>
      <c r="BJ39" s="2" t="n">
        <v>63.5491452991453</v>
      </c>
      <c r="BK39" s="2" t="n">
        <v>0</v>
      </c>
      <c r="BL39" s="2" t="n">
        <v>20</v>
      </c>
      <c r="BM39" s="2" t="n">
        <v>478.9743589743589</v>
      </c>
      <c r="BN39" s="2" t="n">
        <v>5</v>
      </c>
      <c r="BO39" s="2" t="n">
        <v>0</v>
      </c>
      <c r="BP39" s="2" t="n">
        <v>777.87864</v>
      </c>
      <c r="BQ39" s="2" t="n">
        <v>0</v>
      </c>
      <c r="BR39" s="2" t="n">
        <v>45295.76214427351</v>
      </c>
      <c r="BS39" s="2" t="n">
        <v>856.8234444444444</v>
      </c>
      <c r="BT39" s="2" t="n">
        <v>410.2564102564103</v>
      </c>
      <c r="BU39" s="2" t="n">
        <v>9156.992671794871</v>
      </c>
      <c r="BV39" s="2" t="n">
        <v>10424.07252649573</v>
      </c>
      <c r="BW39" s="2" t="n">
        <v>55719.83467076924</v>
      </c>
      <c r="BX39" s="2" t="n">
        <v>54541.66</v>
      </c>
      <c r="BY39" s="2" t="n">
        <v>3078.98</v>
      </c>
      <c r="BZ39" s="2" t="n">
        <v>13541.44</v>
      </c>
      <c r="CA39" s="2" t="n">
        <v>57620.64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1207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15384.14</v>
      </c>
      <c r="L40" s="2" t="n">
        <v>1280.587209259259</v>
      </c>
      <c r="M40" s="2" t="n">
        <v>14244.57407407407</v>
      </c>
      <c r="N40" s="2" t="n">
        <v>4134.56</v>
      </c>
      <c r="O40" s="2" t="n">
        <v>10575.24</v>
      </c>
      <c r="P40" s="2" t="n">
        <v>674.34</v>
      </c>
      <c r="Q40" s="2" t="n">
        <v>28214.04</v>
      </c>
      <c r="R40" s="2" t="n">
        <v>1600</v>
      </c>
      <c r="S40" s="2" t="n">
        <v>26124.11111111111</v>
      </c>
      <c r="T40" s="2" t="n">
        <v>5201.5</v>
      </c>
      <c r="U40" s="2" t="n">
        <v>22104.21</v>
      </c>
      <c r="V40" s="2" t="n">
        <v>908.33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8010.43</v>
      </c>
      <c r="AP40" s="2" t="n">
        <v>585.9481203703704</v>
      </c>
      <c r="AQ40" s="2" t="n">
        <v>7417.064814814815</v>
      </c>
      <c r="AR40" s="2" t="n">
        <v>1794.54</v>
      </c>
      <c r="AS40" s="2" t="n">
        <v>5949</v>
      </c>
      <c r="AT40" s="2" t="n">
        <v>266.89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51608.61</v>
      </c>
      <c r="BB40" s="2" t="n">
        <v>40478.01</v>
      </c>
      <c r="BC40" s="2">
        <f>F40+L40+R40+X40+AD40+AJ40+AP40+AV40+IF(BE40="",0,BE40)</f>
        <v/>
      </c>
      <c r="BD40" s="2" t="n">
        <v>623.361354</v>
      </c>
      <c r="BE40" s="2" t="n"/>
      <c r="BF40" s="2" t="n">
        <v>47785.75</v>
      </c>
      <c r="BG40" s="2" t="n">
        <v>652.9399999999999</v>
      </c>
      <c r="BH40" s="2" t="n">
        <v>82</v>
      </c>
      <c r="BI40" s="2" t="n">
        <v>43215.42</v>
      </c>
      <c r="BJ40" s="2" t="n">
        <v>63.5491452991453</v>
      </c>
      <c r="BK40" s="2" t="n">
        <v>0</v>
      </c>
      <c r="BL40" s="2" t="n">
        <v>20</v>
      </c>
      <c r="BM40" s="2" t="n">
        <v>478.9743589743589</v>
      </c>
      <c r="BN40" s="2" t="n">
        <v>5</v>
      </c>
      <c r="BO40" s="2" t="n">
        <v>0</v>
      </c>
      <c r="BP40" s="2" t="n">
        <v>546.453135</v>
      </c>
      <c r="BQ40" s="2" t="n">
        <v>0</v>
      </c>
      <c r="BR40" s="2" t="n">
        <v>45064.33663927351</v>
      </c>
      <c r="BS40" s="2" t="n">
        <v>856.8234444444444</v>
      </c>
      <c r="BT40" s="2" t="n">
        <v>410.2564102564103</v>
      </c>
      <c r="BU40" s="2" t="n">
        <v>9156.992671794871</v>
      </c>
      <c r="BV40" s="2" t="n">
        <v>10424.07252649573</v>
      </c>
      <c r="BW40" s="2" t="n">
        <v>55488.40916576923</v>
      </c>
      <c r="BX40" s="2" t="n">
        <v>38628.45</v>
      </c>
      <c r="BY40" s="2" t="n">
        <v>1849.56</v>
      </c>
      <c r="BZ40" s="2" t="n">
        <v>11130.6</v>
      </c>
      <c r="CA40" s="2" t="n">
        <v>40478.00999999999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1208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8817.219999999999</v>
      </c>
      <c r="L41" s="2" t="n">
        <v>733.951924074074</v>
      </c>
      <c r="M41" s="2" t="n">
        <v>8164.092592592591</v>
      </c>
      <c r="N41" s="2" t="n">
        <v>1655.42</v>
      </c>
      <c r="O41" s="2" t="n">
        <v>6784.5</v>
      </c>
      <c r="P41" s="2" t="n">
        <v>377.3</v>
      </c>
      <c r="Q41" s="2" t="n">
        <v>16744.95</v>
      </c>
      <c r="R41" s="2" t="n">
        <v>1600</v>
      </c>
      <c r="S41" s="2" t="n">
        <v>15504.58333333333</v>
      </c>
      <c r="T41" s="2" t="n">
        <v>2604.21</v>
      </c>
      <c r="U41" s="2" t="n">
        <v>13599.58</v>
      </c>
      <c r="V41" s="2" t="n">
        <v>541.16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7162.29</v>
      </c>
      <c r="AP41" s="2" t="n">
        <v>523.90825</v>
      </c>
      <c r="AQ41" s="2" t="n">
        <v>6631.749999999999</v>
      </c>
      <c r="AR41" s="2" t="n">
        <v>1312.33</v>
      </c>
      <c r="AS41" s="2" t="n">
        <v>5580.89</v>
      </c>
      <c r="AT41" s="2" t="n">
        <v>269.07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32724.46</v>
      </c>
      <c r="BB41" s="2" t="n">
        <v>27152.5</v>
      </c>
      <c r="BC41" s="2">
        <f>F41+L41+R41+X41+AD41+AJ41+AP41+AV41+IF(BE41="",0,BE41)</f>
        <v/>
      </c>
      <c r="BD41" s="2" t="n">
        <v>418.1485</v>
      </c>
      <c r="BE41" s="2" t="n"/>
      <c r="BF41" s="2" t="n">
        <v>30300.42592592592</v>
      </c>
      <c r="BG41" s="2" t="n">
        <v>652.9399999999999</v>
      </c>
      <c r="BH41" s="2" t="n">
        <v>82</v>
      </c>
      <c r="BI41" s="2" t="n">
        <v>43215.42</v>
      </c>
      <c r="BJ41" s="2" t="n">
        <v>63.5491452991453</v>
      </c>
      <c r="BK41" s="2" t="n">
        <v>0</v>
      </c>
      <c r="BL41" s="2" t="n">
        <v>20</v>
      </c>
      <c r="BM41" s="2" t="n">
        <v>478.9743589743589</v>
      </c>
      <c r="BN41" s="2" t="n">
        <v>5</v>
      </c>
      <c r="BO41" s="2" t="n">
        <v>0</v>
      </c>
      <c r="BP41" s="2" t="n">
        <v>366.55875</v>
      </c>
      <c r="BQ41" s="2" t="n">
        <v>0</v>
      </c>
      <c r="BR41" s="2" t="n">
        <v>44884.4422542735</v>
      </c>
      <c r="BS41" s="2" t="n">
        <v>856.8234444444444</v>
      </c>
      <c r="BT41" s="2" t="n">
        <v>410.2564102564103</v>
      </c>
      <c r="BU41" s="2" t="n">
        <v>9156.992671794871</v>
      </c>
      <c r="BV41" s="2" t="n">
        <v>10424.07252649573</v>
      </c>
      <c r="BW41" s="2" t="n">
        <v>55308.51478076923</v>
      </c>
      <c r="BX41" s="2" t="n">
        <v>25964.97</v>
      </c>
      <c r="BY41" s="2" t="n">
        <v>1187.53</v>
      </c>
      <c r="BZ41" s="2" t="n">
        <v>5571.96</v>
      </c>
      <c r="CA41" s="2" t="n">
        <v>27152.5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1210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30228.95</v>
      </c>
      <c r="L42" s="2" t="n">
        <v>2516.280189814815</v>
      </c>
      <c r="M42" s="2" t="n">
        <v>27989.76851851852</v>
      </c>
      <c r="N42" s="2" t="n">
        <v>2912.29</v>
      </c>
      <c r="O42" s="2" t="n">
        <v>25781.4</v>
      </c>
      <c r="P42" s="2" t="n">
        <v>1535.26</v>
      </c>
      <c r="Q42" s="2" t="n">
        <v>22045.19</v>
      </c>
      <c r="R42" s="2" t="n">
        <v>1600</v>
      </c>
      <c r="S42" s="2" t="n">
        <v>20412.21296296296</v>
      </c>
      <c r="T42" s="2" t="n">
        <v>2422.38</v>
      </c>
      <c r="U42" s="2" t="n">
        <v>18681.69</v>
      </c>
      <c r="V42" s="2" t="n">
        <v>941.12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11583.56</v>
      </c>
      <c r="AP42" s="2" t="n">
        <v>847.315962962963</v>
      </c>
      <c r="AQ42" s="2" t="n">
        <v>10725.51851851852</v>
      </c>
      <c r="AR42" s="2" t="n">
        <v>1221.37</v>
      </c>
      <c r="AS42" s="2" t="n">
        <v>9863.4</v>
      </c>
      <c r="AT42" s="2" t="n">
        <v>498.79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63857.7</v>
      </c>
      <c r="BB42" s="2" t="n">
        <v>57301.66</v>
      </c>
      <c r="BC42" s="2">
        <f>F42+L42+R42+X42+AD42+AJ42+AP42+AV42+IF(BE42="",0,BE42)</f>
        <v/>
      </c>
      <c r="BD42" s="2" t="n">
        <v>882.4455639999999</v>
      </c>
      <c r="BE42" s="2" t="n"/>
      <c r="BF42" s="2" t="n">
        <v>59127.49999999999</v>
      </c>
      <c r="BG42" s="2" t="n">
        <v>760.5599999999999</v>
      </c>
      <c r="BH42" s="2" t="n">
        <v>260</v>
      </c>
      <c r="BI42" s="2" t="n">
        <v>43215.42</v>
      </c>
      <c r="BJ42" s="2" t="n">
        <v>63.5491452991453</v>
      </c>
      <c r="BK42" s="2" t="n">
        <v>0</v>
      </c>
      <c r="BL42" s="2" t="n">
        <v>20</v>
      </c>
      <c r="BM42" s="2" t="n">
        <v>478.9743589743589</v>
      </c>
      <c r="BN42" s="2" t="n">
        <v>5</v>
      </c>
      <c r="BO42" s="2" t="n">
        <v>0</v>
      </c>
      <c r="BP42" s="2" t="n">
        <v>773.57241</v>
      </c>
      <c r="BQ42" s="2" t="n">
        <v>0</v>
      </c>
      <c r="BR42" s="2" t="n">
        <v>45577.0759142735</v>
      </c>
      <c r="BS42" s="2" t="n">
        <v>856.8234444444444</v>
      </c>
      <c r="BT42" s="2" t="n">
        <v>410.2564102564103</v>
      </c>
      <c r="BU42" s="2" t="n">
        <v>9214.116671794871</v>
      </c>
      <c r="BV42" s="2" t="n">
        <v>10481.19652649573</v>
      </c>
      <c r="BW42" s="2" t="n">
        <v>56058.27244076923</v>
      </c>
      <c r="BX42" s="2" t="n">
        <v>54326.49</v>
      </c>
      <c r="BY42" s="2" t="n">
        <v>2975.17</v>
      </c>
      <c r="BZ42" s="2" t="n">
        <v>6556.04</v>
      </c>
      <c r="CA42" s="2" t="n">
        <v>57301.66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1211</v>
      </c>
      <c r="B43" t="inlineStr">
        <is>
          <t>Kolejowa, 59-300 Lubin</t>
        </is>
      </c>
      <c r="C43" t="inlineStr">
        <is>
          <t>Lubin</t>
        </is>
      </c>
      <c r="D43" t="inlineStr">
        <is>
          <t>ST|40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25171.89</v>
      </c>
      <c r="R43" s="2" t="n">
        <v>1600</v>
      </c>
      <c r="S43" s="2" t="n">
        <v>23307.30555555555</v>
      </c>
      <c r="T43" s="2" t="n">
        <v>10563.06</v>
      </c>
      <c r="U43" s="2" t="n">
        <v>13782.08</v>
      </c>
      <c r="V43" s="2" t="n">
        <v>826.75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25171.89</v>
      </c>
      <c r="BB43" s="2" t="n">
        <v>14608.83</v>
      </c>
      <c r="BC43" s="2">
        <f>F43+L43+R43+X43+AD43+AJ43+AP43+AV43+IF(BE43="",0,BE43)</f>
        <v/>
      </c>
      <c r="BD43" s="2" t="n">
        <v>224.975982</v>
      </c>
      <c r="BE43" s="2" t="n"/>
      <c r="BF43" s="2" t="n">
        <v>23307.30555555555</v>
      </c>
      <c r="BG43" s="2" t="n">
        <v>0</v>
      </c>
      <c r="BH43" s="2" t="n">
        <v>112.06</v>
      </c>
      <c r="BI43" s="2" t="n">
        <v>43215.42</v>
      </c>
      <c r="BJ43" s="2" t="n">
        <v>63.5491452991453</v>
      </c>
      <c r="BK43" s="2" t="n">
        <v>0</v>
      </c>
      <c r="BL43" s="2" t="n">
        <v>20</v>
      </c>
      <c r="BM43" s="2" t="n">
        <v>478.9743589743589</v>
      </c>
      <c r="BN43" s="2" t="n">
        <v>5</v>
      </c>
      <c r="BO43" s="2" t="n">
        <v>0</v>
      </c>
      <c r="BP43" s="2" t="n">
        <v>197.219205</v>
      </c>
      <c r="BQ43" s="2" t="n">
        <v>0</v>
      </c>
      <c r="BR43" s="2" t="n">
        <v>44092.2227092735</v>
      </c>
      <c r="BS43" s="2" t="n">
        <v>856.8234444444444</v>
      </c>
      <c r="BT43" s="2" t="n">
        <v>410.2564102564103</v>
      </c>
      <c r="BU43" s="2" t="n">
        <v>9032.416671794872</v>
      </c>
      <c r="BV43" s="2" t="n">
        <v>10299.49652649573</v>
      </c>
      <c r="BW43" s="2" t="n">
        <v>54391.71923576923</v>
      </c>
      <c r="BX43" s="2" t="n">
        <v>13782.08</v>
      </c>
      <c r="BY43" s="2" t="n">
        <v>826.75</v>
      </c>
      <c r="BZ43" s="2" t="n">
        <v>10563.06</v>
      </c>
      <c r="CA43" s="2" t="n">
        <v>14608.83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1212</v>
      </c>
      <c r="B44" t="inlineStr">
        <is>
          <t>Armii Krajowej 26C, 58-302 Wałbrzych</t>
        </is>
      </c>
      <c r="C44" t="inlineStr">
        <is>
          <t>Wałbrzych Miasto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2600.79</v>
      </c>
      <c r="L44" s="2" t="n">
        <v>216.4916861111111</v>
      </c>
      <c r="M44" s="2" t="n">
        <v>2408.138888888889</v>
      </c>
      <c r="N44" s="2" t="n">
        <v>1147.13</v>
      </c>
      <c r="O44" s="2" t="n">
        <v>1453.66</v>
      </c>
      <c r="P44" s="2" t="n">
        <v>0</v>
      </c>
      <c r="Q44" s="2" t="n">
        <v>7961.66</v>
      </c>
      <c r="R44" s="2" t="n">
        <v>1600</v>
      </c>
      <c r="S44" s="2" t="n">
        <v>7371.907407407407</v>
      </c>
      <c r="T44" s="2" t="n">
        <v>2138.62</v>
      </c>
      <c r="U44" s="2" t="n">
        <v>5497</v>
      </c>
      <c r="V44" s="2" t="n">
        <v>326.04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249.4</v>
      </c>
      <c r="AP44" s="2" t="n">
        <v>18.24314814814815</v>
      </c>
      <c r="AQ44" s="2" t="n">
        <v>230.9259259259259</v>
      </c>
      <c r="AR44" s="2" t="n">
        <v>77.92</v>
      </c>
      <c r="AS44" s="2" t="n">
        <v>171.48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10811.85</v>
      </c>
      <c r="BB44" s="2" t="n">
        <v>7448.179999999999</v>
      </c>
      <c r="BC44" s="2">
        <f>F44+L44+R44+X44+AD44+AJ44+AP44+AV44+IF(BE44="",0,BE44)</f>
        <v/>
      </c>
      <c r="BD44" s="2" t="n">
        <v>114.701972</v>
      </c>
      <c r="BE44" s="2" t="n"/>
      <c r="BF44" s="2" t="n">
        <v>10010.97222222222</v>
      </c>
      <c r="BG44" s="2" t="n">
        <v>573.92</v>
      </c>
      <c r="BH44" s="2" t="n">
        <v>110.7</v>
      </c>
      <c r="BI44" s="2" t="n">
        <v>43215.42</v>
      </c>
      <c r="BJ44" s="2" t="n">
        <v>63.5491452991453</v>
      </c>
      <c r="BK44" s="2" t="n">
        <v>0</v>
      </c>
      <c r="BL44" s="2" t="n">
        <v>20</v>
      </c>
      <c r="BM44" s="2" t="n">
        <v>478.9743589743589</v>
      </c>
      <c r="BN44" s="2" t="n">
        <v>5</v>
      </c>
      <c r="BO44" s="2" t="n">
        <v>0</v>
      </c>
      <c r="BP44" s="2" t="n">
        <v>100.55043</v>
      </c>
      <c r="BQ44" s="2" t="n">
        <v>0</v>
      </c>
      <c r="BR44" s="2" t="n">
        <v>44568.11393427351</v>
      </c>
      <c r="BS44" s="2" t="n">
        <v>856.8234444444444</v>
      </c>
      <c r="BT44" s="2" t="n">
        <v>410.2564102564103</v>
      </c>
      <c r="BU44" s="2" t="n">
        <v>9146.928671794871</v>
      </c>
      <c r="BV44" s="2" t="n">
        <v>10414.00852649573</v>
      </c>
      <c r="BW44" s="2" t="n">
        <v>54982.12246076923</v>
      </c>
      <c r="BX44" s="2" t="n">
        <v>7122.139999999999</v>
      </c>
      <c r="BY44" s="2" t="n">
        <v>326.04</v>
      </c>
      <c r="BZ44" s="2" t="n">
        <v>3363.67</v>
      </c>
      <c r="CA44" s="2" t="n">
        <v>7448.179999999999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1213</v>
      </c>
      <c r="B45" t="inlineStr">
        <is>
          <t>Plac 1000-Lecia 1, 67-200 Głogów</t>
        </is>
      </c>
      <c r="C45" t="inlineStr">
        <is>
          <t>Głogów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6602.23</v>
      </c>
      <c r="L45" s="2" t="n">
        <v>549.5745157407408</v>
      </c>
      <c r="M45" s="2" t="n">
        <v>6113.175925925926</v>
      </c>
      <c r="N45" s="2" t="n">
        <v>1956.22</v>
      </c>
      <c r="O45" s="2" t="n">
        <v>4054.54</v>
      </c>
      <c r="P45" s="2" t="n">
        <v>591.47</v>
      </c>
      <c r="Q45" s="2" t="n">
        <v>21025.39</v>
      </c>
      <c r="R45" s="2" t="n">
        <v>1600</v>
      </c>
      <c r="S45" s="2" t="n">
        <v>19467.9537037037</v>
      </c>
      <c r="T45" s="2" t="n">
        <v>6161.61</v>
      </c>
      <c r="U45" s="2" t="n">
        <v>14280.37</v>
      </c>
      <c r="V45" s="2" t="n">
        <v>583.41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4584.44</v>
      </c>
      <c r="AP45" s="2" t="n">
        <v>335.3432962962963</v>
      </c>
      <c r="AQ45" s="2" t="n">
        <v>4244.851851851851</v>
      </c>
      <c r="AR45" s="2" t="n">
        <v>1913.54</v>
      </c>
      <c r="AS45" s="2" t="n">
        <v>2387.49</v>
      </c>
      <c r="AT45" s="2" t="n">
        <v>283.41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32212.06</v>
      </c>
      <c r="BB45" s="2" t="n">
        <v>22180.69</v>
      </c>
      <c r="BC45" s="2">
        <f>F45+L45+R45+X45+AD45+AJ45+AP45+AV45+IF(BE45="",0,BE45)</f>
        <v/>
      </c>
      <c r="BD45" s="2" t="n">
        <v>341.5826260000001</v>
      </c>
      <c r="BE45" s="2" t="n"/>
      <c r="BF45" s="2" t="n">
        <v>29825.98148148148</v>
      </c>
      <c r="BG45" s="2" t="n">
        <v>573.92</v>
      </c>
      <c r="BH45" s="2" t="n">
        <v>134.1</v>
      </c>
      <c r="BI45" s="2" t="n">
        <v>43215.42</v>
      </c>
      <c r="BJ45" s="2" t="n">
        <v>63.5491452991453</v>
      </c>
      <c r="BK45" s="2" t="n">
        <v>0</v>
      </c>
      <c r="BL45" s="2" t="n">
        <v>20</v>
      </c>
      <c r="BM45" s="2" t="n">
        <v>478.9743589743589</v>
      </c>
      <c r="BN45" s="2" t="n">
        <v>5</v>
      </c>
      <c r="BO45" s="2" t="n">
        <v>0</v>
      </c>
      <c r="BP45" s="2" t="n">
        <v>299.439315</v>
      </c>
      <c r="BQ45" s="2" t="n">
        <v>0</v>
      </c>
      <c r="BR45" s="2" t="n">
        <v>44790.40281927351</v>
      </c>
      <c r="BS45" s="2" t="n">
        <v>856.8234444444444</v>
      </c>
      <c r="BT45" s="2" t="n">
        <v>410.2564102564103</v>
      </c>
      <c r="BU45" s="2" t="n">
        <v>9151.608671794871</v>
      </c>
      <c r="BV45" s="2" t="n">
        <v>10418.68852649573</v>
      </c>
      <c r="BW45" s="2" t="n">
        <v>55209.09134576923</v>
      </c>
      <c r="BX45" s="2" t="n">
        <v>20722.4</v>
      </c>
      <c r="BY45" s="2" t="n">
        <v>1458.29</v>
      </c>
      <c r="BZ45" s="2" t="n">
        <v>10031.37</v>
      </c>
      <c r="CA45" s="2" t="n">
        <v>22180.69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1214</v>
      </c>
      <c r="B46" t="inlineStr">
        <is>
          <t>Dworcowa 72A, 69-110 Rzepin</t>
        </is>
      </c>
      <c r="C46" t="inlineStr">
        <is>
          <t>Rzepin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6468.12</v>
      </c>
      <c r="L46" s="2" t="n">
        <v>538.4110999999999</v>
      </c>
      <c r="M46" s="2" t="n">
        <v>5988.999999999999</v>
      </c>
      <c r="N46" s="2" t="n">
        <v>3000.21</v>
      </c>
      <c r="O46" s="2" t="n">
        <v>3166.91</v>
      </c>
      <c r="P46" s="2" t="n">
        <v>301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6468.12</v>
      </c>
      <c r="BB46" s="2" t="n">
        <v>3467.91</v>
      </c>
      <c r="BC46" s="2">
        <f>F46+L46+R46+X46+AD46+AJ46+AP46+AV46+IF(BE46="",0,BE46)</f>
        <v/>
      </c>
      <c r="BD46" s="2" t="n">
        <v>53.405814</v>
      </c>
      <c r="BE46" s="2" t="n"/>
      <c r="BF46" s="2" t="n">
        <v>5988.999999999999</v>
      </c>
      <c r="BG46" s="2" t="n">
        <v>430.45</v>
      </c>
      <c r="BH46" s="2" t="n">
        <v>0</v>
      </c>
      <c r="BI46" s="2" t="n">
        <v>43215.42</v>
      </c>
      <c r="BJ46" s="2" t="n">
        <v>63.5491452991453</v>
      </c>
      <c r="BK46" s="2" t="n">
        <v>0</v>
      </c>
      <c r="BL46" s="2" t="n">
        <v>20</v>
      </c>
      <c r="BM46" s="2" t="n">
        <v>478.9743589743589</v>
      </c>
      <c r="BN46" s="2" t="n">
        <v>5</v>
      </c>
      <c r="BO46" s="2" t="n">
        <v>0</v>
      </c>
      <c r="BP46" s="2" t="n">
        <v>46.816785</v>
      </c>
      <c r="BQ46" s="2" t="n">
        <v>0</v>
      </c>
      <c r="BR46" s="2" t="n">
        <v>44260.21028927351</v>
      </c>
      <c r="BS46" s="2" t="n">
        <v>856.8234444444444</v>
      </c>
      <c r="BT46" s="2" t="n">
        <v>410.2564102564103</v>
      </c>
      <c r="BU46" s="2" t="n">
        <v>9096.094671794872</v>
      </c>
      <c r="BV46" s="2" t="n">
        <v>10363.17452649573</v>
      </c>
      <c r="BW46" s="2" t="n">
        <v>54623.38481576923</v>
      </c>
      <c r="BX46" s="2" t="n">
        <v>3166.91</v>
      </c>
      <c r="BY46" s="2" t="n">
        <v>301</v>
      </c>
      <c r="BZ46" s="2" t="n">
        <v>3000.21</v>
      </c>
      <c r="CA46" s="2" t="n">
        <v>3467.91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1217</v>
      </c>
      <c r="B47" t="inlineStr">
        <is>
          <t>pl. Marii i Lecha Kaczyńskiego 2, 40-098 Katowice</t>
        </is>
      </c>
      <c r="C47" t="inlineStr">
        <is>
          <t>Katowice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23669.87</v>
      </c>
      <c r="L47" s="2" t="n">
        <v>1970.297512037037</v>
      </c>
      <c r="M47" s="2" t="n">
        <v>21916.54629629629</v>
      </c>
      <c r="N47" s="2" t="n">
        <v>4381.99</v>
      </c>
      <c r="O47" s="2" t="n">
        <v>18201.42</v>
      </c>
      <c r="P47" s="2" t="n">
        <v>1086.46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11445.08</v>
      </c>
      <c r="AP47" s="2" t="n">
        <v>837.1864074074075</v>
      </c>
      <c r="AQ47" s="2" t="n">
        <v>10597.2962962963</v>
      </c>
      <c r="AR47" s="2" t="n">
        <v>1741.35</v>
      </c>
      <c r="AS47" s="2" t="n">
        <v>9350.940000000001</v>
      </c>
      <c r="AT47" s="2" t="n">
        <v>352.79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35114.95</v>
      </c>
      <c r="BB47" s="2" t="n">
        <v>28991.61</v>
      </c>
      <c r="BC47" s="2">
        <f>F47+L47+R47+X47+AD47+AJ47+AP47+AV47+IF(BE47="",0,BE47)</f>
        <v/>
      </c>
      <c r="BD47" s="2" t="n">
        <v>446.470794</v>
      </c>
      <c r="BE47" s="2" t="n"/>
      <c r="BF47" s="2" t="n">
        <v>32513.84259259259</v>
      </c>
      <c r="BG47" s="2" t="n">
        <v>775</v>
      </c>
      <c r="BH47" s="2" t="n">
        <v>540</v>
      </c>
      <c r="BI47" s="2" t="n">
        <v>43215.42</v>
      </c>
      <c r="BJ47" s="2" t="n">
        <v>63.5491452991453</v>
      </c>
      <c r="BK47" s="2" t="n">
        <v>0</v>
      </c>
      <c r="BL47" s="2" t="n">
        <v>20</v>
      </c>
      <c r="BM47" s="2" t="n">
        <v>478.9743589743589</v>
      </c>
      <c r="BN47" s="2" t="n">
        <v>5</v>
      </c>
      <c r="BO47" s="2" t="n">
        <v>0</v>
      </c>
      <c r="BP47" s="2" t="n">
        <v>391.386735</v>
      </c>
      <c r="BQ47" s="2" t="n">
        <v>0</v>
      </c>
      <c r="BR47" s="2" t="n">
        <v>45489.33023927351</v>
      </c>
      <c r="BS47" s="2" t="n">
        <v>856.8234444444444</v>
      </c>
      <c r="BT47" s="2" t="n">
        <v>410.2564102564103</v>
      </c>
      <c r="BU47" s="2" t="n">
        <v>9273.004671794872</v>
      </c>
      <c r="BV47" s="2" t="n">
        <v>10540.08452649573</v>
      </c>
      <c r="BW47" s="2" t="n">
        <v>56029.41476576923</v>
      </c>
      <c r="BX47" s="2" t="n">
        <v>27552.36</v>
      </c>
      <c r="BY47" s="2" t="n">
        <v>1439.25</v>
      </c>
      <c r="BZ47" s="2" t="n">
        <v>6123.34</v>
      </c>
      <c r="CA47" s="2" t="n">
        <v>28991.61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1219</v>
      </c>
      <c r="B48" t="inlineStr">
        <is>
          <t>Armii Krajowej 3, 75-200 Koszalin</t>
        </is>
      </c>
      <c r="C48" t="inlineStr">
        <is>
          <t>Koszalin</t>
        </is>
      </c>
      <c r="D48" t="inlineStr">
        <is>
          <t>FAA2000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5587.29</v>
      </c>
      <c r="L48" s="2" t="n">
        <v>465.0901583333333</v>
      </c>
      <c r="M48" s="2" t="n">
        <v>5173.416666666666</v>
      </c>
      <c r="N48" s="2" t="n">
        <v>1886.93</v>
      </c>
      <c r="O48" s="2" t="n">
        <v>3343.03</v>
      </c>
      <c r="P48" s="2" t="n">
        <v>357.33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6246.559999999999</v>
      </c>
      <c r="AP48" s="2" t="n">
        <v>456.9242962962962</v>
      </c>
      <c r="AQ48" s="2" t="n">
        <v>5783.851851851851</v>
      </c>
      <c r="AR48" s="2" t="n">
        <v>1657.89</v>
      </c>
      <c r="AS48" s="2" t="n">
        <v>4093.94</v>
      </c>
      <c r="AT48" s="2" t="n">
        <v>494.73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11833.85</v>
      </c>
      <c r="BB48" s="2" t="n">
        <v>8289.030000000001</v>
      </c>
      <c r="BC48" s="2">
        <f>F48+L48+R48+X48+AD48+AJ48+AP48+AV48+IF(BE48="",0,BE48)</f>
        <v/>
      </c>
      <c r="BD48" s="2" t="n">
        <v>127.651062</v>
      </c>
      <c r="BE48" s="2" t="n"/>
      <c r="BF48" s="2" t="n">
        <v>10957.26851851852</v>
      </c>
      <c r="BG48" s="2" t="n">
        <v>0</v>
      </c>
      <c r="BH48" s="2" t="n">
        <v>0</v>
      </c>
      <c r="BI48" s="2" t="n">
        <v>43215.42</v>
      </c>
      <c r="BJ48" s="2" t="n">
        <v>63.5491452991453</v>
      </c>
      <c r="BK48" s="2" t="n">
        <v>0</v>
      </c>
      <c r="BL48" s="2" t="n">
        <v>20</v>
      </c>
      <c r="BM48" s="2" t="n">
        <v>478.9743589743589</v>
      </c>
      <c r="BN48" s="2" t="n">
        <v>5</v>
      </c>
      <c r="BO48" s="2" t="n">
        <v>0</v>
      </c>
      <c r="BP48" s="2" t="n">
        <v>111.901905</v>
      </c>
      <c r="BQ48" s="2" t="n">
        <v>0</v>
      </c>
      <c r="BR48" s="2" t="n">
        <v>43894.8454092735</v>
      </c>
      <c r="BS48" s="2" t="n">
        <v>856.8234444444444</v>
      </c>
      <c r="BT48" s="2" t="n">
        <v>410.2564102564103</v>
      </c>
      <c r="BU48" s="2" t="n">
        <v>9010.004671794872</v>
      </c>
      <c r="BV48" s="2" t="n">
        <v>10277.08452649573</v>
      </c>
      <c r="BW48" s="2" t="n">
        <v>54171.92993576923</v>
      </c>
      <c r="BX48" s="2" t="n">
        <v>7436.97</v>
      </c>
      <c r="BY48" s="2" t="n">
        <v>852.0599999999999</v>
      </c>
      <c r="BZ48" s="2" t="n">
        <v>3544.82</v>
      </c>
      <c r="CA48" s="2" t="n">
        <v>8289.030000000001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1220</v>
      </c>
      <c r="B49" t="inlineStr">
        <is>
          <t>Kotłątaja 32, 76-200 Słupsk</t>
        </is>
      </c>
      <c r="C49" t="inlineStr">
        <is>
          <t>Słupsk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3949.98</v>
      </c>
      <c r="L49" s="2" t="n">
        <v>328.7992611111111</v>
      </c>
      <c r="M49" s="2" t="n">
        <v>3657.388888888889</v>
      </c>
      <c r="N49" s="2" t="n">
        <v>1806.84</v>
      </c>
      <c r="O49" s="2" t="n">
        <v>1728.89</v>
      </c>
      <c r="P49" s="2" t="n">
        <v>414.25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5462.559999999999</v>
      </c>
      <c r="AP49" s="2" t="n">
        <v>4144</v>
      </c>
      <c r="AQ49" s="2" t="n">
        <v>5057.925925925925</v>
      </c>
      <c r="AR49" s="2" t="n">
        <v>3157.64</v>
      </c>
      <c r="AS49" s="2" t="n">
        <v>1937.97</v>
      </c>
      <c r="AT49" s="2" t="n">
        <v>366.95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9412.539999999999</v>
      </c>
      <c r="BB49" s="2" t="n">
        <v>4448.06</v>
      </c>
      <c r="BC49" s="2">
        <f>F49+L49+R49+X49+AD49+AJ49+AP49+AV49+IF(BE49="",0,BE49)</f>
        <v/>
      </c>
      <c r="BD49" s="2" t="n">
        <v>68.50012400000001</v>
      </c>
      <c r="BE49" s="2" t="n"/>
      <c r="BF49" s="2" t="n">
        <v>8715.314814814814</v>
      </c>
      <c r="BG49" s="2" t="n">
        <v>0</v>
      </c>
      <c r="BH49" s="2" t="n">
        <v>0</v>
      </c>
      <c r="BI49" s="2" t="n">
        <v>43215.42</v>
      </c>
      <c r="BJ49" s="2" t="n">
        <v>63.5491452991453</v>
      </c>
      <c r="BK49" s="2" t="n">
        <v>0</v>
      </c>
      <c r="BL49" s="2" t="n">
        <v>20</v>
      </c>
      <c r="BM49" s="2" t="n">
        <v>478.9743589743589</v>
      </c>
      <c r="BN49" s="2" t="n">
        <v>5</v>
      </c>
      <c r="BO49" s="2" t="n">
        <v>0</v>
      </c>
      <c r="BP49" s="2" t="n">
        <v>60.04881</v>
      </c>
      <c r="BQ49" s="2" t="n">
        <v>0</v>
      </c>
      <c r="BR49" s="2" t="n">
        <v>43842.99231427351</v>
      </c>
      <c r="BS49" s="2" t="n">
        <v>856.8234444444444</v>
      </c>
      <c r="BT49" s="2" t="n">
        <v>410.2564102564103</v>
      </c>
      <c r="BU49" s="2" t="n">
        <v>9010.004671794872</v>
      </c>
      <c r="BV49" s="2" t="n">
        <v>10277.08452649573</v>
      </c>
      <c r="BW49" s="2" t="n">
        <v>54120.07684076923</v>
      </c>
      <c r="BX49" s="2" t="n">
        <v>3666.86</v>
      </c>
      <c r="BY49" s="2" t="n">
        <v>781.2</v>
      </c>
      <c r="BZ49" s="2" t="n">
        <v>4964.48</v>
      </c>
      <c r="CA49" s="2" t="n">
        <v>4448.06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1221</v>
      </c>
      <c r="B50" t="inlineStr">
        <is>
          <t>Dworcowa 2, 58-100 Świdnica</t>
        </is>
      </c>
      <c r="C50" t="inlineStr">
        <is>
          <t>Świdnica</t>
        </is>
      </c>
      <c r="D50" t="inlineStr">
        <is>
          <t>ST|40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33628.79</v>
      </c>
      <c r="R50" s="2" t="n">
        <v>1600</v>
      </c>
      <c r="S50" s="2" t="n">
        <v>31137.76851851852</v>
      </c>
      <c r="T50" s="2" t="n">
        <v>10692.22</v>
      </c>
      <c r="U50" s="2" t="n">
        <v>21905.81</v>
      </c>
      <c r="V50" s="2" t="n">
        <v>1030.76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33628.79</v>
      </c>
      <c r="BB50" s="2" t="n">
        <v>22936.57</v>
      </c>
      <c r="BC50" s="2">
        <f>F50+L50+R50+X50+AD50+AJ50+AP50+AV50+IF(BE50="",0,BE50)</f>
        <v/>
      </c>
      <c r="BD50" s="2" t="n">
        <v>353.223178</v>
      </c>
      <c r="BE50" s="2" t="n"/>
      <c r="BF50" s="2" t="n">
        <v>31137.76851851852</v>
      </c>
      <c r="BG50" s="2" t="n">
        <v>200</v>
      </c>
      <c r="BH50" s="2" t="n">
        <v>0</v>
      </c>
      <c r="BI50" s="2" t="n">
        <v>43215.42</v>
      </c>
      <c r="BJ50" s="2" t="n">
        <v>63.5491452991453</v>
      </c>
      <c r="BK50" s="2" t="n">
        <v>0</v>
      </c>
      <c r="BL50" s="2" t="n">
        <v>20</v>
      </c>
      <c r="BM50" s="2" t="n">
        <v>478.9743589743589</v>
      </c>
      <c r="BN50" s="2" t="n">
        <v>5</v>
      </c>
      <c r="BO50" s="2" t="n">
        <v>0</v>
      </c>
      <c r="BP50" s="2" t="n">
        <v>309.643695</v>
      </c>
      <c r="BQ50" s="2" t="n">
        <v>0</v>
      </c>
      <c r="BR50" s="2" t="n">
        <v>44292.5871992735</v>
      </c>
      <c r="BS50" s="2" t="n">
        <v>856.8234444444444</v>
      </c>
      <c r="BT50" s="2" t="n">
        <v>410.2564102564103</v>
      </c>
      <c r="BU50" s="2" t="n">
        <v>9050.004671794872</v>
      </c>
      <c r="BV50" s="2" t="n">
        <v>10317.08452649573</v>
      </c>
      <c r="BW50" s="2" t="n">
        <v>54609.67172576923</v>
      </c>
      <c r="BX50" s="2" t="n">
        <v>21905.81</v>
      </c>
      <c r="BY50" s="2" t="n">
        <v>1030.76</v>
      </c>
      <c r="BZ50" s="2" t="n">
        <v>10692.22</v>
      </c>
      <c r="CA50" s="2" t="n">
        <v>22936.57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1222</v>
      </c>
      <c r="B51" t="inlineStr">
        <is>
          <t>Dworcowa 33, 83-400 Kościerzyna</t>
        </is>
      </c>
      <c r="C51" t="inlineStr">
        <is>
          <t>Kościerzyna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1120.11</v>
      </c>
      <c r="AP51" s="2" t="n">
        <v>4050</v>
      </c>
      <c r="AQ51" s="2" t="n">
        <v>1037.138888888889</v>
      </c>
      <c r="AR51" s="2" t="n">
        <v>0</v>
      </c>
      <c r="AS51" s="2" t="n">
        <v>1100.94</v>
      </c>
      <c r="AT51" s="2" t="n">
        <v>19.17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1120.11</v>
      </c>
      <c r="BB51" s="2" t="n">
        <v>1120.11</v>
      </c>
      <c r="BC51" s="2">
        <f>F51+L51+R51+X51+AD51+AJ51+AP51+AV51+IF(BE51="",0,BE51)</f>
        <v/>
      </c>
      <c r="BD51" s="2" t="n">
        <v>17.249694</v>
      </c>
      <c r="BE51" s="2" t="n"/>
      <c r="BF51" s="2" t="n">
        <v>1037.138888888889</v>
      </c>
      <c r="BG51" s="2" t="n">
        <v>0</v>
      </c>
      <c r="BH51" s="2" t="n">
        <v>0</v>
      </c>
      <c r="BI51" s="2" t="n">
        <v>43215.42</v>
      </c>
      <c r="BJ51" s="2" t="n">
        <v>63.5491452991453</v>
      </c>
      <c r="BK51" s="2" t="n">
        <v>0</v>
      </c>
      <c r="BL51" s="2" t="n">
        <v>20</v>
      </c>
      <c r="BM51" s="2" t="n">
        <v>478.9743589743589</v>
      </c>
      <c r="BN51" s="2" t="n">
        <v>5</v>
      </c>
      <c r="BO51" s="2" t="n">
        <v>0</v>
      </c>
      <c r="BP51" s="2" t="n">
        <v>15.121485</v>
      </c>
      <c r="BQ51" s="2" t="n">
        <v>0</v>
      </c>
      <c r="BR51" s="2" t="n">
        <v>43798.06498927351</v>
      </c>
      <c r="BS51" s="2" t="n">
        <v>856.8234444444444</v>
      </c>
      <c r="BT51" s="2" t="n">
        <v>410.2564102564103</v>
      </c>
      <c r="BU51" s="2" t="n">
        <v>9010.004671794872</v>
      </c>
      <c r="BV51" s="2" t="n">
        <v>10277.08452649573</v>
      </c>
      <c r="BW51" s="2" t="n">
        <v>54075.14951576923</v>
      </c>
      <c r="BX51" s="2" t="n">
        <v>1100.94</v>
      </c>
      <c r="BY51" s="2" t="n">
        <v>19.17</v>
      </c>
      <c r="BZ51" s="2" t="n">
        <v>0</v>
      </c>
      <c r="CA51" s="2" t="n">
        <v>1120.11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1223</v>
      </c>
      <c r="B52" t="inlineStr">
        <is>
          <t>Dworcowa 17, 82-200 Malbork</t>
        </is>
      </c>
      <c r="C52" t="inlineStr">
        <is>
          <t>Malbork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9735.67</v>
      </c>
      <c r="L52" s="2" t="n">
        <v>810.4043824074074</v>
      </c>
      <c r="M52" s="2" t="n">
        <v>9014.509259259259</v>
      </c>
      <c r="N52" s="2" t="n">
        <v>862.9299999999999</v>
      </c>
      <c r="O52" s="2" t="n">
        <v>8747.74</v>
      </c>
      <c r="P52" s="2" t="n">
        <v>125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16887.9</v>
      </c>
      <c r="AP52" s="2" t="n">
        <v>1235.318611111111</v>
      </c>
      <c r="AQ52" s="2" t="n">
        <v>15636.94444444444</v>
      </c>
      <c r="AR52" s="2" t="n">
        <v>4871.49</v>
      </c>
      <c r="AS52" s="2" t="n">
        <v>11200.81</v>
      </c>
      <c r="AT52" s="2" t="n">
        <v>815.6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26623.57</v>
      </c>
      <c r="BB52" s="2" t="n">
        <v>20889.15</v>
      </c>
      <c r="BC52" s="2">
        <f>F52+L52+R52+X52+AD52+AJ52+AP52+AV52+IF(BE52="",0,BE52)</f>
        <v/>
      </c>
      <c r="BD52" s="2" t="n">
        <v>321.69291</v>
      </c>
      <c r="BE52" s="2" t="n"/>
      <c r="BF52" s="2" t="n">
        <v>24651.4537037037</v>
      </c>
      <c r="BG52" s="2" t="n">
        <v>456.34</v>
      </c>
      <c r="BH52" s="2" t="n">
        <v>107</v>
      </c>
      <c r="BI52" s="2" t="n">
        <v>43215.42</v>
      </c>
      <c r="BJ52" s="2" t="n">
        <v>63.5491452991453</v>
      </c>
      <c r="BK52" s="2" t="n">
        <v>0</v>
      </c>
      <c r="BL52" s="2" t="n">
        <v>20</v>
      </c>
      <c r="BM52" s="2" t="n">
        <v>478.9743589743589</v>
      </c>
      <c r="BN52" s="2" t="n">
        <v>5</v>
      </c>
      <c r="BO52" s="2" t="n">
        <v>0</v>
      </c>
      <c r="BP52" s="2" t="n">
        <v>282.003525</v>
      </c>
      <c r="BQ52" s="2" t="n">
        <v>0</v>
      </c>
      <c r="BR52" s="2" t="n">
        <v>44628.2870292735</v>
      </c>
      <c r="BS52" s="2" t="n">
        <v>856.8234444444444</v>
      </c>
      <c r="BT52" s="2" t="n">
        <v>410.2564102564103</v>
      </c>
      <c r="BU52" s="2" t="n">
        <v>9122.672671794871</v>
      </c>
      <c r="BV52" s="2" t="n">
        <v>10389.75252649573</v>
      </c>
      <c r="BW52" s="2" t="n">
        <v>55018.03955576922</v>
      </c>
      <c r="BX52" s="2" t="n">
        <v>19948.55</v>
      </c>
      <c r="BY52" s="2" t="n">
        <v>940.6</v>
      </c>
      <c r="BZ52" s="2" t="n">
        <v>5734.42</v>
      </c>
      <c r="CA52" s="2" t="n">
        <v>20889.15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1224</v>
      </c>
      <c r="B53" t="inlineStr">
        <is>
          <t>Kuznica</t>
        </is>
      </c>
      <c r="C53" t="inlineStr">
        <is>
          <t>Kuźnica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5169.88</v>
      </c>
      <c r="AP53" s="2" t="n">
        <v>4052</v>
      </c>
      <c r="AQ53" s="2" t="n">
        <v>4786.925925925926</v>
      </c>
      <c r="AR53" s="2" t="n">
        <v>0</v>
      </c>
      <c r="AS53" s="2" t="n">
        <v>4473.54</v>
      </c>
      <c r="AT53" s="2" t="n">
        <v>696.34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5169.88</v>
      </c>
      <c r="BB53" s="2" t="n">
        <v>5169.88</v>
      </c>
      <c r="BC53" s="2">
        <f>F53+L53+R53+X53+AD53+AJ53+AP53+AV53+IF(BE53="",0,BE53)</f>
        <v/>
      </c>
      <c r="BD53" s="2" t="n">
        <v>79.616152</v>
      </c>
      <c r="BE53" s="2" t="n"/>
      <c r="BF53" s="2" t="n">
        <v>4786.925925925926</v>
      </c>
      <c r="BG53" s="2" t="n">
        <v>456.34</v>
      </c>
      <c r="BH53" s="2" t="n">
        <v>123</v>
      </c>
      <c r="BI53" s="2" t="n">
        <v>43215.42</v>
      </c>
      <c r="BJ53" s="2" t="n">
        <v>63.5491452991453</v>
      </c>
      <c r="BK53" s="2" t="n">
        <v>0</v>
      </c>
      <c r="BL53" s="2" t="n">
        <v>20</v>
      </c>
      <c r="BM53" s="2" t="n">
        <v>478.9743589743589</v>
      </c>
      <c r="BN53" s="2" t="n">
        <v>5</v>
      </c>
      <c r="BO53" s="2" t="n">
        <v>0</v>
      </c>
      <c r="BP53" s="2" t="n">
        <v>69.79338</v>
      </c>
      <c r="BQ53" s="2" t="n">
        <v>0</v>
      </c>
      <c r="BR53" s="2" t="n">
        <v>44432.07688427351</v>
      </c>
      <c r="BS53" s="2" t="n">
        <v>856.8234444444444</v>
      </c>
      <c r="BT53" s="2" t="n">
        <v>410.2564102564103</v>
      </c>
      <c r="BU53" s="2" t="n">
        <v>9125.872671794872</v>
      </c>
      <c r="BV53" s="2" t="n">
        <v>10392.95252649573</v>
      </c>
      <c r="BW53" s="2" t="n">
        <v>54825.02941076923</v>
      </c>
      <c r="BX53" s="2" t="n">
        <v>4473.54</v>
      </c>
      <c r="BY53" s="2" t="n">
        <v>696.34</v>
      </c>
      <c r="BZ53" s="2" t="n">
        <v>0</v>
      </c>
      <c r="CA53" s="2" t="n">
        <v>5169.88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1225</v>
      </c>
      <c r="B54" t="inlineStr">
        <is>
          <t>Plac Legionów 2, 37-700 Przemyśl</t>
        </is>
      </c>
      <c r="C54" t="inlineStr">
        <is>
          <t>Przemyśl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29605.06</v>
      </c>
      <c r="L54" s="2" t="n">
        <v>2464.347124074074</v>
      </c>
      <c r="M54" s="2" t="n">
        <v>27412.09259259259</v>
      </c>
      <c r="N54" s="2" t="n">
        <v>1962.7</v>
      </c>
      <c r="O54" s="2" t="n">
        <v>27403.15</v>
      </c>
      <c r="P54" s="2" t="n">
        <v>239.21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6500.780000000001</v>
      </c>
      <c r="AP54" s="2" t="n">
        <v>475.5200185185186</v>
      </c>
      <c r="AQ54" s="2" t="n">
        <v>6019.240740740741</v>
      </c>
      <c r="AR54" s="2" t="n">
        <v>1455.05</v>
      </c>
      <c r="AS54" s="2" t="n">
        <v>4942.97</v>
      </c>
      <c r="AT54" s="2" t="n">
        <v>102.76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36105.84</v>
      </c>
      <c r="BB54" s="2" t="n">
        <v>32688.09</v>
      </c>
      <c r="BC54" s="2">
        <f>F54+L54+R54+X54+AD54+AJ54+AP54+AV54+IF(BE54="",0,BE54)</f>
        <v/>
      </c>
      <c r="BD54" s="2" t="n">
        <v>503.3965860000001</v>
      </c>
      <c r="BE54" s="2" t="n"/>
      <c r="BF54" s="2" t="n">
        <v>33431.33333333333</v>
      </c>
      <c r="BG54" s="2" t="n">
        <v>456.34</v>
      </c>
      <c r="BH54" s="2" t="n">
        <v>102</v>
      </c>
      <c r="BI54" s="2" t="n">
        <v>43215.42</v>
      </c>
      <c r="BJ54" s="2" t="n">
        <v>63.5491452991453</v>
      </c>
      <c r="BK54" s="2" t="n">
        <v>0</v>
      </c>
      <c r="BL54" s="2" t="n">
        <v>20</v>
      </c>
      <c r="BM54" s="2" t="n">
        <v>478.9743589743589</v>
      </c>
      <c r="BN54" s="2" t="n">
        <v>5</v>
      </c>
      <c r="BO54" s="2" t="n">
        <v>0</v>
      </c>
      <c r="BP54" s="2" t="n">
        <v>441.289215</v>
      </c>
      <c r="BQ54" s="2" t="n">
        <v>0</v>
      </c>
      <c r="BR54" s="2" t="n">
        <v>44782.5727192735</v>
      </c>
      <c r="BS54" s="2" t="n">
        <v>856.8234444444444</v>
      </c>
      <c r="BT54" s="2" t="n">
        <v>410.2564102564103</v>
      </c>
      <c r="BU54" s="2" t="n">
        <v>9121.672671794871</v>
      </c>
      <c r="BV54" s="2" t="n">
        <v>10388.75252649573</v>
      </c>
      <c r="BW54" s="2" t="n">
        <v>55171.32524576923</v>
      </c>
      <c r="BX54" s="2" t="n">
        <v>32346.12</v>
      </c>
      <c r="BY54" s="2" t="n">
        <v>341.97</v>
      </c>
      <c r="BZ54" s="2" t="n">
        <v>3417.75</v>
      </c>
      <c r="CA54" s="2" t="n">
        <v>32688.09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1226</v>
      </c>
      <c r="B55" t="inlineStr">
        <is>
          <t>Plac Dworcowy 3, 33-100 Tarnów</t>
        </is>
      </c>
      <c r="C55" t="inlineStr">
        <is>
          <t>Tarnów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8395.76</v>
      </c>
      <c r="L55" s="2" t="n">
        <v>698.8692814814815</v>
      </c>
      <c r="M55" s="2" t="n">
        <v>7773.851851851851</v>
      </c>
      <c r="N55" s="2" t="n">
        <v>1670.26</v>
      </c>
      <c r="O55" s="2" t="n">
        <v>6439.44</v>
      </c>
      <c r="P55" s="2" t="n">
        <v>286.06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8071.37</v>
      </c>
      <c r="AP55" s="2" t="n">
        <v>590.4057685185185</v>
      </c>
      <c r="AQ55" s="2" t="n">
        <v>7473.49074074074</v>
      </c>
      <c r="AR55" s="2" t="n">
        <v>1866.41</v>
      </c>
      <c r="AS55" s="2" t="n">
        <v>5997.86</v>
      </c>
      <c r="AT55" s="2" t="n">
        <v>207.1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16467.13</v>
      </c>
      <c r="BB55" s="2" t="n">
        <v>12930.46</v>
      </c>
      <c r="BC55" s="2">
        <f>F55+L55+R55+X55+AD55+AJ55+AP55+AV55+IF(BE55="",0,BE55)</f>
        <v/>
      </c>
      <c r="BD55" s="2" t="n">
        <v>199.129084</v>
      </c>
      <c r="BE55" s="2" t="n"/>
      <c r="BF55" s="2" t="n">
        <v>15247.34259259259</v>
      </c>
      <c r="BG55" s="2" t="n">
        <v>456.34</v>
      </c>
      <c r="BH55" s="2" t="n">
        <v>142</v>
      </c>
      <c r="BI55" s="2" t="n">
        <v>43215.42</v>
      </c>
      <c r="BJ55" s="2" t="n">
        <v>63.5491452991453</v>
      </c>
      <c r="BK55" s="2" t="n">
        <v>0</v>
      </c>
      <c r="BL55" s="2" t="n">
        <v>20</v>
      </c>
      <c r="BM55" s="2" t="n">
        <v>478.9743589743589</v>
      </c>
      <c r="BN55" s="2" t="n">
        <v>5</v>
      </c>
      <c r="BO55" s="2" t="n">
        <v>0</v>
      </c>
      <c r="BP55" s="2" t="n">
        <v>174.56121</v>
      </c>
      <c r="BQ55" s="2" t="n">
        <v>0</v>
      </c>
      <c r="BR55" s="2" t="n">
        <v>44555.8447142735</v>
      </c>
      <c r="BS55" s="2" t="n">
        <v>856.8234444444444</v>
      </c>
      <c r="BT55" s="2" t="n">
        <v>410.2564102564103</v>
      </c>
      <c r="BU55" s="2" t="n">
        <v>9129.672671794871</v>
      </c>
      <c r="BV55" s="2" t="n">
        <v>10396.75252649573</v>
      </c>
      <c r="BW55" s="2" t="n">
        <v>54952.59724076923</v>
      </c>
      <c r="BX55" s="2" t="n">
        <v>12437.3</v>
      </c>
      <c r="BY55" s="2" t="n">
        <v>493.16</v>
      </c>
      <c r="BZ55" s="2" t="n">
        <v>3536.67</v>
      </c>
      <c r="CA55" s="2" t="n">
        <v>12930.46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1227</v>
      </c>
      <c r="B56" t="inlineStr">
        <is>
          <t>Bochnia</t>
        </is>
      </c>
      <c r="C56" t="inlineStr"/>
      <c r="D56" t="inlineStr"/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3573.47</v>
      </c>
      <c r="L56" s="2" t="n">
        <v>297.4582898148148</v>
      </c>
      <c r="M56" s="2" t="n">
        <v>3308.768518518518</v>
      </c>
      <c r="N56" s="2" t="n">
        <v>1144.25</v>
      </c>
      <c r="O56" s="2" t="n">
        <v>2199.77</v>
      </c>
      <c r="P56" s="2" t="n">
        <v>229.45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4336.41</v>
      </c>
      <c r="X56" s="2" t="n">
        <v>350</v>
      </c>
      <c r="Y56" s="2" t="n">
        <v>4015.194444444444</v>
      </c>
      <c r="Z56" s="2" t="n">
        <v>954.17</v>
      </c>
      <c r="AA56" s="2" t="n">
        <v>3277.78</v>
      </c>
      <c r="AB56" s="2" t="n">
        <v>104.46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2901.32</v>
      </c>
      <c r="AP56" s="2" t="n">
        <v>212.2261851851852</v>
      </c>
      <c r="AQ56" s="2" t="n">
        <v>2686.407407407407</v>
      </c>
      <c r="AR56" s="2" t="n">
        <v>803.11</v>
      </c>
      <c r="AS56" s="2" t="n">
        <v>2086.21</v>
      </c>
      <c r="AT56" s="2" t="n">
        <v>12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10811.2</v>
      </c>
      <c r="BB56" s="2" t="n">
        <v>7909.67</v>
      </c>
      <c r="BC56" s="2">
        <f>F56+L56+R56+X56+AD56+AJ56+AP56+AV56+IF(BE56="",0,BE56)</f>
        <v/>
      </c>
      <c r="BD56" s="2" t="n">
        <v>115.382662</v>
      </c>
      <c r="BE56" s="2" t="n"/>
      <c r="BF56" s="2" t="n">
        <v>10010.37037037037</v>
      </c>
      <c r="BG56" s="2" t="n">
        <v>456.34</v>
      </c>
      <c r="BH56" s="2" t="n">
        <v>92.8</v>
      </c>
      <c r="BI56" s="2" t="n">
        <v>43215.42</v>
      </c>
      <c r="BJ56" s="2" t="n">
        <v>63.5491452991453</v>
      </c>
      <c r="BK56" s="2" t="n">
        <v>0</v>
      </c>
      <c r="BL56" s="2" t="n">
        <v>20</v>
      </c>
      <c r="BM56" s="2" t="n">
        <v>478.9743589743589</v>
      </c>
      <c r="BN56" s="2" t="n">
        <v>5</v>
      </c>
      <c r="BO56" s="2" t="n">
        <v>0</v>
      </c>
      <c r="BP56" s="2" t="n">
        <v>106.780545</v>
      </c>
      <c r="BQ56" s="2" t="n">
        <v>0</v>
      </c>
      <c r="BR56" s="2" t="n">
        <v>44438.86404927351</v>
      </c>
      <c r="BS56" s="2" t="n">
        <v>856.8234444444444</v>
      </c>
      <c r="BT56" s="2" t="n">
        <v>410.2564102564103</v>
      </c>
      <c r="BU56" s="2" t="n">
        <v>9119.832671794871</v>
      </c>
      <c r="BV56" s="2" t="n">
        <v>10386.91252649573</v>
      </c>
      <c r="BW56" s="2" t="n">
        <v>54825.77657576923</v>
      </c>
      <c r="BX56" s="2" t="n">
        <v>7563.76</v>
      </c>
      <c r="BY56" s="2" t="n">
        <v>345.91</v>
      </c>
      <c r="BZ56" s="2" t="n">
        <v>2901.53</v>
      </c>
      <c r="CA56" s="2" t="n">
        <v>7909.67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1230</v>
      </c>
      <c r="B57" t="inlineStr">
        <is>
          <t>Bohaterów Getta Warszawskiego 12, 44-100 Gliwice</t>
        </is>
      </c>
      <c r="C57" t="inlineStr">
        <is>
          <t>Gliwice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10886.48</v>
      </c>
      <c r="L57" s="2" t="n">
        <v>906.1986592592594</v>
      </c>
      <c r="M57" s="2" t="n">
        <v>10080.07407407407</v>
      </c>
      <c r="N57" s="2" t="n">
        <v>2851.34</v>
      </c>
      <c r="O57" s="2" t="n">
        <v>7548.27</v>
      </c>
      <c r="P57" s="2" t="n">
        <v>486.87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10886.48</v>
      </c>
      <c r="BB57" s="2" t="n">
        <v>8035.14</v>
      </c>
      <c r="BC57" s="2">
        <f>F57+L57+R57+X57+AD57+AJ57+AP57+AV57+IF(BE57="",0,BE57)</f>
        <v/>
      </c>
      <c r="BD57" s="2" t="n">
        <v>123.741156</v>
      </c>
      <c r="BE57" s="2" t="n"/>
      <c r="BF57" s="2" t="n">
        <v>10080.07407407407</v>
      </c>
      <c r="BG57" s="2" t="n">
        <v>500</v>
      </c>
      <c r="BH57" s="2" t="n">
        <v>109.6</v>
      </c>
      <c r="BI57" s="2" t="n">
        <v>43215.42</v>
      </c>
      <c r="BJ57" s="2" t="n">
        <v>63.5491452991453</v>
      </c>
      <c r="BK57" s="2" t="n">
        <v>0</v>
      </c>
      <c r="BL57" s="2" t="n">
        <v>20</v>
      </c>
      <c r="BM57" s="2" t="n">
        <v>478.9743589743589</v>
      </c>
      <c r="BN57" s="2" t="n">
        <v>5</v>
      </c>
      <c r="BO57" s="2" t="n">
        <v>0</v>
      </c>
      <c r="BP57" s="2" t="n">
        <v>108.47439</v>
      </c>
      <c r="BQ57" s="2" t="n">
        <v>0</v>
      </c>
      <c r="BR57" s="2" t="n">
        <v>44501.01789427351</v>
      </c>
      <c r="BS57" s="2" t="n">
        <v>856.8234444444444</v>
      </c>
      <c r="BT57" s="2" t="n">
        <v>410.2564102564103</v>
      </c>
      <c r="BU57" s="2" t="n">
        <v>9131.924671794872</v>
      </c>
      <c r="BV57" s="2" t="n">
        <v>10399.00452649573</v>
      </c>
      <c r="BW57" s="2" t="n">
        <v>54900.02242076924</v>
      </c>
      <c r="BX57" s="2" t="n">
        <v>7548.27</v>
      </c>
      <c r="BY57" s="2" t="n">
        <v>486.87</v>
      </c>
      <c r="BZ57" s="2" t="n">
        <v>2851.34</v>
      </c>
      <c r="CA57" s="2" t="n">
        <v>8035.14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1232</v>
      </c>
      <c r="B58" t="inlineStr">
        <is>
          <t>Bielsko Biala</t>
        </is>
      </c>
      <c r="C58" t="inlineStr">
        <is>
          <t>Oława Zachodnia</t>
        </is>
      </c>
      <c r="D58" t="inlineStr">
        <is>
          <t>ST|40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4374.05</v>
      </c>
      <c r="L58" s="2" t="n">
        <v>364.099162037037</v>
      </c>
      <c r="M58" s="2" t="n">
        <v>4050.046296296296</v>
      </c>
      <c r="N58" s="2" t="n">
        <v>1438.09</v>
      </c>
      <c r="O58" s="2" t="n">
        <v>2868.16</v>
      </c>
      <c r="P58" s="2" t="n">
        <v>67.8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4374.05</v>
      </c>
      <c r="BB58" s="2" t="n">
        <v>2935.96</v>
      </c>
      <c r="BC58" s="2">
        <f>F58+L58+R58+X58+AD58+AJ58+AP58+AV58+IF(BE58="",0,BE58)</f>
        <v/>
      </c>
      <c r="BD58" s="2" t="n">
        <v>45.213784</v>
      </c>
      <c r="BE58" s="2" t="n"/>
      <c r="BF58" s="2" t="n">
        <v>4050.046296296296</v>
      </c>
      <c r="BG58" s="2" t="n">
        <v>596.39</v>
      </c>
      <c r="BH58" s="2" t="n">
        <v>27.6</v>
      </c>
      <c r="BI58" s="2" t="n">
        <v>43215.42</v>
      </c>
      <c r="BJ58" s="2" t="n">
        <v>63.5491452991453</v>
      </c>
      <c r="BK58" s="2" t="n">
        <v>0</v>
      </c>
      <c r="BL58" s="2" t="n">
        <v>20</v>
      </c>
      <c r="BM58" s="2" t="n">
        <v>478.9743589743589</v>
      </c>
      <c r="BN58" s="2" t="n">
        <v>5</v>
      </c>
      <c r="BO58" s="2" t="n">
        <v>0</v>
      </c>
      <c r="BP58" s="2" t="n">
        <v>39.63546</v>
      </c>
      <c r="BQ58" s="2" t="n">
        <v>0</v>
      </c>
      <c r="BR58" s="2" t="n">
        <v>44446.5689642735</v>
      </c>
      <c r="BS58" s="2" t="n">
        <v>856.8234444444444</v>
      </c>
      <c r="BT58" s="2" t="n">
        <v>410.2564102564103</v>
      </c>
      <c r="BU58" s="2" t="n">
        <v>9134.802671794872</v>
      </c>
      <c r="BV58" s="2" t="n">
        <v>10401.88252649573</v>
      </c>
      <c r="BW58" s="2" t="n">
        <v>54848.45149076923</v>
      </c>
      <c r="BX58" s="2" t="n">
        <v>2868.16</v>
      </c>
      <c r="BY58" s="2" t="n">
        <v>67.8</v>
      </c>
      <c r="BZ58" s="2" t="n">
        <v>1438.09</v>
      </c>
      <c r="CA58" s="2" t="n">
        <v>2935.96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1234</v>
      </c>
      <c r="B59" t="inlineStr">
        <is>
          <t>Kolejowa 88, 68-100 Żagań</t>
        </is>
      </c>
      <c r="C59" t="inlineStr">
        <is>
          <t>Żagań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905.83</v>
      </c>
      <c r="L59" s="2" t="n">
        <v>75.40196018518519</v>
      </c>
      <c r="M59" s="2" t="n">
        <v>838.7314814814814</v>
      </c>
      <c r="N59" s="2" t="n">
        <v>249.87</v>
      </c>
      <c r="O59" s="2" t="n">
        <v>590.86</v>
      </c>
      <c r="P59" s="2" t="n">
        <v>65.09999999999999</v>
      </c>
      <c r="Q59" s="2" t="n">
        <v>5461.49</v>
      </c>
      <c r="R59" s="2" t="n">
        <v>1600</v>
      </c>
      <c r="S59" s="2" t="n">
        <v>5056.935185185184</v>
      </c>
      <c r="T59" s="2" t="n">
        <v>2120.73</v>
      </c>
      <c r="U59" s="2" t="n">
        <v>3076.84</v>
      </c>
      <c r="V59" s="2" t="n">
        <v>263.92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3804.7</v>
      </c>
      <c r="AP59" s="2" t="n">
        <v>278.3067592592593</v>
      </c>
      <c r="AQ59" s="2" t="n">
        <v>3522.87037037037</v>
      </c>
      <c r="AR59" s="2" t="n">
        <v>821.6799999999999</v>
      </c>
      <c r="AS59" s="2" t="n">
        <v>2666.91</v>
      </c>
      <c r="AT59" s="2" t="n">
        <v>316.11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10172.02</v>
      </c>
      <c r="BB59" s="2" t="n">
        <v>6979.74</v>
      </c>
      <c r="BC59" s="2">
        <f>F59+L59+R59+X59+AD59+AJ59+AP59+AV59+IF(BE59="",0,BE59)</f>
        <v/>
      </c>
      <c r="BD59" s="2" t="n">
        <v>107.487996</v>
      </c>
      <c r="BE59" s="2" t="n"/>
      <c r="BF59" s="2" t="n">
        <v>9418.537037037036</v>
      </c>
      <c r="BG59" s="2" t="n">
        <v>594.14</v>
      </c>
      <c r="BH59" s="2" t="n">
        <v>219</v>
      </c>
      <c r="BI59" s="2" t="n">
        <v>43215.42</v>
      </c>
      <c r="BJ59" s="2" t="n">
        <v>63.5491452991453</v>
      </c>
      <c r="BK59" s="2" t="n">
        <v>0</v>
      </c>
      <c r="BL59" s="2" t="n">
        <v>20</v>
      </c>
      <c r="BM59" s="2" t="n">
        <v>478.9743589743589</v>
      </c>
      <c r="BN59" s="2" t="n">
        <v>5</v>
      </c>
      <c r="BO59" s="2" t="n">
        <v>0</v>
      </c>
      <c r="BP59" s="2" t="n">
        <v>94.22649000000001</v>
      </c>
      <c r="BQ59" s="2" t="n">
        <v>0</v>
      </c>
      <c r="BR59" s="2" t="n">
        <v>44690.30999427351</v>
      </c>
      <c r="BS59" s="2" t="n">
        <v>856.8234444444444</v>
      </c>
      <c r="BT59" s="2" t="n">
        <v>410.2564102564103</v>
      </c>
      <c r="BU59" s="2" t="n">
        <v>9172.632671794872</v>
      </c>
      <c r="BV59" s="2" t="n">
        <v>10439.71252649573</v>
      </c>
      <c r="BW59" s="2" t="n">
        <v>55130.02252076923</v>
      </c>
      <c r="BX59" s="2" t="n">
        <v>6334.610000000001</v>
      </c>
      <c r="BY59" s="2" t="n">
        <v>645.13</v>
      </c>
      <c r="BZ59" s="2" t="n">
        <v>3192.28</v>
      </c>
      <c r="CA59" s="2" t="n">
        <v>6979.740000000001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1235</v>
      </c>
      <c r="B60" t="inlineStr">
        <is>
          <t>Dworcowa 2, 61-801 Poznań</t>
        </is>
      </c>
      <c r="C60" t="inlineStr">
        <is>
          <t>Poznań Główny, Dworzec Zachodni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7029.78</v>
      </c>
      <c r="L60" s="2" t="n">
        <v>585.1640944444445</v>
      </c>
      <c r="M60" s="2" t="n">
        <v>6509.055555555555</v>
      </c>
      <c r="N60" s="2" t="n">
        <v>957.29</v>
      </c>
      <c r="O60" s="2" t="n">
        <v>6072.49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11332.02</v>
      </c>
      <c r="AD60" s="2" t="n">
        <v>723.9901666666667</v>
      </c>
      <c r="AE60" s="2" t="n">
        <v>10492.61111111111</v>
      </c>
      <c r="AF60" s="2" t="n">
        <v>1508.38</v>
      </c>
      <c r="AG60" s="2" t="n">
        <v>9823.639999999999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5197.03</v>
      </c>
      <c r="AP60" s="2" t="n">
        <v>380.1531203703703</v>
      </c>
      <c r="AQ60" s="2" t="n">
        <v>4812.064814814814</v>
      </c>
      <c r="AR60" s="2" t="n">
        <v>498.12</v>
      </c>
      <c r="AS60" s="2" t="n">
        <v>4698.91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23558.83</v>
      </c>
      <c r="BB60" s="2" t="n">
        <v>20595.04</v>
      </c>
      <c r="BC60" s="2">
        <f>F60+L60+R60+X60+AD60+AJ60+AP60+AV60+IF(BE60="",0,BE60)</f>
        <v/>
      </c>
      <c r="BD60" s="2" t="n">
        <v>317.163616</v>
      </c>
      <c r="BE60" s="2" t="n"/>
      <c r="BF60" s="2" t="n">
        <v>21813.73148148148</v>
      </c>
      <c r="BG60" s="2" t="n">
        <v>458.58</v>
      </c>
      <c r="BH60" s="2" t="n">
        <v>0</v>
      </c>
      <c r="BI60" s="2" t="n">
        <v>43215.42</v>
      </c>
      <c r="BJ60" s="2" t="n">
        <v>63.5491452991453</v>
      </c>
      <c r="BK60" s="2" t="n">
        <v>0</v>
      </c>
      <c r="BL60" s="2" t="n">
        <v>20</v>
      </c>
      <c r="BM60" s="2" t="n">
        <v>478.9743589743589</v>
      </c>
      <c r="BN60" s="2" t="n">
        <v>5</v>
      </c>
      <c r="BO60" s="2" t="n">
        <v>0</v>
      </c>
      <c r="BP60" s="2" t="n">
        <v>278.03304</v>
      </c>
      <c r="BQ60" s="2" t="n">
        <v>0</v>
      </c>
      <c r="BR60" s="2" t="n">
        <v>44519.55654427351</v>
      </c>
      <c r="BS60" s="2" t="n">
        <v>856.8234444444444</v>
      </c>
      <c r="BT60" s="2" t="n">
        <v>410.2564102564103</v>
      </c>
      <c r="BU60" s="2" t="n">
        <v>9101.72067179487</v>
      </c>
      <c r="BV60" s="2" t="n">
        <v>10368.80052649572</v>
      </c>
      <c r="BW60" s="2" t="n">
        <v>54888.35707076923</v>
      </c>
      <c r="BX60" s="2" t="n">
        <v>20595.04</v>
      </c>
      <c r="BY60" s="2" t="n">
        <v>0</v>
      </c>
      <c r="BZ60" s="2" t="n">
        <v>2963.79</v>
      </c>
      <c r="CA60" s="2" t="n">
        <v>20595.04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1236</v>
      </c>
      <c r="B61" t="inlineStr">
        <is>
          <t>Pelplin</t>
        </is>
      </c>
      <c r="C61" t="inlineStr">
        <is>
          <t>Pelplin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2736.69</v>
      </c>
      <c r="AP61" s="2" t="n">
        <v>3900</v>
      </c>
      <c r="AQ61" s="2" t="n">
        <v>2533.972222222222</v>
      </c>
      <c r="AR61" s="2" t="n">
        <v>0</v>
      </c>
      <c r="AS61" s="2" t="n">
        <v>2373.09</v>
      </c>
      <c r="AT61" s="2" t="n">
        <v>363.6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2736.69</v>
      </c>
      <c r="BB61" s="2" t="n">
        <v>2736.69</v>
      </c>
      <c r="BC61" s="2">
        <f>F61+L61+R61+X61+AD61+AJ61+AP61+AV61+IF(BE61="",0,BE61)</f>
        <v/>
      </c>
      <c r="BD61" s="2" t="n">
        <v>42.145026</v>
      </c>
      <c r="BE61" s="2" t="n"/>
      <c r="BF61" s="2" t="n">
        <v>2533.972222222222</v>
      </c>
      <c r="BG61" s="2" t="n">
        <v>458.58</v>
      </c>
      <c r="BH61" s="2" t="n">
        <v>0</v>
      </c>
      <c r="BI61" s="2" t="n">
        <v>43215.42</v>
      </c>
      <c r="BJ61" s="2" t="n">
        <v>63.5491452991453</v>
      </c>
      <c r="BK61" s="2" t="n">
        <v>0</v>
      </c>
      <c r="BL61" s="2" t="n">
        <v>20</v>
      </c>
      <c r="BM61" s="2" t="n">
        <v>478.9743589743589</v>
      </c>
      <c r="BN61" s="2" t="n">
        <v>5</v>
      </c>
      <c r="BO61" s="2" t="n">
        <v>0</v>
      </c>
      <c r="BP61" s="2" t="n">
        <v>36.945315</v>
      </c>
      <c r="BQ61" s="2" t="n">
        <v>0</v>
      </c>
      <c r="BR61" s="2" t="n">
        <v>44278.4688192735</v>
      </c>
      <c r="BS61" s="2" t="n">
        <v>856.8234444444444</v>
      </c>
      <c r="BT61" s="2" t="n">
        <v>410.2564102564103</v>
      </c>
      <c r="BU61" s="2" t="n">
        <v>9101.72067179487</v>
      </c>
      <c r="BV61" s="2" t="n">
        <v>10368.80052649572</v>
      </c>
      <c r="BW61" s="2" t="n">
        <v>54647.26934576923</v>
      </c>
      <c r="BX61" s="2" t="n">
        <v>2373.09</v>
      </c>
      <c r="BY61" s="2" t="n">
        <v>363.6</v>
      </c>
      <c r="BZ61" s="2" t="n">
        <v>0</v>
      </c>
      <c r="CA61" s="2" t="n">
        <v>2736.69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1237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12539.47</v>
      </c>
      <c r="L62" s="2" t="n">
        <v>1043.794771296296</v>
      </c>
      <c r="M62" s="2" t="n">
        <v>11610.62037037037</v>
      </c>
      <c r="N62" s="2" t="n">
        <v>2264.67</v>
      </c>
      <c r="O62" s="2" t="n">
        <v>9655.469999999999</v>
      </c>
      <c r="P62" s="2" t="n">
        <v>619.33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22154.73</v>
      </c>
      <c r="AD62" s="2" t="n">
        <v>1415.441083333333</v>
      </c>
      <c r="AE62" s="2" t="n">
        <v>20513.63888888889</v>
      </c>
      <c r="AF62" s="2" t="n">
        <v>3934.94</v>
      </c>
      <c r="AG62" s="2" t="n">
        <v>17075.13</v>
      </c>
      <c r="AH62" s="2" t="n">
        <v>1144.66</v>
      </c>
      <c r="AI62" s="2" t="n">
        <v>44.1</v>
      </c>
      <c r="AJ62" s="2" t="n">
        <v>3.0625</v>
      </c>
      <c r="AK62" s="2" t="n">
        <v>40.83333333333333</v>
      </c>
      <c r="AL62" s="2" t="n">
        <v>0</v>
      </c>
      <c r="AM62" s="2" t="n">
        <v>0</v>
      </c>
      <c r="AN62" s="2" t="n">
        <v>44.1</v>
      </c>
      <c r="AO62" s="2" t="n">
        <v>8611.35</v>
      </c>
      <c r="AP62" s="2" t="n">
        <v>629.9043055555555</v>
      </c>
      <c r="AQ62" s="2" t="n">
        <v>7973.472222222222</v>
      </c>
      <c r="AR62" s="2" t="n">
        <v>1607.23</v>
      </c>
      <c r="AS62" s="2" t="n">
        <v>6621.1</v>
      </c>
      <c r="AT62" s="2" t="n">
        <v>383.02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43349.64999999999</v>
      </c>
      <c r="BB62" s="2" t="n">
        <v>35542.81</v>
      </c>
      <c r="BC62" s="2">
        <f>F62+L62+R62+X62+AD62+AJ62+AP62+AV62+IF(BE62="",0,BE62)</f>
        <v/>
      </c>
      <c r="BD62" s="2" t="n">
        <v>547.359274</v>
      </c>
      <c r="BE62" s="2" t="n"/>
      <c r="BF62" s="2" t="n">
        <v>40138.56481481481</v>
      </c>
      <c r="BG62" s="2" t="n">
        <v>458.58</v>
      </c>
      <c r="BH62" s="2" t="n">
        <v>0</v>
      </c>
      <c r="BI62" s="2" t="n">
        <v>43215.42</v>
      </c>
      <c r="BJ62" s="2" t="n">
        <v>63.5491452991453</v>
      </c>
      <c r="BK62" s="2" t="n">
        <v>0</v>
      </c>
      <c r="BL62" s="2" t="n">
        <v>20</v>
      </c>
      <c r="BM62" s="2" t="n">
        <v>478.9743589743589</v>
      </c>
      <c r="BN62" s="2" t="n">
        <v>5</v>
      </c>
      <c r="BO62" s="2" t="n">
        <v>0</v>
      </c>
      <c r="BP62" s="2" t="n">
        <v>479.827935</v>
      </c>
      <c r="BQ62" s="2" t="n">
        <v>0</v>
      </c>
      <c r="BR62" s="2" t="n">
        <v>44721.35143927351</v>
      </c>
      <c r="BS62" s="2" t="n">
        <v>856.8234444444444</v>
      </c>
      <c r="BT62" s="2" t="n">
        <v>410.2564102564103</v>
      </c>
      <c r="BU62" s="2" t="n">
        <v>9101.72067179487</v>
      </c>
      <c r="BV62" s="2" t="n">
        <v>10368.80052649572</v>
      </c>
      <c r="BW62" s="2" t="n">
        <v>55090.15196576923</v>
      </c>
      <c r="BX62" s="2" t="n">
        <v>33351.7</v>
      </c>
      <c r="BY62" s="2" t="n">
        <v>2191.11</v>
      </c>
      <c r="BZ62" s="2" t="n">
        <v>7806.84</v>
      </c>
      <c r="CA62" s="2" t="n">
        <v>35542.81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1238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8914.949999999999</v>
      </c>
      <c r="L63" s="2" t="n">
        <v>742.0870416666667</v>
      </c>
      <c r="M63" s="2" t="n">
        <v>8254.583333333332</v>
      </c>
      <c r="N63" s="2" t="n">
        <v>1421.02</v>
      </c>
      <c r="O63" s="2" t="n">
        <v>6915.87</v>
      </c>
      <c r="P63" s="2" t="n">
        <v>578.0599999999999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16246.77</v>
      </c>
      <c r="AD63" s="2" t="n">
        <v>1037.988083333333</v>
      </c>
      <c r="AE63" s="2" t="n">
        <v>15043.30555555555</v>
      </c>
      <c r="AF63" s="2" t="n">
        <v>2665.19</v>
      </c>
      <c r="AG63" s="2" t="n">
        <v>12963.39</v>
      </c>
      <c r="AH63" s="2" t="n">
        <v>618.1900000000001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4452.18</v>
      </c>
      <c r="AP63" s="2" t="n">
        <v>325.6687222222222</v>
      </c>
      <c r="AQ63" s="2" t="n">
        <v>4122.388888888889</v>
      </c>
      <c r="AR63" s="2" t="n">
        <v>742.4</v>
      </c>
      <c r="AS63" s="2" t="n">
        <v>3471.32</v>
      </c>
      <c r="AT63" s="2" t="n">
        <v>238.46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29613.9</v>
      </c>
      <c r="BB63" s="2" t="n">
        <v>24785.29</v>
      </c>
      <c r="BC63" s="2">
        <f>F63+L63+R63+X63+AD63+AJ63+AP63+AV63+IF(BE63="",0,BE63)</f>
        <v/>
      </c>
      <c r="BD63" s="2" t="n">
        <v>381.693466</v>
      </c>
      <c r="BE63" s="2" t="n"/>
      <c r="BF63" s="2" t="n">
        <v>27420.27777777777</v>
      </c>
      <c r="BG63" s="2" t="n">
        <v>458.58</v>
      </c>
      <c r="BH63" s="2" t="n">
        <v>0</v>
      </c>
      <c r="BI63" s="2" t="n">
        <v>43215.42</v>
      </c>
      <c r="BJ63" s="2" t="n">
        <v>63.5491452991453</v>
      </c>
      <c r="BK63" s="2" t="n">
        <v>0</v>
      </c>
      <c r="BL63" s="2" t="n">
        <v>20</v>
      </c>
      <c r="BM63" s="2" t="n">
        <v>478.9743589743589</v>
      </c>
      <c r="BN63" s="2" t="n">
        <v>5</v>
      </c>
      <c r="BO63" s="2" t="n">
        <v>0</v>
      </c>
      <c r="BP63" s="2" t="n">
        <v>334.601415</v>
      </c>
      <c r="BQ63" s="2" t="n">
        <v>0</v>
      </c>
      <c r="BR63" s="2" t="n">
        <v>44576.1249192735</v>
      </c>
      <c r="BS63" s="2" t="n">
        <v>856.8234444444444</v>
      </c>
      <c r="BT63" s="2" t="n">
        <v>410.2564102564103</v>
      </c>
      <c r="BU63" s="2" t="n">
        <v>9101.72067179487</v>
      </c>
      <c r="BV63" s="2" t="n">
        <v>10368.80052649572</v>
      </c>
      <c r="BW63" s="2" t="n">
        <v>54944.92544576923</v>
      </c>
      <c r="BX63" s="2" t="n">
        <v>23350.58</v>
      </c>
      <c r="BY63" s="2" t="n">
        <v>1434.71</v>
      </c>
      <c r="BZ63" s="2" t="n">
        <v>4828.61</v>
      </c>
      <c r="CA63" s="2" t="n">
        <v>24785.29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1239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15708.03</v>
      </c>
      <c r="L64" s="2" t="n">
        <v>1307.548052777778</v>
      </c>
      <c r="M64" s="2" t="n">
        <v>14544.47222222222</v>
      </c>
      <c r="N64" s="2" t="n">
        <v>3104.34</v>
      </c>
      <c r="O64" s="2" t="n">
        <v>11605.79</v>
      </c>
      <c r="P64" s="2" t="n">
        <v>997.9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32451.66</v>
      </c>
      <c r="AD64" s="2" t="n">
        <v>2073.3005</v>
      </c>
      <c r="AE64" s="2" t="n">
        <v>30047.83333333333</v>
      </c>
      <c r="AF64" s="2" t="n">
        <v>5428.24</v>
      </c>
      <c r="AG64" s="2" t="n">
        <v>25685.35</v>
      </c>
      <c r="AH64" s="2" t="n">
        <v>1338.07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10266.25</v>
      </c>
      <c r="AP64" s="2" t="n">
        <v>750.9571759259259</v>
      </c>
      <c r="AQ64" s="2" t="n">
        <v>9505.787037037036</v>
      </c>
      <c r="AR64" s="2" t="n">
        <v>1907.8</v>
      </c>
      <c r="AS64" s="2" t="n">
        <v>7946.6</v>
      </c>
      <c r="AT64" s="2" t="n">
        <v>411.85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58425.94</v>
      </c>
      <c r="BB64" s="2" t="n">
        <v>47985.56</v>
      </c>
      <c r="BC64" s="2">
        <f>F64+L64+R64+X64+AD64+AJ64+AP64+AV64+IF(BE64="",0,BE64)</f>
        <v/>
      </c>
      <c r="BD64" s="2" t="n">
        <v>738.977624</v>
      </c>
      <c r="BE64" s="2" t="n"/>
      <c r="BF64" s="2" t="n">
        <v>54098.09259259258</v>
      </c>
      <c r="BG64" s="2" t="n">
        <v>458.58</v>
      </c>
      <c r="BH64" s="2" t="n">
        <v>0</v>
      </c>
      <c r="BI64" s="2" t="n">
        <v>43215.42</v>
      </c>
      <c r="BJ64" s="2" t="n">
        <v>63.5491452991453</v>
      </c>
      <c r="BK64" s="2" t="n">
        <v>0</v>
      </c>
      <c r="BL64" s="2" t="n">
        <v>20</v>
      </c>
      <c r="BM64" s="2" t="n">
        <v>478.9743589743589</v>
      </c>
      <c r="BN64" s="2" t="n">
        <v>5</v>
      </c>
      <c r="BO64" s="2" t="n">
        <v>0</v>
      </c>
      <c r="BP64" s="2" t="n">
        <v>647.80506</v>
      </c>
      <c r="BQ64" s="2" t="n">
        <v>0</v>
      </c>
      <c r="BR64" s="2" t="n">
        <v>44889.32856427351</v>
      </c>
      <c r="BS64" s="2" t="n">
        <v>856.8234444444444</v>
      </c>
      <c r="BT64" s="2" t="n">
        <v>410.2564102564103</v>
      </c>
      <c r="BU64" s="2" t="n">
        <v>9101.72067179487</v>
      </c>
      <c r="BV64" s="2" t="n">
        <v>10368.80052649572</v>
      </c>
      <c r="BW64" s="2" t="n">
        <v>55258.12909076923</v>
      </c>
      <c r="BX64" s="2" t="n">
        <v>45237.74</v>
      </c>
      <c r="BY64" s="2" t="n">
        <v>2747.82</v>
      </c>
      <c r="BZ64" s="2" t="n">
        <v>10440.38</v>
      </c>
      <c r="CA64" s="2" t="n">
        <v>47985.56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1240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29296.9</v>
      </c>
      <c r="L65" s="2" t="n">
        <v>2438.695657407407</v>
      </c>
      <c r="M65" s="2" t="n">
        <v>27126.75925925926</v>
      </c>
      <c r="N65" s="2" t="n">
        <v>5943.35</v>
      </c>
      <c r="O65" s="2" t="n">
        <v>21374.76</v>
      </c>
      <c r="P65" s="2" t="n">
        <v>1978.79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55458.14999999999</v>
      </c>
      <c r="AD65" s="2" t="n">
        <v>3543.159583333333</v>
      </c>
      <c r="AE65" s="2" t="n">
        <v>51350.13888888888</v>
      </c>
      <c r="AF65" s="2" t="n">
        <v>9806.66</v>
      </c>
      <c r="AG65" s="2" t="n">
        <v>42704.82</v>
      </c>
      <c r="AH65" s="2" t="n">
        <v>2946.67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16899.63</v>
      </c>
      <c r="AP65" s="2" t="n">
        <v>1236.176638888889</v>
      </c>
      <c r="AQ65" s="2" t="n">
        <v>15647.80555555555</v>
      </c>
      <c r="AR65" s="2" t="n">
        <v>2768.83</v>
      </c>
      <c r="AS65" s="2" t="n">
        <v>13151.25</v>
      </c>
      <c r="AT65" s="2" t="n">
        <v>979.55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101654.68</v>
      </c>
      <c r="BB65" s="2" t="n">
        <v>83135.84</v>
      </c>
      <c r="BC65" s="2">
        <f>F65+L65+R65+X65+AD65+AJ65+AP65+AV65+IF(BE65="",0,BE65)</f>
        <v/>
      </c>
      <c r="BD65" s="2" t="n">
        <v>1280.291936</v>
      </c>
      <c r="BE65" s="2" t="n"/>
      <c r="BF65" s="2" t="n">
        <v>94124.70370370371</v>
      </c>
      <c r="BG65" s="2" t="n">
        <v>458.58</v>
      </c>
      <c r="BH65" s="2" t="n">
        <v>0</v>
      </c>
      <c r="BI65" s="2" t="n">
        <v>43215.42</v>
      </c>
      <c r="BJ65" s="2" t="n">
        <v>63.5491452991453</v>
      </c>
      <c r="BK65" s="2" t="n">
        <v>0</v>
      </c>
      <c r="BL65" s="2" t="n">
        <v>20</v>
      </c>
      <c r="BM65" s="2" t="n">
        <v>478.9743589743589</v>
      </c>
      <c r="BN65" s="2" t="n">
        <v>5</v>
      </c>
      <c r="BO65" s="2" t="n">
        <v>0</v>
      </c>
      <c r="BP65" s="2" t="n">
        <v>1122.33384</v>
      </c>
      <c r="BQ65" s="2" t="n">
        <v>0</v>
      </c>
      <c r="BR65" s="2" t="n">
        <v>45363.85734427351</v>
      </c>
      <c r="BS65" s="2" t="n">
        <v>856.8234444444444</v>
      </c>
      <c r="BT65" s="2" t="n">
        <v>410.2564102564103</v>
      </c>
      <c r="BU65" s="2" t="n">
        <v>9101.72067179487</v>
      </c>
      <c r="BV65" s="2" t="n">
        <v>10368.80052649572</v>
      </c>
      <c r="BW65" s="2" t="n">
        <v>55732.65787076923</v>
      </c>
      <c r="BX65" s="2" t="n">
        <v>77230.83</v>
      </c>
      <c r="BY65" s="2" t="n">
        <v>5905.01</v>
      </c>
      <c r="BZ65" s="2" t="n">
        <v>18518.84</v>
      </c>
      <c r="CA65" s="2" t="n">
        <v>83135.84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1241</v>
      </c>
      <c r="B66" t="inlineStr">
        <is>
          <t>Kolejowa 1, 62-510 Konin</t>
        </is>
      </c>
      <c r="C66" t="inlineStr">
        <is>
          <t>Konin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2511.77</v>
      </c>
      <c r="L66" s="2" t="n">
        <v>209.0815953703704</v>
      </c>
      <c r="M66" s="2" t="n">
        <v>2325.712962962963</v>
      </c>
      <c r="N66" s="2" t="n">
        <v>450.82</v>
      </c>
      <c r="O66" s="2" t="n">
        <v>1897.66</v>
      </c>
      <c r="P66" s="2" t="n">
        <v>163.29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8105.76</v>
      </c>
      <c r="AD66" s="2" t="n">
        <v>517.8680000000001</v>
      </c>
      <c r="AE66" s="2" t="n">
        <v>7505.333333333333</v>
      </c>
      <c r="AF66" s="2" t="n">
        <v>1433.01</v>
      </c>
      <c r="AG66" s="2" t="n">
        <v>6390.31</v>
      </c>
      <c r="AH66" s="2" t="n">
        <v>282.44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186</v>
      </c>
      <c r="AP66" s="2" t="n">
        <v>13.60555555555555</v>
      </c>
      <c r="AQ66" s="2" t="n">
        <v>172.2222222222222</v>
      </c>
      <c r="AR66" s="2" t="n">
        <v>0</v>
      </c>
      <c r="AS66" s="2" t="n">
        <v>186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10803.53</v>
      </c>
      <c r="BB66" s="2" t="n">
        <v>8919.700000000001</v>
      </c>
      <c r="BC66" s="2">
        <f>F66+L66+R66+X66+AD66+AJ66+AP66+AV66+IF(BE66="",0,BE66)</f>
        <v/>
      </c>
      <c r="BD66" s="2" t="n">
        <v>137.36338</v>
      </c>
      <c r="BE66" s="2" t="n"/>
      <c r="BF66" s="2" t="n">
        <v>10003.26851851852</v>
      </c>
      <c r="BG66" s="2" t="n">
        <v>420</v>
      </c>
      <c r="BH66" s="2" t="n">
        <v>187</v>
      </c>
      <c r="BI66" s="2" t="n">
        <v>43215.42</v>
      </c>
      <c r="BJ66" s="2" t="n">
        <v>63.5491452991453</v>
      </c>
      <c r="BK66" s="2" t="n">
        <v>0</v>
      </c>
      <c r="BL66" s="2" t="n">
        <v>20</v>
      </c>
      <c r="BM66" s="2" t="n">
        <v>478.9743589743589</v>
      </c>
      <c r="BN66" s="2" t="n">
        <v>5</v>
      </c>
      <c r="BO66" s="2" t="n">
        <v>0</v>
      </c>
      <c r="BP66" s="2" t="n">
        <v>120.41595</v>
      </c>
      <c r="BQ66" s="2" t="n">
        <v>0</v>
      </c>
      <c r="BR66" s="2" t="n">
        <v>44510.35945427351</v>
      </c>
      <c r="BS66" s="2" t="n">
        <v>856.8234444444444</v>
      </c>
      <c r="BT66" s="2" t="n">
        <v>410.2564102564103</v>
      </c>
      <c r="BU66" s="2" t="n">
        <v>9131.404671794871</v>
      </c>
      <c r="BV66" s="2" t="n">
        <v>10398.48452649573</v>
      </c>
      <c r="BW66" s="2" t="n">
        <v>54908.84398076923</v>
      </c>
      <c r="BX66" s="2" t="n">
        <v>8473.970000000001</v>
      </c>
      <c r="BY66" s="2" t="n">
        <v>445.73</v>
      </c>
      <c r="BZ66" s="2" t="n">
        <v>1883.83</v>
      </c>
      <c r="CA66" s="2" t="n">
        <v>8919.700000000001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1242</v>
      </c>
      <c r="B67" t="inlineStr">
        <is>
          <t>Dworcowa 1, 62-800 Kalisz</t>
        </is>
      </c>
      <c r="C67" t="inlineStr">
        <is>
          <t>Kalisz</t>
        </is>
      </c>
      <c r="D67" t="inlineStr">
        <is>
          <t>ST|40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10779.82</v>
      </c>
      <c r="L67" s="2" t="n">
        <v>897.3202018518518</v>
      </c>
      <c r="M67" s="2" t="n">
        <v>9981.314814814814</v>
      </c>
      <c r="N67" s="2" t="n">
        <v>4930.84</v>
      </c>
      <c r="O67" s="2" t="n">
        <v>5079.19</v>
      </c>
      <c r="P67" s="2" t="n">
        <v>769.79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2334.7</v>
      </c>
      <c r="AD67" s="2" t="n">
        <v>149.1613888888889</v>
      </c>
      <c r="AE67" s="2" t="n">
        <v>2161.759259259259</v>
      </c>
      <c r="AF67" s="2" t="n">
        <v>559.3200000000001</v>
      </c>
      <c r="AG67" s="2" t="n">
        <v>1655.28</v>
      </c>
      <c r="AH67" s="2" t="n">
        <v>120.1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7036.46</v>
      </c>
      <c r="AP67" s="2" t="n">
        <v>514.7040185185184</v>
      </c>
      <c r="AQ67" s="2" t="n">
        <v>6515.24074074074</v>
      </c>
      <c r="AR67" s="2" t="n">
        <v>2080.93</v>
      </c>
      <c r="AS67" s="2" t="n">
        <v>4663.42</v>
      </c>
      <c r="AT67" s="2" t="n">
        <v>292.11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20150.98</v>
      </c>
      <c r="BB67" s="2" t="n">
        <v>12579.89</v>
      </c>
      <c r="BC67" s="2">
        <f>F67+L67+R67+X67+AD67+AJ67+AP67+AV67+IF(BE67="",0,BE67)</f>
        <v/>
      </c>
      <c r="BD67" s="2" t="n">
        <v>193.730306</v>
      </c>
      <c r="BE67" s="2" t="n"/>
      <c r="BF67" s="2" t="n">
        <v>18658.31481481481</v>
      </c>
      <c r="BG67" s="2" t="n">
        <v>550.4299999999999</v>
      </c>
      <c r="BH67" s="2" t="n">
        <v>213</v>
      </c>
      <c r="BI67" s="2" t="n">
        <v>43215.42</v>
      </c>
      <c r="BJ67" s="2" t="n">
        <v>63.5491452991453</v>
      </c>
      <c r="BK67" s="2" t="n">
        <v>0</v>
      </c>
      <c r="BL67" s="2" t="n">
        <v>20</v>
      </c>
      <c r="BM67" s="2" t="n">
        <v>478.9743589743589</v>
      </c>
      <c r="BN67" s="2" t="n">
        <v>5</v>
      </c>
      <c r="BO67" s="2" t="n">
        <v>0</v>
      </c>
      <c r="BP67" s="2" t="n">
        <v>169.828515</v>
      </c>
      <c r="BQ67" s="2" t="n">
        <v>0</v>
      </c>
      <c r="BR67" s="2" t="n">
        <v>44716.20201927351</v>
      </c>
      <c r="BS67" s="2" t="n">
        <v>856.8234444444444</v>
      </c>
      <c r="BT67" s="2" t="n">
        <v>410.2564102564103</v>
      </c>
      <c r="BU67" s="2" t="n">
        <v>9162.690671794871</v>
      </c>
      <c r="BV67" s="2" t="n">
        <v>10429.77052649573</v>
      </c>
      <c r="BW67" s="2" t="n">
        <v>55145.97254576923</v>
      </c>
      <c r="BX67" s="2" t="n">
        <v>11397.89</v>
      </c>
      <c r="BY67" s="2" t="n">
        <v>1182</v>
      </c>
      <c r="BZ67" s="2" t="n">
        <v>7571.09</v>
      </c>
      <c r="CA67" s="2" t="n">
        <v>12579.89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1243</v>
      </c>
      <c r="B68" t="inlineStr">
        <is>
          <t>Garbary 89, 61-757 Poznań</t>
        </is>
      </c>
      <c r="C68" t="inlineStr">
        <is>
          <t>Poznań Garbary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256.7</v>
      </c>
      <c r="L68" s="2" t="n">
        <v>21.36789814814815</v>
      </c>
      <c r="M68" s="2" t="n">
        <v>237.6851851851852</v>
      </c>
      <c r="N68" s="2" t="n">
        <v>0</v>
      </c>
      <c r="O68" s="2" t="n">
        <v>256.7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15939.6</v>
      </c>
      <c r="AD68" s="2" t="n">
        <v>1018.363333333333</v>
      </c>
      <c r="AE68" s="2" t="n">
        <v>14758.88888888889</v>
      </c>
      <c r="AF68" s="2" t="n">
        <v>2461.19</v>
      </c>
      <c r="AG68" s="2" t="n">
        <v>12717.71</v>
      </c>
      <c r="AH68" s="2" t="n">
        <v>760.7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2512.19</v>
      </c>
      <c r="AP68" s="2" t="n">
        <v>183.7620462962963</v>
      </c>
      <c r="AQ68" s="2" t="n">
        <v>2326.101851851852</v>
      </c>
      <c r="AR68" s="2" t="n">
        <v>643.1</v>
      </c>
      <c r="AS68" s="2" t="n">
        <v>1796.59</v>
      </c>
      <c r="AT68" s="2" t="n">
        <v>72.5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18708.49</v>
      </c>
      <c r="BB68" s="2" t="n">
        <v>15604.2</v>
      </c>
      <c r="BC68" s="2">
        <f>F68+L68+R68+X68+AD68+AJ68+AP68+AV68+IF(BE68="",0,BE68)</f>
        <v/>
      </c>
      <c r="BD68" s="2" t="n">
        <v>240.30468</v>
      </c>
      <c r="BE68" s="2" t="n"/>
      <c r="BF68" s="2" t="n">
        <v>17322.67592592592</v>
      </c>
      <c r="BG68" s="2" t="n">
        <v>587.13</v>
      </c>
      <c r="BH68" s="2" t="n">
        <v>187</v>
      </c>
      <c r="BI68" s="2" t="n">
        <v>43215.42</v>
      </c>
      <c r="BJ68" s="2" t="n">
        <v>63.5491452991453</v>
      </c>
      <c r="BK68" s="2" t="n">
        <v>0</v>
      </c>
      <c r="BL68" s="2" t="n">
        <v>20</v>
      </c>
      <c r="BM68" s="2" t="n">
        <v>478.9743589743589</v>
      </c>
      <c r="BN68" s="2" t="n">
        <v>5</v>
      </c>
      <c r="BO68" s="2" t="n">
        <v>0</v>
      </c>
      <c r="BP68" s="2" t="n">
        <v>210.6567</v>
      </c>
      <c r="BQ68" s="2" t="n">
        <v>0</v>
      </c>
      <c r="BR68" s="2" t="n">
        <v>44767.7302042735</v>
      </c>
      <c r="BS68" s="2" t="n">
        <v>856.8234444444444</v>
      </c>
      <c r="BT68" s="2" t="n">
        <v>410.2564102564103</v>
      </c>
      <c r="BU68" s="2" t="n">
        <v>9164.830671794871</v>
      </c>
      <c r="BV68" s="2" t="n">
        <v>10431.91052649573</v>
      </c>
      <c r="BW68" s="2" t="n">
        <v>55199.64073076923</v>
      </c>
      <c r="BX68" s="2" t="n">
        <v>14771</v>
      </c>
      <c r="BY68" s="2" t="n">
        <v>833.2</v>
      </c>
      <c r="BZ68" s="2" t="n">
        <v>3104.29</v>
      </c>
      <c r="CA68" s="2" t="n">
        <v>15604.2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1244</v>
      </c>
      <c r="B69" t="inlineStr">
        <is>
          <t>Dworcowa 7, 62-200 Gniezno</t>
        </is>
      </c>
      <c r="C69" t="inlineStr">
        <is>
          <t>Gniezno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17500.87</v>
      </c>
      <c r="L69" s="2" t="n">
        <v>1456.785382407407</v>
      </c>
      <c r="M69" s="2" t="n">
        <v>16204.50925925926</v>
      </c>
      <c r="N69" s="2" t="n">
        <v>3927.91</v>
      </c>
      <c r="O69" s="2" t="n">
        <v>12441.95</v>
      </c>
      <c r="P69" s="2" t="n">
        <v>1131.01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16411.01</v>
      </c>
      <c r="AD69" s="2" t="n">
        <v>1048.481194444444</v>
      </c>
      <c r="AE69" s="2" t="n">
        <v>15195.37962962963</v>
      </c>
      <c r="AF69" s="2" t="n">
        <v>5496.87</v>
      </c>
      <c r="AG69" s="2" t="n">
        <v>9908.23</v>
      </c>
      <c r="AH69" s="2" t="n">
        <v>1005.91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6458.37</v>
      </c>
      <c r="AP69" s="2" t="n">
        <v>472.4178055555555</v>
      </c>
      <c r="AQ69" s="2" t="n">
        <v>5979.972222222222</v>
      </c>
      <c r="AR69" s="2" t="n">
        <v>1935.55</v>
      </c>
      <c r="AS69" s="2" t="n">
        <v>4259.5</v>
      </c>
      <c r="AT69" s="2" t="n">
        <v>263.32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40370.25</v>
      </c>
      <c r="BB69" s="2" t="n">
        <v>29009.92</v>
      </c>
      <c r="BC69" s="2">
        <f>F69+L69+R69+X69+AD69+AJ69+AP69+AV69+IF(BE69="",0,BE69)</f>
        <v/>
      </c>
      <c r="BD69" s="2" t="n">
        <v>446.7527680000001</v>
      </c>
      <c r="BE69" s="2" t="n"/>
      <c r="BF69" s="2" t="n">
        <v>37379.8611111111</v>
      </c>
      <c r="BG69" s="2" t="n">
        <v>0</v>
      </c>
      <c r="BH69" s="2" t="n">
        <v>0</v>
      </c>
      <c r="BI69" s="2" t="n">
        <v>43215.42</v>
      </c>
      <c r="BJ69" s="2" t="n">
        <v>63.5491452991453</v>
      </c>
      <c r="BK69" s="2" t="n">
        <v>0</v>
      </c>
      <c r="BL69" s="2" t="n">
        <v>20</v>
      </c>
      <c r="BM69" s="2" t="n">
        <v>478.9743589743589</v>
      </c>
      <c r="BN69" s="2" t="n">
        <v>5</v>
      </c>
      <c r="BO69" s="2" t="n">
        <v>0</v>
      </c>
      <c r="BP69" s="2" t="n">
        <v>391.63392</v>
      </c>
      <c r="BQ69" s="2" t="n">
        <v>0</v>
      </c>
      <c r="BR69" s="2" t="n">
        <v>44174.57742427351</v>
      </c>
      <c r="BS69" s="2" t="n">
        <v>856.8234444444444</v>
      </c>
      <c r="BT69" s="2" t="n">
        <v>410.2564102564103</v>
      </c>
      <c r="BU69" s="2" t="n">
        <v>9010.004671794872</v>
      </c>
      <c r="BV69" s="2" t="n">
        <v>10277.08452649573</v>
      </c>
      <c r="BW69" s="2" t="n">
        <v>54451.66195076923</v>
      </c>
      <c r="BX69" s="2" t="n">
        <v>26609.68</v>
      </c>
      <c r="BY69" s="2" t="n">
        <v>2400.24</v>
      </c>
      <c r="BZ69" s="2" t="n">
        <v>11360.33</v>
      </c>
      <c r="CA69" s="2" t="n">
        <v>29009.92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1245</v>
      </c>
      <c r="B70" t="inlineStr">
        <is>
          <t>Plac Dworcowy 1, 80-321 Gdańsk</t>
        </is>
      </c>
      <c r="C70" t="inlineStr">
        <is>
          <t>Gdańsk Oliwa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4248.559999999999</v>
      </c>
      <c r="L70" s="2" t="n">
        <v>353.6532814814815</v>
      </c>
      <c r="M70" s="2" t="n">
        <v>3933.851851851851</v>
      </c>
      <c r="N70" s="2" t="n">
        <v>1496.29</v>
      </c>
      <c r="O70" s="2" t="n">
        <v>2569.27</v>
      </c>
      <c r="P70" s="2" t="n">
        <v>183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5542.6</v>
      </c>
      <c r="AP70" s="2" t="n">
        <v>405.430925925926</v>
      </c>
      <c r="AQ70" s="2" t="n">
        <v>5132.037037037037</v>
      </c>
      <c r="AR70" s="2" t="n">
        <v>2729.84</v>
      </c>
      <c r="AS70" s="2" t="n">
        <v>2791.83</v>
      </c>
      <c r="AT70" s="2" t="n">
        <v>20.93</v>
      </c>
      <c r="AU70" s="2" t="n">
        <v>2425.25</v>
      </c>
      <c r="AV70" s="2" t="n">
        <v>96.56087962962964</v>
      </c>
      <c r="AW70" s="2" t="n">
        <v>2245.601851851852</v>
      </c>
      <c r="AX70" s="2" t="n">
        <v>873.95</v>
      </c>
      <c r="AY70" s="2" t="n">
        <v>1519.65</v>
      </c>
      <c r="AZ70" s="2" t="n">
        <v>31.65</v>
      </c>
      <c r="BA70" s="2" t="n">
        <v>12216.41</v>
      </c>
      <c r="BB70" s="2" t="n">
        <v>7116.33</v>
      </c>
      <c r="BC70" s="2">
        <f>F70+L70+R70+X70+AD70+AJ70+AP70+AV70+IF(BE70="",0,BE70)</f>
        <v/>
      </c>
      <c r="BD70" s="2" t="n">
        <v>109.591482</v>
      </c>
      <c r="BE70" s="2" t="n"/>
      <c r="BF70" s="2" t="n">
        <v>11311.49074074074</v>
      </c>
      <c r="BG70" s="2" t="n">
        <v>0</v>
      </c>
      <c r="BH70" s="2" t="n">
        <v>0</v>
      </c>
      <c r="BI70" s="2" t="n">
        <v>43215.42</v>
      </c>
      <c r="BJ70" s="2" t="n">
        <v>63.5491452991453</v>
      </c>
      <c r="BK70" s="2" t="n">
        <v>0</v>
      </c>
      <c r="BL70" s="2" t="n">
        <v>20</v>
      </c>
      <c r="BM70" s="2" t="n">
        <v>478.9743589743589</v>
      </c>
      <c r="BN70" s="2" t="n">
        <v>5</v>
      </c>
      <c r="BO70" s="2" t="n">
        <v>0</v>
      </c>
      <c r="BP70" s="2" t="n">
        <v>96.070455</v>
      </c>
      <c r="BQ70" s="2" t="n">
        <v>0</v>
      </c>
      <c r="BR70" s="2" t="n">
        <v>43879.01395927351</v>
      </c>
      <c r="BS70" s="2" t="n">
        <v>856.8234444444444</v>
      </c>
      <c r="BT70" s="2" t="n">
        <v>410.2564102564103</v>
      </c>
      <c r="BU70" s="2" t="n">
        <v>9010.004671794872</v>
      </c>
      <c r="BV70" s="2" t="n">
        <v>10277.08452649573</v>
      </c>
      <c r="BW70" s="2" t="n">
        <v>54156.09848576923</v>
      </c>
      <c r="BX70" s="2" t="n">
        <v>6880.75</v>
      </c>
      <c r="BY70" s="2" t="n">
        <v>235.58</v>
      </c>
      <c r="BZ70" s="2" t="n">
        <v>5100.08</v>
      </c>
      <c r="CA70" s="2" t="n">
        <v>7116.33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1246</v>
      </c>
      <c r="B71" t="inlineStr">
        <is>
          <t>Dworcowa 1, 63-400 Ostrów Wlkp.</t>
        </is>
      </c>
      <c r="C71" t="inlineStr">
        <is>
          <t>Ostrów Wielkopolski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4590.23</v>
      </c>
      <c r="L71" s="2" t="n">
        <v>382.0941453703704</v>
      </c>
      <c r="M71" s="2" t="n">
        <v>4250.212962962963</v>
      </c>
      <c r="N71" s="2" t="n">
        <v>1912.9</v>
      </c>
      <c r="O71" s="2" t="n">
        <v>2496.39</v>
      </c>
      <c r="P71" s="2" t="n">
        <v>180.94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7466.169999999999</v>
      </c>
      <c r="AD71" s="2" t="n">
        <v>477.0053055555555</v>
      </c>
      <c r="AE71" s="2" t="n">
        <v>6913.12037037037</v>
      </c>
      <c r="AF71" s="2" t="n">
        <v>2233.29</v>
      </c>
      <c r="AG71" s="2" t="n">
        <v>5009.4</v>
      </c>
      <c r="AH71" s="2" t="n">
        <v>223.48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8913.959999999999</v>
      </c>
      <c r="AP71" s="2" t="n">
        <v>652.0396666666667</v>
      </c>
      <c r="AQ71" s="2" t="n">
        <v>8253.666666666666</v>
      </c>
      <c r="AR71" s="2" t="n">
        <v>2206.02</v>
      </c>
      <c r="AS71" s="2" t="n">
        <v>6201.64</v>
      </c>
      <c r="AT71" s="2" t="n">
        <v>506.3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20970.36</v>
      </c>
      <c r="BB71" s="2" t="n">
        <v>14618.15</v>
      </c>
      <c r="BC71" s="2">
        <f>F71+L71+R71+X71+AD71+AJ71+AP71+AV71+IF(BE71="",0,BE71)</f>
        <v/>
      </c>
      <c r="BD71" s="2" t="n">
        <v>225.11951</v>
      </c>
      <c r="BE71" s="2" t="n"/>
      <c r="BF71" s="2" t="n">
        <v>19417</v>
      </c>
      <c r="BG71" s="2" t="n">
        <v>0</v>
      </c>
      <c r="BH71" s="2" t="n">
        <v>113.4</v>
      </c>
      <c r="BI71" s="2" t="n">
        <v>43215.42</v>
      </c>
      <c r="BJ71" s="2" t="n">
        <v>63.5491452991453</v>
      </c>
      <c r="BK71" s="2" t="n">
        <v>0</v>
      </c>
      <c r="BL71" s="2" t="n">
        <v>20</v>
      </c>
      <c r="BM71" s="2" t="n">
        <v>478.9743589743589</v>
      </c>
      <c r="BN71" s="2" t="n">
        <v>5</v>
      </c>
      <c r="BO71" s="2" t="n">
        <v>0</v>
      </c>
      <c r="BP71" s="2" t="n">
        <v>197.345025</v>
      </c>
      <c r="BQ71" s="2" t="n">
        <v>0</v>
      </c>
      <c r="BR71" s="2" t="n">
        <v>44093.68852927351</v>
      </c>
      <c r="BS71" s="2" t="n">
        <v>856.8234444444444</v>
      </c>
      <c r="BT71" s="2" t="n">
        <v>410.2564102564103</v>
      </c>
      <c r="BU71" s="2" t="n">
        <v>9032.68467179487</v>
      </c>
      <c r="BV71" s="2" t="n">
        <v>10299.76452649572</v>
      </c>
      <c r="BW71" s="2" t="n">
        <v>54393.45305576923</v>
      </c>
      <c r="BX71" s="2" t="n">
        <v>13707.43</v>
      </c>
      <c r="BY71" s="2" t="n">
        <v>910.72</v>
      </c>
      <c r="BZ71" s="2" t="n">
        <v>6352.210000000001</v>
      </c>
      <c r="CA71" s="2" t="n">
        <v>14618.15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1247</v>
      </c>
      <c r="B72" t="inlineStr">
        <is>
          <t>Kujawska 1, 87-100 Toruń</t>
        </is>
      </c>
      <c r="C72" t="inlineStr">
        <is>
          <t>Toruń</t>
        </is>
      </c>
      <c r="D72" t="inlineStr">
        <is>
          <t>FAA2000</t>
        </is>
      </c>
      <c r="E72" s="2" t="n">
        <v>1392.67</v>
      </c>
      <c r="F72" s="2" t="n">
        <v>1000</v>
      </c>
      <c r="G72" s="2" t="n">
        <v>1289.509259259259</v>
      </c>
      <c r="H72" s="2" t="n">
        <v>573.63</v>
      </c>
      <c r="I72" s="2" t="n">
        <v>819.04</v>
      </c>
      <c r="J72" s="2" t="n">
        <v>0</v>
      </c>
      <c r="K72" s="2" t="n">
        <v>7154.39</v>
      </c>
      <c r="L72" s="2" t="n">
        <v>595.5367231481482</v>
      </c>
      <c r="M72" s="2" t="n">
        <v>6624.435185185185</v>
      </c>
      <c r="N72" s="2" t="n">
        <v>1765.43</v>
      </c>
      <c r="O72" s="2" t="n">
        <v>5388.96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12084.34</v>
      </c>
      <c r="AP72" s="2" t="n">
        <v>883.9470925925925</v>
      </c>
      <c r="AQ72" s="2" t="n">
        <v>11189.2037037037</v>
      </c>
      <c r="AR72" s="2" t="n">
        <v>4009.91</v>
      </c>
      <c r="AS72" s="2" t="n">
        <v>8074.43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20631.4</v>
      </c>
      <c r="BB72" s="2" t="n">
        <v>14282.43</v>
      </c>
      <c r="BC72" s="2">
        <f>F72+L72+R72+X72+AD72+AJ72+AP72+AV72+IF(BE72="",0,BE72)</f>
        <v/>
      </c>
      <c r="BD72" s="2" t="n">
        <v>219.949422</v>
      </c>
      <c r="BE72" s="2" t="n"/>
      <c r="BF72" s="2" t="n">
        <v>19103.14814814815</v>
      </c>
      <c r="BG72" s="2" t="n">
        <v>534.6800000000001</v>
      </c>
      <c r="BH72" s="2" t="n">
        <v>139</v>
      </c>
      <c r="BI72" s="2" t="n">
        <v>43215.42</v>
      </c>
      <c r="BJ72" s="2" t="n">
        <v>63.5491452991453</v>
      </c>
      <c r="BK72" s="2" t="n">
        <v>0</v>
      </c>
      <c r="BL72" s="2" t="n">
        <v>20</v>
      </c>
      <c r="BM72" s="2" t="n">
        <v>478.9743589743589</v>
      </c>
      <c r="BN72" s="2" t="n">
        <v>5</v>
      </c>
      <c r="BO72" s="2" t="n">
        <v>0</v>
      </c>
      <c r="BP72" s="2" t="n">
        <v>192.812805</v>
      </c>
      <c r="BQ72" s="2" t="n">
        <v>0</v>
      </c>
      <c r="BR72" s="2" t="n">
        <v>44649.43630927351</v>
      </c>
      <c r="BS72" s="2" t="n">
        <v>856.8234444444444</v>
      </c>
      <c r="BT72" s="2" t="n">
        <v>410.2564102564103</v>
      </c>
      <c r="BU72" s="2" t="n">
        <v>9144.740671794872</v>
      </c>
      <c r="BV72" s="2" t="n">
        <v>10411.82052649573</v>
      </c>
      <c r="BW72" s="2" t="n">
        <v>55061.25683576924</v>
      </c>
      <c r="BX72" s="2" t="n">
        <v>14282.43</v>
      </c>
      <c r="BY72" s="2" t="n">
        <v>0</v>
      </c>
      <c r="BZ72" s="2" t="n">
        <v>6348.969999999999</v>
      </c>
      <c r="CA72" s="2" t="n">
        <v>14282.43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1249</v>
      </c>
      <c r="B73" t="inlineStr">
        <is>
          <t>Stefana Okrzei 65, 87-810 Włocławek</t>
        </is>
      </c>
      <c r="C73" t="inlineStr">
        <is>
          <t>Włocławek</t>
        </is>
      </c>
      <c r="D73" t="inlineStr">
        <is>
          <t>FAA2000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2087.37</v>
      </c>
      <c r="L73" s="2" t="n">
        <v>173.754225</v>
      </c>
      <c r="M73" s="2" t="n">
        <v>1932.75</v>
      </c>
      <c r="N73" s="2" t="n">
        <v>681.8</v>
      </c>
      <c r="O73" s="2" t="n">
        <v>1274.27</v>
      </c>
      <c r="P73" s="2" t="n">
        <v>131.3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6101.71</v>
      </c>
      <c r="AP73" s="2" t="n">
        <v>446.328787037037</v>
      </c>
      <c r="AQ73" s="2" t="n">
        <v>5649.731481481481</v>
      </c>
      <c r="AR73" s="2" t="n">
        <v>1788.63</v>
      </c>
      <c r="AS73" s="2" t="n">
        <v>4194.65</v>
      </c>
      <c r="AT73" s="2" t="n">
        <v>118.43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8189.08</v>
      </c>
      <c r="BB73" s="2" t="n">
        <v>5718.65</v>
      </c>
      <c r="BC73" s="2">
        <f>F73+L73+R73+X73+AD73+AJ73+AP73+AV73+IF(BE73="",0,BE73)</f>
        <v/>
      </c>
      <c r="BD73" s="2" t="n">
        <v>88.06720999999999</v>
      </c>
      <c r="BE73" s="2" t="n"/>
      <c r="BF73" s="2" t="n">
        <v>7582.481481481481</v>
      </c>
      <c r="BG73" s="2" t="n">
        <v>694.6900000000001</v>
      </c>
      <c r="BH73" s="2" t="n">
        <v>106</v>
      </c>
      <c r="BI73" s="2" t="n">
        <v>43215.42</v>
      </c>
      <c r="BJ73" s="2" t="n">
        <v>63.5491452991453</v>
      </c>
      <c r="BK73" s="2" t="n">
        <v>0</v>
      </c>
      <c r="BL73" s="2" t="n">
        <v>20</v>
      </c>
      <c r="BM73" s="2" t="n">
        <v>478.9743589743589</v>
      </c>
      <c r="BN73" s="2" t="n">
        <v>5</v>
      </c>
      <c r="BO73" s="2" t="n">
        <v>0</v>
      </c>
      <c r="BP73" s="2" t="n">
        <v>77.201775</v>
      </c>
      <c r="BQ73" s="2" t="n">
        <v>0</v>
      </c>
      <c r="BR73" s="2" t="n">
        <v>44660.83527927351</v>
      </c>
      <c r="BS73" s="2" t="n">
        <v>856.8234444444444</v>
      </c>
      <c r="BT73" s="2" t="n">
        <v>410.2564102564103</v>
      </c>
      <c r="BU73" s="2" t="n">
        <v>9170.142671794871</v>
      </c>
      <c r="BV73" s="2" t="n">
        <v>10437.22252649573</v>
      </c>
      <c r="BW73" s="2" t="n">
        <v>55098.05780576923</v>
      </c>
      <c r="BX73" s="2" t="n">
        <v>5468.92</v>
      </c>
      <c r="BY73" s="2" t="n">
        <v>249.73</v>
      </c>
      <c r="BZ73" s="2" t="n">
        <v>2470.43</v>
      </c>
      <c r="CA73" s="2" t="n">
        <v>5718.65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1250</v>
      </c>
      <c r="B74" t="inlineStr">
        <is>
          <t>Kolejowa 3, 58-540 Karpacz</t>
        </is>
      </c>
      <c r="C74" t="inlineStr">
        <is>
          <t>Karpacz</t>
        </is>
      </c>
      <c r="D74" t="inlineStr">
        <is>
          <t>ST|40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21514.23</v>
      </c>
      <c r="R74" s="2" t="n">
        <v>2500</v>
      </c>
      <c r="S74" s="2" t="n">
        <v>19920.58333333333</v>
      </c>
      <c r="T74" s="2" t="n">
        <v>0</v>
      </c>
      <c r="U74" s="2" t="n">
        <v>18646.67</v>
      </c>
      <c r="V74" s="2" t="n">
        <v>2867.56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21514.23</v>
      </c>
      <c r="BB74" s="2" t="n">
        <v>21514.23</v>
      </c>
      <c r="BC74" s="2">
        <f>F74+L74+R74+X74+AD74+AJ74+AP74+AV74+IF(BE74="",0,BE74)</f>
        <v/>
      </c>
      <c r="BD74" s="2" t="n">
        <v>331.319142</v>
      </c>
      <c r="BE74" s="2" t="n"/>
      <c r="BF74" s="2" t="n">
        <v>19920.58333333333</v>
      </c>
      <c r="BG74" s="2" t="n">
        <v>0</v>
      </c>
      <c r="BH74" s="2" t="n">
        <v>0</v>
      </c>
      <c r="BI74" s="2" t="n">
        <v>43215.42</v>
      </c>
      <c r="BJ74" s="2" t="n">
        <v>63.5491452991453</v>
      </c>
      <c r="BK74" s="2" t="n">
        <v>0</v>
      </c>
      <c r="BL74" s="2" t="n">
        <v>20</v>
      </c>
      <c r="BM74" s="2" t="n">
        <v>478.9743589743589</v>
      </c>
      <c r="BN74" s="2" t="n">
        <v>5</v>
      </c>
      <c r="BO74" s="2" t="n">
        <v>0</v>
      </c>
      <c r="BP74" s="2" t="n">
        <v>290.442105</v>
      </c>
      <c r="BQ74" s="2" t="n">
        <v>0</v>
      </c>
      <c r="BR74" s="2" t="n">
        <v>44073.38560927351</v>
      </c>
      <c r="BS74" s="2" t="n">
        <v>856.8234444444444</v>
      </c>
      <c r="BT74" s="2" t="n">
        <v>410.2564102564103</v>
      </c>
      <c r="BU74" s="2" t="n">
        <v>9010.004671794872</v>
      </c>
      <c r="BV74" s="2" t="n">
        <v>10277.08452649573</v>
      </c>
      <c r="BW74" s="2" t="n">
        <v>54350.47013576923</v>
      </c>
      <c r="BX74" s="2" t="n">
        <v>18646.67</v>
      </c>
      <c r="BY74" s="2" t="n">
        <v>2867.56</v>
      </c>
      <c r="BZ74" s="2" t="n">
        <v>0</v>
      </c>
      <c r="CA74" s="2" t="n">
        <v>21514.23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1252</v>
      </c>
      <c r="B75" t="inlineStr">
        <is>
          <t>Krakowska 48, 46-020 Opole</t>
        </is>
      </c>
      <c r="C75" t="inlineStr">
        <is>
          <t>Opole Główne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8992.620000000001</v>
      </c>
      <c r="L75" s="2" t="n">
        <v>748.55235</v>
      </c>
      <c r="M75" s="2" t="n">
        <v>8326.5</v>
      </c>
      <c r="N75" s="2" t="n">
        <v>1858.95</v>
      </c>
      <c r="O75" s="2" t="n">
        <v>7035.67</v>
      </c>
      <c r="P75" s="2" t="n">
        <v>98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11810.13</v>
      </c>
      <c r="AP75" s="2" t="n">
        <v>863.889138888889</v>
      </c>
      <c r="AQ75" s="2" t="n">
        <v>10935.30555555556</v>
      </c>
      <c r="AR75" s="2" t="n">
        <v>3424.26</v>
      </c>
      <c r="AS75" s="2" t="n">
        <v>8313.440000000001</v>
      </c>
      <c r="AT75" s="2" t="n">
        <v>72.43000000000001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20802.75</v>
      </c>
      <c r="BB75" s="2" t="n">
        <v>15519.54</v>
      </c>
      <c r="BC75" s="2">
        <f>F75+L75+R75+X75+AD75+AJ75+AP75+AV75+IF(BE75="",0,BE75)</f>
        <v/>
      </c>
      <c r="BD75" s="2" t="n">
        <v>239.000916</v>
      </c>
      <c r="BE75" s="2" t="n"/>
      <c r="BF75" s="2" t="n">
        <v>19261.80555555555</v>
      </c>
      <c r="BG75" s="2" t="n">
        <v>228</v>
      </c>
      <c r="BH75" s="2" t="n">
        <v>0</v>
      </c>
      <c r="BI75" s="2" t="n">
        <v>43215.42</v>
      </c>
      <c r="BJ75" s="2" t="n">
        <v>63.5491452991453</v>
      </c>
      <c r="BK75" s="2" t="n">
        <v>0</v>
      </c>
      <c r="BL75" s="2" t="n">
        <v>20</v>
      </c>
      <c r="BM75" s="2" t="n">
        <v>478.9743589743589</v>
      </c>
      <c r="BN75" s="2" t="n">
        <v>5</v>
      </c>
      <c r="BO75" s="2" t="n">
        <v>0</v>
      </c>
      <c r="BP75" s="2" t="n">
        <v>209.51379</v>
      </c>
      <c r="BQ75" s="2" t="n">
        <v>0</v>
      </c>
      <c r="BR75" s="2" t="n">
        <v>44220.4572942735</v>
      </c>
      <c r="BS75" s="2" t="n">
        <v>856.8234444444444</v>
      </c>
      <c r="BT75" s="2" t="n">
        <v>410.2564102564103</v>
      </c>
      <c r="BU75" s="2" t="n">
        <v>9055.604671794872</v>
      </c>
      <c r="BV75" s="2" t="n">
        <v>10322.68452649573</v>
      </c>
      <c r="BW75" s="2" t="n">
        <v>54543.14182076923</v>
      </c>
      <c r="BX75" s="2" t="n">
        <v>15349.11</v>
      </c>
      <c r="BY75" s="2" t="n">
        <v>170.43</v>
      </c>
      <c r="BZ75" s="2" t="n">
        <v>5283.21</v>
      </c>
      <c r="CA75" s="2" t="n">
        <v>15519.54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1254</v>
      </c>
      <c r="B76" t="inlineStr">
        <is>
          <t>Stacyjna 5, 53-600 Wrocław</t>
        </is>
      </c>
      <c r="C76" t="inlineStr">
        <is>
          <t>Wrocław Mikołajów</t>
        </is>
      </c>
      <c r="D76" t="inlineStr">
        <is>
          <t>FAA2000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3774.27</v>
      </c>
      <c r="L76" s="2" t="n">
        <v>314.1730305555556</v>
      </c>
      <c r="M76" s="2" t="n">
        <v>3494.694444444444</v>
      </c>
      <c r="N76" s="2" t="n">
        <v>1212.13</v>
      </c>
      <c r="O76" s="2" t="n">
        <v>2551.43</v>
      </c>
      <c r="P76" s="2" t="n">
        <v>10.71</v>
      </c>
      <c r="Q76" s="2" t="n">
        <v>9803.710000000001</v>
      </c>
      <c r="R76" s="2" t="n">
        <v>1600</v>
      </c>
      <c r="S76" s="2" t="n">
        <v>9077.509259259259</v>
      </c>
      <c r="T76" s="2" t="n">
        <v>2513.6</v>
      </c>
      <c r="U76" s="2" t="n">
        <v>6957.07</v>
      </c>
      <c r="V76" s="2" t="n">
        <v>333.04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7498.250000000001</v>
      </c>
      <c r="AP76" s="2" t="n">
        <v>548.4831018518519</v>
      </c>
      <c r="AQ76" s="2" t="n">
        <v>6942.824074074075</v>
      </c>
      <c r="AR76" s="2" t="n">
        <v>2131.85</v>
      </c>
      <c r="AS76" s="2" t="n">
        <v>5062.85</v>
      </c>
      <c r="AT76" s="2" t="n">
        <v>303.55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21076.23</v>
      </c>
      <c r="BB76" s="2" t="n">
        <v>15218.65</v>
      </c>
      <c r="BC76" s="2">
        <f>F76+L76+R76+X76+AD76+AJ76+AP76+AV76+IF(BE76="",0,BE76)</f>
        <v/>
      </c>
      <c r="BD76" s="2" t="n">
        <v>234.36721</v>
      </c>
      <c r="BE76" s="2" t="n"/>
      <c r="BF76" s="2" t="n">
        <v>19515.02777777778</v>
      </c>
      <c r="BG76" s="2" t="n">
        <v>0</v>
      </c>
      <c r="BH76" s="2" t="n">
        <v>350.37</v>
      </c>
      <c r="BI76" s="2" t="n">
        <v>43215.42</v>
      </c>
      <c r="BJ76" s="2" t="n">
        <v>63.5491452991453</v>
      </c>
      <c r="BK76" s="2" t="n">
        <v>0</v>
      </c>
      <c r="BL76" s="2" t="n">
        <v>20</v>
      </c>
      <c r="BM76" s="2" t="n">
        <v>478.9743589743589</v>
      </c>
      <c r="BN76" s="2" t="n">
        <v>5</v>
      </c>
      <c r="BO76" s="2" t="n">
        <v>0</v>
      </c>
      <c r="BP76" s="2" t="n">
        <v>205.451775</v>
      </c>
      <c r="BQ76" s="2" t="n">
        <v>0</v>
      </c>
      <c r="BR76" s="2" t="n">
        <v>44338.76527927351</v>
      </c>
      <c r="BS76" s="2" t="n">
        <v>856.8234444444444</v>
      </c>
      <c r="BT76" s="2" t="n">
        <v>410.2564102564103</v>
      </c>
      <c r="BU76" s="2" t="n">
        <v>9080.07867179487</v>
      </c>
      <c r="BV76" s="2" t="n">
        <v>10347.15852649572</v>
      </c>
      <c r="BW76" s="2" t="n">
        <v>54685.92380576923</v>
      </c>
      <c r="BX76" s="2" t="n">
        <v>14571.35</v>
      </c>
      <c r="BY76" s="2" t="n">
        <v>647.3</v>
      </c>
      <c r="BZ76" s="2" t="n">
        <v>5857.58</v>
      </c>
      <c r="CA76" s="2" t="n">
        <v>15218.65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1256</v>
      </c>
      <c r="B77" t="inlineStr">
        <is>
          <t>Dworcowa 2, 61-801 Poznań</t>
        </is>
      </c>
      <c r="C77" t="inlineStr">
        <is>
          <t>Poznań Główny</t>
        </is>
      </c>
      <c r="D77" t="inlineStr">
        <is>
          <t>FAA2000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2830.97</v>
      </c>
      <c r="L77" s="2" t="n">
        <v>235.6520398148148</v>
      </c>
      <c r="M77" s="2" t="n">
        <v>2621.268518518518</v>
      </c>
      <c r="N77" s="2" t="n">
        <v>314.66</v>
      </c>
      <c r="O77" s="2" t="n">
        <v>2417.34</v>
      </c>
      <c r="P77" s="2" t="n">
        <v>98.97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4933.55</v>
      </c>
      <c r="AD77" s="2" t="n">
        <v>315.1990277777778</v>
      </c>
      <c r="AE77" s="2" t="n">
        <v>4568.101851851851</v>
      </c>
      <c r="AF77" s="2" t="n">
        <v>691.51</v>
      </c>
      <c r="AG77" s="2" t="n">
        <v>3907.51</v>
      </c>
      <c r="AH77" s="2" t="n">
        <v>334.53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1658.98</v>
      </c>
      <c r="AP77" s="2" t="n">
        <v>121.3513148148148</v>
      </c>
      <c r="AQ77" s="2" t="n">
        <v>1536.092592592593</v>
      </c>
      <c r="AR77" s="2" t="n">
        <v>265.85</v>
      </c>
      <c r="AS77" s="2" t="n">
        <v>1367.53</v>
      </c>
      <c r="AT77" s="2" t="n">
        <v>25.6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9423.5</v>
      </c>
      <c r="BB77" s="2" t="n">
        <v>8151.48</v>
      </c>
      <c r="BC77" s="2">
        <f>F77+L77+R77+X77+AD77+AJ77+AP77+AV77+IF(BE77="",0,BE77)</f>
        <v/>
      </c>
      <c r="BD77" s="2" t="n">
        <v>125.532792</v>
      </c>
      <c r="BE77" s="2" t="n"/>
      <c r="BF77" s="2" t="n">
        <v>8725.462962962962</v>
      </c>
      <c r="BG77" s="2" t="n">
        <v>458.58</v>
      </c>
      <c r="BH77" s="2" t="n">
        <v>0</v>
      </c>
      <c r="BI77" s="2" t="n">
        <v>43215.42</v>
      </c>
      <c r="BJ77" s="2" t="n">
        <v>63.5491452991453</v>
      </c>
      <c r="BK77" s="2" t="n">
        <v>0</v>
      </c>
      <c r="BL77" s="2" t="n">
        <v>20</v>
      </c>
      <c r="BM77" s="2" t="n">
        <v>478.9743589743589</v>
      </c>
      <c r="BN77" s="2" t="n">
        <v>5</v>
      </c>
      <c r="BO77" s="2" t="n">
        <v>0</v>
      </c>
      <c r="BP77" s="2" t="n">
        <v>110.04498</v>
      </c>
      <c r="BQ77" s="2" t="n">
        <v>0</v>
      </c>
      <c r="BR77" s="2" t="n">
        <v>44351.56848427351</v>
      </c>
      <c r="BS77" s="2" t="n">
        <v>856.8234444444444</v>
      </c>
      <c r="BT77" s="2" t="n">
        <v>410.2564102564103</v>
      </c>
      <c r="BU77" s="2" t="n">
        <v>9101.72067179487</v>
      </c>
      <c r="BV77" s="2" t="n">
        <v>10368.80052649572</v>
      </c>
      <c r="BW77" s="2" t="n">
        <v>54720.36901076923</v>
      </c>
      <c r="BX77" s="2" t="n">
        <v>7692.38</v>
      </c>
      <c r="BY77" s="2" t="n">
        <v>459.1</v>
      </c>
      <c r="BZ77" s="2" t="n">
        <v>1272.02</v>
      </c>
      <c r="CA77" s="2" t="n">
        <v>8151.48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1257</v>
      </c>
      <c r="B78" t="inlineStr">
        <is>
          <t>Dworcowa 2, 61-801 Poznań</t>
        </is>
      </c>
      <c r="C78" t="inlineStr">
        <is>
          <t>Poznań Główny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3503.21</v>
      </c>
      <c r="L78" s="2" t="n">
        <v>291.6097953703704</v>
      </c>
      <c r="M78" s="2" t="n">
        <v>3243.712962962963</v>
      </c>
      <c r="N78" s="2" t="n">
        <v>873.15</v>
      </c>
      <c r="O78" s="2" t="n">
        <v>2427.48</v>
      </c>
      <c r="P78" s="2" t="n">
        <v>202.58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5059.380000000001</v>
      </c>
      <c r="AD78" s="2" t="n">
        <v>323.2381666666667</v>
      </c>
      <c r="AE78" s="2" t="n">
        <v>4684.611111111111</v>
      </c>
      <c r="AF78" s="2" t="n">
        <v>1105.21</v>
      </c>
      <c r="AG78" s="2" t="n">
        <v>3690.15</v>
      </c>
      <c r="AH78" s="2" t="n">
        <v>264.02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2387.3</v>
      </c>
      <c r="AP78" s="2" t="n">
        <v>174.6265740740741</v>
      </c>
      <c r="AQ78" s="2" t="n">
        <v>2210.462962962963</v>
      </c>
      <c r="AR78" s="2" t="n">
        <v>390.22</v>
      </c>
      <c r="AS78" s="2" t="n">
        <v>1916.67</v>
      </c>
      <c r="AT78" s="2" t="n">
        <v>80.41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10949.89</v>
      </c>
      <c r="BB78" s="2" t="n">
        <v>8581.309999999999</v>
      </c>
      <c r="BC78" s="2">
        <f>F78+L78+R78+X78+AD78+AJ78+AP78+AV78+IF(BE78="",0,BE78)</f>
        <v/>
      </c>
      <c r="BD78" s="2" t="n">
        <v>132.152174</v>
      </c>
      <c r="BE78" s="2" t="n"/>
      <c r="BF78" s="2" t="n">
        <v>10138.78703703704</v>
      </c>
      <c r="BG78" s="2" t="n">
        <v>458.58</v>
      </c>
      <c r="BH78" s="2" t="n">
        <v>0</v>
      </c>
      <c r="BI78" s="2" t="n">
        <v>43215.42</v>
      </c>
      <c r="BJ78" s="2" t="n">
        <v>63.5491452991453</v>
      </c>
      <c r="BK78" s="2" t="n">
        <v>0</v>
      </c>
      <c r="BL78" s="2" t="n">
        <v>20</v>
      </c>
      <c r="BM78" s="2" t="n">
        <v>478.9743589743589</v>
      </c>
      <c r="BN78" s="2" t="n">
        <v>5</v>
      </c>
      <c r="BO78" s="2" t="n">
        <v>0</v>
      </c>
      <c r="BP78" s="2" t="n">
        <v>115.847685</v>
      </c>
      <c r="BQ78" s="2" t="n">
        <v>0</v>
      </c>
      <c r="BR78" s="2" t="n">
        <v>44357.37118927351</v>
      </c>
      <c r="BS78" s="2" t="n">
        <v>856.8234444444444</v>
      </c>
      <c r="BT78" s="2" t="n">
        <v>410.2564102564103</v>
      </c>
      <c r="BU78" s="2" t="n">
        <v>9101.72067179487</v>
      </c>
      <c r="BV78" s="2" t="n">
        <v>10368.80052649572</v>
      </c>
      <c r="BW78" s="2" t="n">
        <v>54726.17171576923</v>
      </c>
      <c r="BX78" s="2" t="n">
        <v>8034.3</v>
      </c>
      <c r="BY78" s="2" t="n">
        <v>547.01</v>
      </c>
      <c r="BZ78" s="2" t="n">
        <v>2368.58</v>
      </c>
      <c r="CA78" s="2" t="n">
        <v>8581.309999999999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1259</v>
      </c>
      <c r="B79" t="inlineStr">
        <is>
          <t>Kolejowa 4, 64-020 Czempin</t>
        </is>
      </c>
      <c r="C79" t="inlineStr">
        <is>
          <t>Czempiń</t>
        </is>
      </c>
      <c r="D79" t="inlineStr">
        <is>
          <t>ST|40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17</v>
      </c>
      <c r="L79" s="2" t="n">
        <v>1.415092592592593</v>
      </c>
      <c r="M79" s="2" t="n">
        <v>15.74074074074074</v>
      </c>
      <c r="N79" s="2" t="n">
        <v>0</v>
      </c>
      <c r="O79" s="2" t="n">
        <v>17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3573.96</v>
      </c>
      <c r="AD79" s="2" t="n">
        <v>228.3363333333334</v>
      </c>
      <c r="AE79" s="2" t="n">
        <v>3309.222222222222</v>
      </c>
      <c r="AF79" s="2" t="n">
        <v>957.46</v>
      </c>
      <c r="AG79" s="2" t="n">
        <v>2387.99</v>
      </c>
      <c r="AH79" s="2" t="n">
        <v>228.51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2563.07</v>
      </c>
      <c r="AP79" s="2" t="n">
        <v>187.4838240740741</v>
      </c>
      <c r="AQ79" s="2" t="n">
        <v>2373.212962962963</v>
      </c>
      <c r="AR79" s="2" t="n">
        <v>599.3200000000001</v>
      </c>
      <c r="AS79" s="2" t="n">
        <v>1931.89</v>
      </c>
      <c r="AT79" s="2" t="n">
        <v>31.86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6154.030000000001</v>
      </c>
      <c r="BB79" s="2" t="n">
        <v>4597.25</v>
      </c>
      <c r="BC79" s="2">
        <f>F79+L79+R79+X79+AD79+AJ79+AP79+AV79+IF(BE79="",0,BE79)</f>
        <v/>
      </c>
      <c r="BD79" s="2" t="n">
        <v>70.79765</v>
      </c>
      <c r="BE79" s="2" t="n"/>
      <c r="BF79" s="2" t="n">
        <v>5698.175925925926</v>
      </c>
      <c r="BG79" s="2" t="n">
        <v>0</v>
      </c>
      <c r="BH79" s="2" t="n">
        <v>0</v>
      </c>
      <c r="BI79" s="2" t="n">
        <v>43215.42</v>
      </c>
      <c r="BJ79" s="2" t="n">
        <v>63.5491452991453</v>
      </c>
      <c r="BK79" s="2" t="n">
        <v>0</v>
      </c>
      <c r="BL79" s="2" t="n">
        <v>20</v>
      </c>
      <c r="BM79" s="2" t="n">
        <v>478.9743589743589</v>
      </c>
      <c r="BN79" s="2" t="n">
        <v>5</v>
      </c>
      <c r="BO79" s="2" t="n">
        <v>0</v>
      </c>
      <c r="BP79" s="2" t="n">
        <v>62.06287500000001</v>
      </c>
      <c r="BQ79" s="2" t="n">
        <v>0</v>
      </c>
      <c r="BR79" s="2" t="n">
        <v>43845.00637927351</v>
      </c>
      <c r="BS79" s="2" t="n">
        <v>856.8234444444444</v>
      </c>
      <c r="BT79" s="2" t="n">
        <v>410.2564102564103</v>
      </c>
      <c r="BU79" s="2" t="n">
        <v>9010.004671794872</v>
      </c>
      <c r="BV79" s="2" t="n">
        <v>10277.08452649573</v>
      </c>
      <c r="BW79" s="2" t="n">
        <v>54122.09090576923</v>
      </c>
      <c r="BX79" s="2" t="n">
        <v>4336.88</v>
      </c>
      <c r="BY79" s="2" t="n">
        <v>260.37</v>
      </c>
      <c r="BZ79" s="2" t="n">
        <v>1556.78</v>
      </c>
      <c r="CA79" s="2" t="n">
        <v>4597.25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1261</v>
      </c>
      <c r="B80" t="inlineStr">
        <is>
          <t>Pawia 5a, 31-154 Kraków</t>
        </is>
      </c>
      <c r="C80" t="inlineStr">
        <is>
          <t>Kraków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19251.49</v>
      </c>
      <c r="L80" s="2" t="n">
        <v>1602.508287962963</v>
      </c>
      <c r="M80" s="2" t="n">
        <v>17825.4537037037</v>
      </c>
      <c r="N80" s="2" t="n">
        <v>3007.12</v>
      </c>
      <c r="O80" s="2" t="n">
        <v>15962.37</v>
      </c>
      <c r="P80" s="2" t="n">
        <v>282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17412.25</v>
      </c>
      <c r="X80" s="2" t="n">
        <v>750</v>
      </c>
      <c r="Y80" s="2" t="n">
        <v>16122.4537037037</v>
      </c>
      <c r="Z80" s="2" t="n">
        <v>1646.08</v>
      </c>
      <c r="AA80" s="2" t="n">
        <v>15573.3</v>
      </c>
      <c r="AB80" s="2" t="n">
        <v>192.87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7265.62</v>
      </c>
      <c r="AP80" s="2" t="n">
        <v>531.4666481481481</v>
      </c>
      <c r="AQ80" s="2" t="n">
        <v>6727.425925925925</v>
      </c>
      <c r="AR80" s="2" t="n">
        <v>1253.22</v>
      </c>
      <c r="AS80" s="2" t="n">
        <v>5845.29</v>
      </c>
      <c r="AT80" s="2" t="n">
        <v>167.11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43929.36</v>
      </c>
      <c r="BB80" s="2" t="n">
        <v>38022.94</v>
      </c>
      <c r="BC80" s="2">
        <f>F80+L80+R80+X80+AD80+AJ80+AP80+AV80+IF(BE80="",0,BE80)</f>
        <v/>
      </c>
      <c r="BD80" s="2" t="n">
        <v>555.5975530000001</v>
      </c>
      <c r="BE80" s="2" t="n"/>
      <c r="BF80" s="2" t="n">
        <v>40675.33333333333</v>
      </c>
      <c r="BG80" s="2" t="n">
        <v>1380</v>
      </c>
      <c r="BH80" s="2" t="n">
        <v>1380</v>
      </c>
      <c r="BI80" s="2" t="n">
        <v>43215.42</v>
      </c>
      <c r="BJ80" s="2" t="n">
        <v>63.5491452991453</v>
      </c>
      <c r="BK80" s="2" t="n">
        <v>0</v>
      </c>
      <c r="BL80" s="2" t="n">
        <v>20</v>
      </c>
      <c r="BM80" s="2" t="n">
        <v>478.9743589743589</v>
      </c>
      <c r="BN80" s="2" t="n">
        <v>5</v>
      </c>
      <c r="BO80" s="2" t="n">
        <v>0</v>
      </c>
      <c r="BP80" s="2" t="n">
        <v>513.30969</v>
      </c>
      <c r="BQ80" s="2" t="n">
        <v>0</v>
      </c>
      <c r="BR80" s="2" t="n">
        <v>47056.25319427351</v>
      </c>
      <c r="BS80" s="2" t="n">
        <v>856.8234444444444</v>
      </c>
      <c r="BT80" s="2" t="n">
        <v>410.2564102564103</v>
      </c>
      <c r="BU80" s="2" t="n">
        <v>9562.004671794872</v>
      </c>
      <c r="BV80" s="2" t="n">
        <v>10829.08452649573</v>
      </c>
      <c r="BW80" s="2" t="n">
        <v>57885.33772076923</v>
      </c>
      <c r="BX80" s="2" t="n">
        <v>37380.96</v>
      </c>
      <c r="BY80" s="2" t="n">
        <v>641.98</v>
      </c>
      <c r="BZ80" s="2" t="n">
        <v>5906.42</v>
      </c>
      <c r="CA80" s="2" t="n">
        <v>38022.94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1262</v>
      </c>
      <c r="B81" t="inlineStr">
        <is>
          <t>Pawia 5a, 31-154 Kraków</t>
        </is>
      </c>
      <c r="C81" t="inlineStr">
        <is>
          <t>Kraków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15571.78</v>
      </c>
      <c r="L81" s="2" t="n">
        <v>1296.206501851852</v>
      </c>
      <c r="M81" s="2" t="n">
        <v>14418.31481481481</v>
      </c>
      <c r="N81" s="2" t="n">
        <v>3043.85</v>
      </c>
      <c r="O81" s="2" t="n">
        <v>12106.38</v>
      </c>
      <c r="P81" s="2" t="n">
        <v>421.55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16675.45</v>
      </c>
      <c r="X81" s="2" t="n">
        <v>750</v>
      </c>
      <c r="Y81" s="2" t="n">
        <v>15440.23148148148</v>
      </c>
      <c r="Z81" s="2" t="n">
        <v>1905.36</v>
      </c>
      <c r="AA81" s="2" t="n">
        <v>14442.49</v>
      </c>
      <c r="AB81" s="2" t="n">
        <v>327.6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6550.14</v>
      </c>
      <c r="AP81" s="2" t="n">
        <v>479.1306111111111</v>
      </c>
      <c r="AQ81" s="2" t="n">
        <v>6064.944444444444</v>
      </c>
      <c r="AR81" s="2" t="n">
        <v>1471.34</v>
      </c>
      <c r="AS81" s="2" t="n">
        <v>4939.03</v>
      </c>
      <c r="AT81" s="2" t="n">
        <v>139.77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38797.37</v>
      </c>
      <c r="BB81" s="2" t="n">
        <v>32376.82</v>
      </c>
      <c r="BC81" s="2">
        <f>F81+L81+R81+X81+AD81+AJ81+AP81+AV81+IF(BE81="",0,BE81)</f>
        <v/>
      </c>
      <c r="BD81" s="2" t="n">
        <v>470.539857</v>
      </c>
      <c r="BE81" s="2" t="n"/>
      <c r="BF81" s="2" t="n">
        <v>35923.49074074074</v>
      </c>
      <c r="BG81" s="2" t="n">
        <v>1380</v>
      </c>
      <c r="BH81" s="2" t="n">
        <v>1380</v>
      </c>
      <c r="BI81" s="2" t="n">
        <v>43215.42</v>
      </c>
      <c r="BJ81" s="2" t="n">
        <v>63.5491452991453</v>
      </c>
      <c r="BK81" s="2" t="n">
        <v>0</v>
      </c>
      <c r="BL81" s="2" t="n">
        <v>20</v>
      </c>
      <c r="BM81" s="2" t="n">
        <v>478.9743589743589</v>
      </c>
      <c r="BN81" s="2" t="n">
        <v>5</v>
      </c>
      <c r="BO81" s="2" t="n">
        <v>0</v>
      </c>
      <c r="BP81" s="2" t="n">
        <v>437.08707</v>
      </c>
      <c r="BQ81" s="2" t="n">
        <v>0</v>
      </c>
      <c r="BR81" s="2" t="n">
        <v>46980.03057427351</v>
      </c>
      <c r="BS81" s="2" t="n">
        <v>856.8234444444444</v>
      </c>
      <c r="BT81" s="2" t="n">
        <v>410.2564102564103</v>
      </c>
      <c r="BU81" s="2" t="n">
        <v>9562.004671794872</v>
      </c>
      <c r="BV81" s="2" t="n">
        <v>10829.08452649573</v>
      </c>
      <c r="BW81" s="2" t="n">
        <v>57809.11510076923</v>
      </c>
      <c r="BX81" s="2" t="n">
        <v>31487.9</v>
      </c>
      <c r="BY81" s="2" t="n">
        <v>888.9200000000001</v>
      </c>
      <c r="BZ81" s="2" t="n">
        <v>6420.55</v>
      </c>
      <c r="CA81" s="2" t="n">
        <v>32376.82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1263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43506.33</v>
      </c>
      <c r="L82" s="2" t="n">
        <v>3621.499136111112</v>
      </c>
      <c r="M82" s="2" t="n">
        <v>40283.63888888889</v>
      </c>
      <c r="N82" s="2" t="n">
        <v>6355.04</v>
      </c>
      <c r="O82" s="2" t="n">
        <v>36241.49</v>
      </c>
      <c r="P82" s="2" t="n">
        <v>909.8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61475.23</v>
      </c>
      <c r="X82" s="2" t="n">
        <v>750</v>
      </c>
      <c r="Y82" s="2" t="n">
        <v>56921.50925925925</v>
      </c>
      <c r="Z82" s="2" t="n">
        <v>5972.96</v>
      </c>
      <c r="AA82" s="2" t="n">
        <v>54681.46</v>
      </c>
      <c r="AB82" s="2" t="n">
        <v>820.8099999999999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16330.87</v>
      </c>
      <c r="AP82" s="2" t="n">
        <v>1194.572898148148</v>
      </c>
      <c r="AQ82" s="2" t="n">
        <v>15121.17592592593</v>
      </c>
      <c r="AR82" s="2" t="n">
        <v>2292.16</v>
      </c>
      <c r="AS82" s="2" t="n">
        <v>13527.29</v>
      </c>
      <c r="AT82" s="2" t="n">
        <v>511.42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121312.43</v>
      </c>
      <c r="BB82" s="2" t="n">
        <v>106692.27</v>
      </c>
      <c r="BC82" s="2">
        <f>F82+L82+R82+X82+AD82+AJ82+AP82+AV82+IF(BE82="",0,BE82)</f>
        <v/>
      </c>
      <c r="BD82" s="2" t="n">
        <v>1537.606645</v>
      </c>
      <c r="BE82" s="2" t="n"/>
      <c r="BF82" s="2" t="n">
        <v>112326.3240740741</v>
      </c>
      <c r="BG82" s="2" t="n">
        <v>1380</v>
      </c>
      <c r="BH82" s="2" t="n">
        <v>1380</v>
      </c>
      <c r="BI82" s="2" t="n">
        <v>43215.42</v>
      </c>
      <c r="BJ82" s="2" t="n">
        <v>63.5491452991453</v>
      </c>
      <c r="BK82" s="2" t="n">
        <v>0</v>
      </c>
      <c r="BL82" s="2" t="n">
        <v>20</v>
      </c>
      <c r="BM82" s="2" t="n">
        <v>478.9743589743589</v>
      </c>
      <c r="BN82" s="2" t="n">
        <v>5</v>
      </c>
      <c r="BO82" s="2" t="n">
        <v>0</v>
      </c>
      <c r="BP82" s="2" t="n">
        <v>1440.345645</v>
      </c>
      <c r="BQ82" s="2" t="n">
        <v>0</v>
      </c>
      <c r="BR82" s="2" t="n">
        <v>47983.28914927351</v>
      </c>
      <c r="BS82" s="2" t="n">
        <v>856.8234444444444</v>
      </c>
      <c r="BT82" s="2" t="n">
        <v>410.2564102564103</v>
      </c>
      <c r="BU82" s="2" t="n">
        <v>9562.004671794872</v>
      </c>
      <c r="BV82" s="2" t="n">
        <v>10829.08452649573</v>
      </c>
      <c r="BW82" s="2" t="n">
        <v>58812.37367576923</v>
      </c>
      <c r="BX82" s="2" t="n">
        <v>104450.24</v>
      </c>
      <c r="BY82" s="2" t="n">
        <v>2242.03</v>
      </c>
      <c r="BZ82" s="2" t="n">
        <v>14620.16</v>
      </c>
      <c r="CA82" s="2" t="n">
        <v>106692.27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1264</v>
      </c>
      <c r="B83" t="inlineStr">
        <is>
          <t>Dworcowa 1, 66-400 Gorzów Wlkp</t>
        </is>
      </c>
      <c r="C83" t="inlineStr">
        <is>
          <t>Gorzów Wielkopolski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714.24</v>
      </c>
      <c r="L83" s="2" t="n">
        <v>59.45386666666666</v>
      </c>
      <c r="M83" s="2" t="n">
        <v>661.3333333333333</v>
      </c>
      <c r="N83" s="2" t="n">
        <v>123.95</v>
      </c>
      <c r="O83" s="2" t="n">
        <v>574.48</v>
      </c>
      <c r="P83" s="2" t="n">
        <v>15.81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11313.23</v>
      </c>
      <c r="AP83" s="2" t="n">
        <v>827.5418240740739</v>
      </c>
      <c r="AQ83" s="2" t="n">
        <v>10475.21296296296</v>
      </c>
      <c r="AR83" s="2" t="n">
        <v>3575.76</v>
      </c>
      <c r="AS83" s="2" t="n">
        <v>6935.91</v>
      </c>
      <c r="AT83" s="2" t="n">
        <v>801.5599999999999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12027.47</v>
      </c>
      <c r="BB83" s="2" t="n">
        <v>8327.759999999998</v>
      </c>
      <c r="BC83" s="2">
        <f>F83+L83+R83+X83+AD83+AJ83+AP83+AV83+IF(BE83="",0,BE83)</f>
        <v/>
      </c>
      <c r="BD83" s="2" t="n">
        <v>128.247504</v>
      </c>
      <c r="BE83" s="2" t="n"/>
      <c r="BF83" s="2" t="n">
        <v>11136.5462962963</v>
      </c>
      <c r="BG83" s="2" t="n">
        <v>366.96</v>
      </c>
      <c r="BH83" s="2" t="n">
        <v>261</v>
      </c>
      <c r="BI83" s="2" t="n">
        <v>43215.42</v>
      </c>
      <c r="BJ83" s="2" t="n">
        <v>63.5491452991453</v>
      </c>
      <c r="BK83" s="2" t="n">
        <v>0</v>
      </c>
      <c r="BL83" s="2" t="n">
        <v>20</v>
      </c>
      <c r="BM83" s="2" t="n">
        <v>478.9743589743589</v>
      </c>
      <c r="BN83" s="2" t="n">
        <v>5</v>
      </c>
      <c r="BO83" s="2" t="n">
        <v>0</v>
      </c>
      <c r="BP83" s="2" t="n">
        <v>112.42476</v>
      </c>
      <c r="BQ83" s="2" t="n">
        <v>0</v>
      </c>
      <c r="BR83" s="2" t="n">
        <v>44523.32826427351</v>
      </c>
      <c r="BS83" s="2" t="n">
        <v>856.8234444444444</v>
      </c>
      <c r="BT83" s="2" t="n">
        <v>410.2564102564103</v>
      </c>
      <c r="BU83" s="2" t="n">
        <v>9135.596671794872</v>
      </c>
      <c r="BV83" s="2" t="n">
        <v>10402.67652649573</v>
      </c>
      <c r="BW83" s="2" t="n">
        <v>54926.00479076924</v>
      </c>
      <c r="BX83" s="2" t="n">
        <v>7510.389999999999</v>
      </c>
      <c r="BY83" s="2" t="n">
        <v>817.3699999999999</v>
      </c>
      <c r="BZ83" s="2" t="n">
        <v>3699.71</v>
      </c>
      <c r="CA83" s="2" t="n">
        <v>8327.759999999998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1265</v>
      </c>
      <c r="B84" t="inlineStr">
        <is>
          <t>pl. Kolejarza 1, 65-024 Zielona Góra</t>
        </is>
      </c>
      <c r="C84" t="inlineStr">
        <is>
          <t>Zielona Góra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2553.01</v>
      </c>
      <c r="L84" s="2" t="n">
        <v>212.5144435185186</v>
      </c>
      <c r="M84" s="2" t="n">
        <v>2363.898148148148</v>
      </c>
      <c r="N84" s="2" t="n">
        <v>1224.34</v>
      </c>
      <c r="O84" s="2" t="n">
        <v>1163.42</v>
      </c>
      <c r="P84" s="2" t="n">
        <v>165.25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6064.379999999999</v>
      </c>
      <c r="AP84" s="2" t="n">
        <v>443.5981666666665</v>
      </c>
      <c r="AQ84" s="2" t="n">
        <v>5615.166666666665</v>
      </c>
      <c r="AR84" s="2" t="n">
        <v>2996.49</v>
      </c>
      <c r="AS84" s="2" t="n">
        <v>2383.98</v>
      </c>
      <c r="AT84" s="2" t="n">
        <v>683.91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8617.389999999999</v>
      </c>
      <c r="BB84" s="2" t="n">
        <v>4396.559999999999</v>
      </c>
      <c r="BC84" s="2">
        <f>F84+L84+R84+X84+AD84+AJ84+AP84+AV84+IF(BE84="",0,BE84)</f>
        <v/>
      </c>
      <c r="BD84" s="2" t="n">
        <v>67.707024</v>
      </c>
      <c r="BE84" s="2" t="n"/>
      <c r="BF84" s="2" t="n">
        <v>7979.064814814814</v>
      </c>
      <c r="BG84" s="2" t="n">
        <v>366.96</v>
      </c>
      <c r="BH84" s="2" t="n">
        <v>159</v>
      </c>
      <c r="BI84" s="2" t="n">
        <v>43215.42</v>
      </c>
      <c r="BJ84" s="2" t="n">
        <v>63.5491452991453</v>
      </c>
      <c r="BK84" s="2" t="n">
        <v>0</v>
      </c>
      <c r="BL84" s="2" t="n">
        <v>20</v>
      </c>
      <c r="BM84" s="2" t="n">
        <v>478.9743589743589</v>
      </c>
      <c r="BN84" s="2" t="n">
        <v>5</v>
      </c>
      <c r="BO84" s="2" t="n">
        <v>0</v>
      </c>
      <c r="BP84" s="2" t="n">
        <v>59.35356</v>
      </c>
      <c r="BQ84" s="2" t="n">
        <v>0</v>
      </c>
      <c r="BR84" s="2" t="n">
        <v>44368.25706427351</v>
      </c>
      <c r="BS84" s="2" t="n">
        <v>856.8234444444444</v>
      </c>
      <c r="BT84" s="2" t="n">
        <v>410.2564102564103</v>
      </c>
      <c r="BU84" s="2" t="n">
        <v>9115.196671794873</v>
      </c>
      <c r="BV84" s="2" t="n">
        <v>10382.27652649573</v>
      </c>
      <c r="BW84" s="2" t="n">
        <v>54750.53359076924</v>
      </c>
      <c r="BX84" s="2" t="n">
        <v>3547.4</v>
      </c>
      <c r="BY84" s="2" t="n">
        <v>849.16</v>
      </c>
      <c r="BZ84" s="2" t="n">
        <v>4220.83</v>
      </c>
      <c r="CA84" s="2" t="n">
        <v>4396.56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1266</v>
      </c>
      <c r="B85" t="inlineStr">
        <is>
          <t>Dworcowa 1, 64-100 Leszno</t>
        </is>
      </c>
      <c r="C85" t="inlineStr">
        <is>
          <t>Leszno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7270.97</v>
      </c>
      <c r="L85" s="2" t="n">
        <v>605.2409287037037</v>
      </c>
      <c r="M85" s="2" t="n">
        <v>6732.37962962963</v>
      </c>
      <c r="N85" s="2" t="n">
        <v>278.75</v>
      </c>
      <c r="O85" s="2" t="n">
        <v>6449.13</v>
      </c>
      <c r="P85" s="2" t="n">
        <v>543.09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4658.879999999999</v>
      </c>
      <c r="AD85" s="2" t="n">
        <v>297.6506666666666</v>
      </c>
      <c r="AE85" s="2" t="n">
        <v>4313.777777777776</v>
      </c>
      <c r="AF85" s="2" t="n">
        <v>99.44</v>
      </c>
      <c r="AG85" s="2" t="n">
        <v>4170.54</v>
      </c>
      <c r="AH85" s="2" t="n">
        <v>388.9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4985.98</v>
      </c>
      <c r="AP85" s="2" t="n">
        <v>364.7152037037037</v>
      </c>
      <c r="AQ85" s="2" t="n">
        <v>4616.648148148148</v>
      </c>
      <c r="AR85" s="2" t="n">
        <v>79.7</v>
      </c>
      <c r="AS85" s="2" t="n">
        <v>4432.91</v>
      </c>
      <c r="AT85" s="2" t="n">
        <v>473.37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16915.83</v>
      </c>
      <c r="BB85" s="2" t="n">
        <v>16457.94</v>
      </c>
      <c r="BC85" s="2">
        <f>F85+L85+R85+X85+AD85+AJ85+AP85+AV85+IF(BE85="",0,BE85)</f>
        <v/>
      </c>
      <c r="BD85" s="2" t="n">
        <v>253.452276</v>
      </c>
      <c r="BE85" s="2" t="n"/>
      <c r="BF85" s="2" t="n">
        <v>15662.80555555555</v>
      </c>
      <c r="BG85" s="2" t="n">
        <v>0</v>
      </c>
      <c r="BH85" s="2" t="n">
        <v>121.8</v>
      </c>
      <c r="BI85" s="2" t="n">
        <v>43215.42</v>
      </c>
      <c r="BJ85" s="2" t="n">
        <v>63.5491452991453</v>
      </c>
      <c r="BK85" s="2" t="n">
        <v>0</v>
      </c>
      <c r="BL85" s="2" t="n">
        <v>20</v>
      </c>
      <c r="BM85" s="2" t="n">
        <v>478.9743589743589</v>
      </c>
      <c r="BN85" s="2" t="n">
        <v>5</v>
      </c>
      <c r="BO85" s="2" t="n">
        <v>0</v>
      </c>
      <c r="BP85" s="2" t="n">
        <v>222.18219</v>
      </c>
      <c r="BQ85" s="2" t="n">
        <v>0</v>
      </c>
      <c r="BR85" s="2" t="n">
        <v>44126.92569427351</v>
      </c>
      <c r="BS85" s="2" t="n">
        <v>856.8234444444444</v>
      </c>
      <c r="BT85" s="2" t="n">
        <v>410.2564102564103</v>
      </c>
      <c r="BU85" s="2" t="n">
        <v>9034.36467179487</v>
      </c>
      <c r="BV85" s="2" t="n">
        <v>10301.44452649572</v>
      </c>
      <c r="BW85" s="2" t="n">
        <v>54428.37022076923</v>
      </c>
      <c r="BX85" s="2" t="n">
        <v>15052.58</v>
      </c>
      <c r="BY85" s="2" t="n">
        <v>1405.36</v>
      </c>
      <c r="BZ85" s="2" t="n">
        <v>457.89</v>
      </c>
      <c r="CA85" s="2" t="n">
        <v>16457.94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1267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13456.66</v>
      </c>
      <c r="L86" s="2" t="n">
        <v>1120.142346296296</v>
      </c>
      <c r="M86" s="2" t="n">
        <v>12459.87037037037</v>
      </c>
      <c r="N86" s="2" t="n">
        <v>2244.4</v>
      </c>
      <c r="O86" s="2" t="n">
        <v>10844.68</v>
      </c>
      <c r="P86" s="2" t="n">
        <v>367.58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30174.85</v>
      </c>
      <c r="X86" s="2" t="n">
        <v>750</v>
      </c>
      <c r="Y86" s="2" t="n">
        <v>27939.67592592592</v>
      </c>
      <c r="Z86" s="2" t="n">
        <v>2308.5</v>
      </c>
      <c r="AA86" s="2" t="n">
        <v>26999.89</v>
      </c>
      <c r="AB86" s="2" t="n">
        <v>866.46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5134.18</v>
      </c>
      <c r="AP86" s="2" t="n">
        <v>375.5557592592593</v>
      </c>
      <c r="AQ86" s="2" t="n">
        <v>4753.87037037037</v>
      </c>
      <c r="AR86" s="2" t="n">
        <v>1039.79</v>
      </c>
      <c r="AS86" s="2" t="n">
        <v>3659.5</v>
      </c>
      <c r="AT86" s="2" t="n">
        <v>434.89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48765.69</v>
      </c>
      <c r="BB86" s="2" t="n">
        <v>43173</v>
      </c>
      <c r="BC86" s="2">
        <f>F86+L86+R86+X86+AD86+AJ86+AP86+AV86+IF(BE86="",0,BE86)</f>
        <v/>
      </c>
      <c r="BD86" s="2" t="n">
        <v>611.9181349999999</v>
      </c>
      <c r="BE86" s="2" t="n"/>
      <c r="BF86" s="2" t="n">
        <v>45153.41666666666</v>
      </c>
      <c r="BG86" s="2" t="n">
        <v>1056.72</v>
      </c>
      <c r="BH86" s="2" t="n">
        <v>276</v>
      </c>
      <c r="BI86" s="2" t="n">
        <v>43215.42</v>
      </c>
      <c r="BJ86" s="2" t="n">
        <v>63.5491452991453</v>
      </c>
      <c r="BK86" s="2" t="n">
        <v>0</v>
      </c>
      <c r="BL86" s="2" t="n">
        <v>20</v>
      </c>
      <c r="BM86" s="2" t="n">
        <v>478.9743589743589</v>
      </c>
      <c r="BN86" s="2" t="n">
        <v>5</v>
      </c>
      <c r="BO86" s="2" t="n">
        <v>0</v>
      </c>
      <c r="BP86" s="2" t="n">
        <v>582.8355</v>
      </c>
      <c r="BQ86" s="2" t="n">
        <v>0</v>
      </c>
      <c r="BR86" s="2" t="n">
        <v>45698.49900427351</v>
      </c>
      <c r="BS86" s="2" t="n">
        <v>856.8234444444444</v>
      </c>
      <c r="BT86" s="2" t="n">
        <v>410.2564102564103</v>
      </c>
      <c r="BU86" s="2" t="n">
        <v>9276.548671794872</v>
      </c>
      <c r="BV86" s="2" t="n">
        <v>10543.62852649573</v>
      </c>
      <c r="BW86" s="2" t="n">
        <v>56242.12753076923</v>
      </c>
      <c r="BX86" s="2" t="n">
        <v>41504.07</v>
      </c>
      <c r="BY86" s="2" t="n">
        <v>1668.93</v>
      </c>
      <c r="BZ86" s="2" t="n">
        <v>5592.69</v>
      </c>
      <c r="CA86" s="2" t="n">
        <v>43173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1268</v>
      </c>
      <c r="B87" t="inlineStr">
        <is>
          <t>Kolejowa 5, 83-200 Starogard Gdański</t>
        </is>
      </c>
      <c r="C87" t="inlineStr">
        <is>
          <t>Starogard Gdański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20556.63</v>
      </c>
      <c r="AP87" s="2" t="n">
        <v>4177</v>
      </c>
      <c r="AQ87" s="2" t="n">
        <v>19033.91666666667</v>
      </c>
      <c r="AR87" s="2" t="n">
        <v>8778.639999999999</v>
      </c>
      <c r="AS87" s="2" t="n">
        <v>11274.69</v>
      </c>
      <c r="AT87" s="2" t="n">
        <v>503.3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20556.63</v>
      </c>
      <c r="BB87" s="2" t="n">
        <v>11777.99</v>
      </c>
      <c r="BC87" s="2">
        <f>F87+L87+R87+X87+AD87+AJ87+AP87+AV87+IF(BE87="",0,BE87)</f>
        <v/>
      </c>
      <c r="BD87" s="2" t="n">
        <v>181.381046</v>
      </c>
      <c r="BE87" s="2" t="n"/>
      <c r="BF87" s="2" t="n">
        <v>19033.91666666667</v>
      </c>
      <c r="BG87" s="2" t="n">
        <v>0</v>
      </c>
      <c r="BH87" s="2" t="n">
        <v>0</v>
      </c>
      <c r="BI87" s="2" t="n">
        <v>43215.42</v>
      </c>
      <c r="BJ87" s="2" t="n">
        <v>63.5491452991453</v>
      </c>
      <c r="BK87" s="2" t="n">
        <v>0</v>
      </c>
      <c r="BL87" s="2" t="n">
        <v>20</v>
      </c>
      <c r="BM87" s="2" t="n">
        <v>478.9743589743589</v>
      </c>
      <c r="BN87" s="2" t="n">
        <v>5</v>
      </c>
      <c r="BO87" s="2" t="n">
        <v>0</v>
      </c>
      <c r="BP87" s="2" t="n">
        <v>159.002865</v>
      </c>
      <c r="BQ87" s="2" t="n">
        <v>0</v>
      </c>
      <c r="BR87" s="2" t="n">
        <v>43941.94636927351</v>
      </c>
      <c r="BS87" s="2" t="n">
        <v>856.8234444444444</v>
      </c>
      <c r="BT87" s="2" t="n">
        <v>410.2564102564103</v>
      </c>
      <c r="BU87" s="2" t="n">
        <v>9010.004671794872</v>
      </c>
      <c r="BV87" s="2" t="n">
        <v>10277.08452649573</v>
      </c>
      <c r="BW87" s="2" t="n">
        <v>54219.03089576923</v>
      </c>
      <c r="BX87" s="2" t="n">
        <v>11274.69</v>
      </c>
      <c r="BY87" s="2" t="n">
        <v>503.3</v>
      </c>
      <c r="BZ87" s="2" t="n">
        <v>8778.639999999999</v>
      </c>
      <c r="CA87" s="2" t="n">
        <v>11777.99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1269</v>
      </c>
      <c r="B88" t="inlineStr">
        <is>
          <t>Podwale Grodzkie 1, 80-895 Gdańsk</t>
        </is>
      </c>
      <c r="C88" t="inlineStr">
        <is>
          <t>Gdańsk Główny</t>
        </is>
      </c>
      <c r="D88" t="inlineStr">
        <is>
          <t>ST|40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18252.71</v>
      </c>
      <c r="L88" s="2" t="n">
        <v>1519.369100925926</v>
      </c>
      <c r="M88" s="2" t="n">
        <v>16900.65740740741</v>
      </c>
      <c r="N88" s="2" t="n">
        <v>5695.49</v>
      </c>
      <c r="O88" s="2" t="n">
        <v>12144.02</v>
      </c>
      <c r="P88" s="2" t="n">
        <v>413.2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8323.82</v>
      </c>
      <c r="AP88" s="2" t="n">
        <v>608.8720185185184</v>
      </c>
      <c r="AQ88" s="2" t="n">
        <v>7707.24074074074</v>
      </c>
      <c r="AR88" s="2" t="n">
        <v>2650.62</v>
      </c>
      <c r="AS88" s="2" t="n">
        <v>5395.67</v>
      </c>
      <c r="AT88" s="2" t="n">
        <v>277.53</v>
      </c>
      <c r="AU88" s="2" t="n">
        <v>3015.1</v>
      </c>
      <c r="AV88" s="2" t="n">
        <v>120.0456481481481</v>
      </c>
      <c r="AW88" s="2" t="n">
        <v>2791.759259259259</v>
      </c>
      <c r="AX88" s="2" t="n">
        <v>492.1</v>
      </c>
      <c r="AY88" s="2" t="n">
        <v>2390.15</v>
      </c>
      <c r="AZ88" s="2" t="n">
        <v>132.85</v>
      </c>
      <c r="BA88" s="2" t="n">
        <v>29591.63</v>
      </c>
      <c r="BB88" s="2" t="n">
        <v>20753.42</v>
      </c>
      <c r="BC88" s="2">
        <f>F88+L88+R88+X88+AD88+AJ88+AP88+AV88+IF(BE88="",0,BE88)</f>
        <v/>
      </c>
      <c r="BD88" s="2" t="n">
        <v>319.602668</v>
      </c>
      <c r="BE88" s="2" t="n"/>
      <c r="BF88" s="2" t="n">
        <v>27399.65740740741</v>
      </c>
      <c r="BG88" s="2" t="n">
        <v>0</v>
      </c>
      <c r="BH88" s="2" t="n">
        <v>0</v>
      </c>
      <c r="BI88" s="2" t="n">
        <v>43215.42</v>
      </c>
      <c r="BJ88" s="2" t="n">
        <v>63.5491452991453</v>
      </c>
      <c r="BK88" s="2" t="n">
        <v>0</v>
      </c>
      <c r="BL88" s="2" t="n">
        <v>20</v>
      </c>
      <c r="BM88" s="2" t="n">
        <v>478.9743589743589</v>
      </c>
      <c r="BN88" s="2" t="n">
        <v>5</v>
      </c>
      <c r="BO88" s="2" t="n">
        <v>0</v>
      </c>
      <c r="BP88" s="2" t="n">
        <v>280.17117</v>
      </c>
      <c r="BQ88" s="2" t="n">
        <v>0</v>
      </c>
      <c r="BR88" s="2" t="n">
        <v>44063.11467427351</v>
      </c>
      <c r="BS88" s="2" t="n">
        <v>856.8234444444444</v>
      </c>
      <c r="BT88" s="2" t="n">
        <v>410.2564102564103</v>
      </c>
      <c r="BU88" s="2" t="n">
        <v>9010.004671794872</v>
      </c>
      <c r="BV88" s="2" t="n">
        <v>10277.08452649573</v>
      </c>
      <c r="BW88" s="2" t="n">
        <v>54340.19920076923</v>
      </c>
      <c r="BX88" s="2" t="n">
        <v>19929.84</v>
      </c>
      <c r="BY88" s="2" t="n">
        <v>823.58</v>
      </c>
      <c r="BZ88" s="2" t="n">
        <v>8838.210000000001</v>
      </c>
      <c r="CA88" s="2" t="n">
        <v>20753.42000000001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1270</v>
      </c>
      <c r="B89" t="inlineStr">
        <is>
          <t>Marii Konopnickiej 10, 10-168 Olsztyn</t>
        </is>
      </c>
      <c r="C89" t="inlineStr">
        <is>
          <t>Olsztyn Zachodni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14362.15</v>
      </c>
      <c r="L89" s="2" t="n">
        <v>1195.51600462963</v>
      </c>
      <c r="M89" s="2" t="n">
        <v>13298.28703703704</v>
      </c>
      <c r="N89" s="2" t="n">
        <v>2496.84</v>
      </c>
      <c r="O89" s="2" t="n">
        <v>11204.09</v>
      </c>
      <c r="P89" s="2" t="n">
        <v>661.22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8812.639999999999</v>
      </c>
      <c r="AP89" s="2" t="n">
        <v>644.6282962962962</v>
      </c>
      <c r="AQ89" s="2" t="n">
        <v>8159.85185185185</v>
      </c>
      <c r="AR89" s="2" t="n">
        <v>1933.15</v>
      </c>
      <c r="AS89" s="2" t="n">
        <v>6283.86</v>
      </c>
      <c r="AT89" s="2" t="n">
        <v>595.63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23174.79</v>
      </c>
      <c r="BB89" s="2" t="n">
        <v>18744.8</v>
      </c>
      <c r="BC89" s="2">
        <f>F89+L89+R89+X89+AD89+AJ89+AP89+AV89+IF(BE89="",0,BE89)</f>
        <v/>
      </c>
      <c r="BD89" s="2" t="n">
        <v>288.66992</v>
      </c>
      <c r="BE89" s="2" t="n"/>
      <c r="BF89" s="2" t="n">
        <v>21458.13888888889</v>
      </c>
      <c r="BG89" s="2" t="n">
        <v>343</v>
      </c>
      <c r="BH89" s="2" t="n">
        <v>0</v>
      </c>
      <c r="BI89" s="2" t="n">
        <v>43215.42</v>
      </c>
      <c r="BJ89" s="2" t="n">
        <v>63.5491452991453</v>
      </c>
      <c r="BK89" s="2" t="n">
        <v>0</v>
      </c>
      <c r="BL89" s="2" t="n">
        <v>20</v>
      </c>
      <c r="BM89" s="2" t="n">
        <v>478.9743589743589</v>
      </c>
      <c r="BN89" s="2" t="n">
        <v>5</v>
      </c>
      <c r="BO89" s="2" t="n">
        <v>0</v>
      </c>
      <c r="BP89" s="2" t="n">
        <v>253.0548</v>
      </c>
      <c r="BQ89" s="2" t="n">
        <v>0</v>
      </c>
      <c r="BR89" s="2" t="n">
        <v>44378.9983042735</v>
      </c>
      <c r="BS89" s="2" t="n">
        <v>856.8234444444444</v>
      </c>
      <c r="BT89" s="2" t="n">
        <v>410.2564102564103</v>
      </c>
      <c r="BU89" s="2" t="n">
        <v>9078.604671794872</v>
      </c>
      <c r="BV89" s="2" t="n">
        <v>10345.68452649573</v>
      </c>
      <c r="BW89" s="2" t="n">
        <v>54724.68283076923</v>
      </c>
      <c r="BX89" s="2" t="n">
        <v>17487.95</v>
      </c>
      <c r="BY89" s="2" t="n">
        <v>1256.85</v>
      </c>
      <c r="BZ89" s="2" t="n">
        <v>4429.99</v>
      </c>
      <c r="CA89" s="2" t="n">
        <v>18744.8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1271</v>
      </c>
      <c r="B90" t="inlineStr">
        <is>
          <t>Zygmunta Augusta 7, 85-082 Bydgoszcz</t>
        </is>
      </c>
      <c r="C90" t="inlineStr">
        <is>
          <t>Bydgoszcz</t>
        </is>
      </c>
      <c r="D90" t="inlineStr">
        <is>
          <t>FAA2000</t>
        </is>
      </c>
      <c r="E90" s="2" t="n">
        <v>7132.86</v>
      </c>
      <c r="F90" s="2" t="n">
        <v>1000</v>
      </c>
      <c r="G90" s="2" t="n">
        <v>6604.499999999999</v>
      </c>
      <c r="H90" s="2" t="n">
        <v>2448.89</v>
      </c>
      <c r="I90" s="2" t="n">
        <v>4342.93</v>
      </c>
      <c r="J90" s="2" t="n">
        <v>341.04</v>
      </c>
      <c r="K90" s="2" t="n">
        <v>12715.42</v>
      </c>
      <c r="L90" s="2" t="n">
        <v>1058.44097962963</v>
      </c>
      <c r="M90" s="2" t="n">
        <v>11773.53703703704</v>
      </c>
      <c r="N90" s="2" t="n">
        <v>3176.52</v>
      </c>
      <c r="O90" s="2" t="n">
        <v>8856.43</v>
      </c>
      <c r="P90" s="2" t="n">
        <v>682.47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16819.55</v>
      </c>
      <c r="AP90" s="2" t="n">
        <v>1230.318935185185</v>
      </c>
      <c r="AQ90" s="2" t="n">
        <v>15573.65740740741</v>
      </c>
      <c r="AR90" s="2" t="n">
        <v>4832.96</v>
      </c>
      <c r="AS90" s="2" t="n">
        <v>11523.22</v>
      </c>
      <c r="AT90" s="2" t="n">
        <v>463.37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36667.83</v>
      </c>
      <c r="BB90" s="2" t="n">
        <v>26209.46</v>
      </c>
      <c r="BC90" s="2">
        <f>F90+L90+R90+X90+AD90+AJ90+AP90+AV90+IF(BE90="",0,BE90)</f>
        <v/>
      </c>
      <c r="BD90" s="2" t="n">
        <v>403.625684</v>
      </c>
      <c r="BE90" s="2" t="n"/>
      <c r="BF90" s="2" t="n">
        <v>33951.69444444444</v>
      </c>
      <c r="BG90" s="2" t="n">
        <v>381.38</v>
      </c>
      <c r="BH90" s="2" t="n">
        <v>148.23</v>
      </c>
      <c r="BI90" s="2" t="n">
        <v>43215.42</v>
      </c>
      <c r="BJ90" s="2" t="n">
        <v>63.5491452991453</v>
      </c>
      <c r="BK90" s="2" t="n">
        <v>0</v>
      </c>
      <c r="BL90" s="2" t="n">
        <v>20</v>
      </c>
      <c r="BM90" s="2" t="n">
        <v>478.9743589743589</v>
      </c>
      <c r="BN90" s="2" t="n">
        <v>5</v>
      </c>
      <c r="BO90" s="2" t="n">
        <v>0</v>
      </c>
      <c r="BP90" s="2" t="n">
        <v>353.82771</v>
      </c>
      <c r="BQ90" s="2" t="n">
        <v>0</v>
      </c>
      <c r="BR90" s="2" t="n">
        <v>44666.3812142735</v>
      </c>
      <c r="BS90" s="2" t="n">
        <v>856.8234444444444</v>
      </c>
      <c r="BT90" s="2" t="n">
        <v>410.2564102564103</v>
      </c>
      <c r="BU90" s="2" t="n">
        <v>9115.92667179487</v>
      </c>
      <c r="BV90" s="2" t="n">
        <v>10383.00652649572</v>
      </c>
      <c r="BW90" s="2" t="n">
        <v>55049.38774076923</v>
      </c>
      <c r="BX90" s="2" t="n">
        <v>24722.58</v>
      </c>
      <c r="BY90" s="2" t="n">
        <v>1486.88</v>
      </c>
      <c r="BZ90" s="2" t="n">
        <v>10458.37</v>
      </c>
      <c r="CA90" s="2" t="n">
        <v>26209.46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1272</v>
      </c>
      <c r="B91" t="inlineStr">
        <is>
          <t>Dworcowa 115, 88-110 Inowrocław</t>
        </is>
      </c>
      <c r="C91" t="inlineStr">
        <is>
          <t>Inowrocław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7412.23</v>
      </c>
      <c r="L91" s="2" t="n">
        <v>616.9995157407408</v>
      </c>
      <c r="M91" s="2" t="n">
        <v>6863.175925925926</v>
      </c>
      <c r="N91" s="2" t="n">
        <v>2212.17</v>
      </c>
      <c r="O91" s="2" t="n">
        <v>4840.43</v>
      </c>
      <c r="P91" s="2" t="n">
        <v>359.63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8808.370000000001</v>
      </c>
      <c r="AP91" s="2" t="n">
        <v>644.3159537037037</v>
      </c>
      <c r="AQ91" s="2" t="n">
        <v>8155.898148148149</v>
      </c>
      <c r="AR91" s="2" t="n">
        <v>3100.12</v>
      </c>
      <c r="AS91" s="2" t="n">
        <v>5239.46</v>
      </c>
      <c r="AT91" s="2" t="n">
        <v>468.79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16220.6</v>
      </c>
      <c r="BB91" s="2" t="n">
        <v>10908.31</v>
      </c>
      <c r="BC91" s="2">
        <f>F91+L91+R91+X91+AD91+AJ91+AP91+AV91+IF(BE91="",0,BE91)</f>
        <v/>
      </c>
      <c r="BD91" s="2" t="n">
        <v>167.987974</v>
      </c>
      <c r="BE91" s="2" t="n"/>
      <c r="BF91" s="2" t="n">
        <v>15019.07407407407</v>
      </c>
      <c r="BG91" s="2" t="n">
        <v>382</v>
      </c>
      <c r="BH91" s="2" t="n">
        <v>143</v>
      </c>
      <c r="BI91" s="2" t="n">
        <v>43215.42</v>
      </c>
      <c r="BJ91" s="2" t="n">
        <v>63.5491452991453</v>
      </c>
      <c r="BK91" s="2" t="n">
        <v>0</v>
      </c>
      <c r="BL91" s="2" t="n">
        <v>20</v>
      </c>
      <c r="BM91" s="2" t="n">
        <v>478.9743589743589</v>
      </c>
      <c r="BN91" s="2" t="n">
        <v>5</v>
      </c>
      <c r="BO91" s="2" t="n">
        <v>0</v>
      </c>
      <c r="BP91" s="2" t="n">
        <v>147.262185</v>
      </c>
      <c r="BQ91" s="2" t="n">
        <v>0</v>
      </c>
      <c r="BR91" s="2" t="n">
        <v>44455.20568927351</v>
      </c>
      <c r="BS91" s="2" t="n">
        <v>856.8234444444444</v>
      </c>
      <c r="BT91" s="2" t="n">
        <v>410.2564102564103</v>
      </c>
      <c r="BU91" s="2" t="n">
        <v>9115.004671794872</v>
      </c>
      <c r="BV91" s="2" t="n">
        <v>10382.08452649573</v>
      </c>
      <c r="BW91" s="2" t="n">
        <v>54837.29021576923</v>
      </c>
      <c r="BX91" s="2" t="n">
        <v>10079.89</v>
      </c>
      <c r="BY91" s="2" t="n">
        <v>828.4200000000001</v>
      </c>
      <c r="BZ91" s="2" t="n">
        <v>5312.29</v>
      </c>
      <c r="CA91" s="2" t="n">
        <v>10908.31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1273</v>
      </c>
      <c r="B92" t="inlineStr">
        <is>
          <t>Towarowa 5, 84-120 Władysławowo</t>
        </is>
      </c>
      <c r="C92" t="inlineStr">
        <is>
          <t>Władysławowo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630.72</v>
      </c>
      <c r="L92" s="2" t="n">
        <v>52.5016</v>
      </c>
      <c r="M92" s="2" t="n">
        <v>584</v>
      </c>
      <c r="N92" s="2" t="n">
        <v>0</v>
      </c>
      <c r="O92" s="2" t="n">
        <v>512.72</v>
      </c>
      <c r="P92" s="2" t="n">
        <v>118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20879.88</v>
      </c>
      <c r="AP92" s="2" t="n">
        <v>5475</v>
      </c>
      <c r="AQ92" s="2" t="n">
        <v>19333.22222222222</v>
      </c>
      <c r="AR92" s="2" t="n">
        <v>0</v>
      </c>
      <c r="AS92" s="2" t="n">
        <v>17716.67</v>
      </c>
      <c r="AT92" s="2" t="n">
        <v>3163.21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21510.6</v>
      </c>
      <c r="BB92" s="2" t="n">
        <v>21510.6</v>
      </c>
      <c r="BC92" s="2">
        <f>F92+L92+R92+X92+AD92+AJ92+AP92+AV92+IF(BE92="",0,BE92)</f>
        <v/>
      </c>
      <c r="BD92" s="2" t="n">
        <v>331.26324</v>
      </c>
      <c r="BE92" s="2" t="n"/>
      <c r="BF92" s="2" t="n">
        <v>19917.22222222222</v>
      </c>
      <c r="BG92" s="2" t="n">
        <v>0</v>
      </c>
      <c r="BH92" s="2" t="n">
        <v>0</v>
      </c>
      <c r="BI92" s="2" t="n">
        <v>43215.42</v>
      </c>
      <c r="BJ92" s="2" t="n">
        <v>63.5491452991453</v>
      </c>
      <c r="BK92" s="2" t="n">
        <v>0</v>
      </c>
      <c r="BL92" s="2" t="n">
        <v>20</v>
      </c>
      <c r="BM92" s="2" t="n">
        <v>478.9743589743589</v>
      </c>
      <c r="BN92" s="2" t="n">
        <v>5</v>
      </c>
      <c r="BO92" s="2" t="n">
        <v>0</v>
      </c>
      <c r="BP92" s="2" t="n">
        <v>290.3930999999999</v>
      </c>
      <c r="BQ92" s="2" t="n">
        <v>0</v>
      </c>
      <c r="BR92" s="2" t="n">
        <v>44073.33660427351</v>
      </c>
      <c r="BS92" s="2" t="n">
        <v>856.8234444444444</v>
      </c>
      <c r="BT92" s="2" t="n">
        <v>410.2564102564103</v>
      </c>
      <c r="BU92" s="2" t="n">
        <v>9010.004671794872</v>
      </c>
      <c r="BV92" s="2" t="n">
        <v>10277.08452649573</v>
      </c>
      <c r="BW92" s="2" t="n">
        <v>54350.42113076923</v>
      </c>
      <c r="BX92" s="2" t="n">
        <v>18229.39</v>
      </c>
      <c r="BY92" s="2" t="n">
        <v>3281.21</v>
      </c>
      <c r="BZ92" s="2" t="n">
        <v>0</v>
      </c>
      <c r="CA92" s="2" t="n">
        <v>21510.6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1274</v>
      </c>
      <c r="B93" t="inlineStr">
        <is>
          <t>Czersk</t>
        </is>
      </c>
      <c r="C93" t="inlineStr">
        <is>
          <t>Czersk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2890.47</v>
      </c>
      <c r="AP93" s="2" t="n">
        <v>3900</v>
      </c>
      <c r="AQ93" s="2" t="n">
        <v>2676.361111111111</v>
      </c>
      <c r="AR93" s="2" t="n">
        <v>0</v>
      </c>
      <c r="AS93" s="2" t="n">
        <v>2692.92</v>
      </c>
      <c r="AT93" s="2" t="n">
        <v>197.55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2890.47</v>
      </c>
      <c r="BB93" s="2" t="n">
        <v>2890.47</v>
      </c>
      <c r="BC93" s="2">
        <f>F93+L93+R93+X93+AD93+AJ93+AP93+AV93+IF(BE93="",0,BE93)</f>
        <v/>
      </c>
      <c r="BD93" s="2" t="n">
        <v>44.51323800000001</v>
      </c>
      <c r="BE93" s="2" t="n"/>
      <c r="BF93" s="2" t="n">
        <v>2676.361111111111</v>
      </c>
      <c r="BG93" s="2" t="n">
        <v>0</v>
      </c>
      <c r="BH93" s="2" t="n">
        <v>0</v>
      </c>
      <c r="BI93" s="2" t="n">
        <v>43215.42</v>
      </c>
      <c r="BJ93" s="2" t="n">
        <v>63.5491452991453</v>
      </c>
      <c r="BK93" s="2" t="n">
        <v>0</v>
      </c>
      <c r="BL93" s="2" t="n">
        <v>20</v>
      </c>
      <c r="BM93" s="2" t="n">
        <v>478.9743589743589</v>
      </c>
      <c r="BN93" s="2" t="n">
        <v>5</v>
      </c>
      <c r="BO93" s="2" t="n">
        <v>0</v>
      </c>
      <c r="BP93" s="2" t="n">
        <v>39.021345</v>
      </c>
      <c r="BQ93" s="2" t="n">
        <v>0</v>
      </c>
      <c r="BR93" s="2" t="n">
        <v>43821.96484927351</v>
      </c>
      <c r="BS93" s="2" t="n">
        <v>856.8234444444444</v>
      </c>
      <c r="BT93" s="2" t="n">
        <v>410.2564102564103</v>
      </c>
      <c r="BU93" s="2" t="n">
        <v>9010.004671794872</v>
      </c>
      <c r="BV93" s="2" t="n">
        <v>10277.08452649573</v>
      </c>
      <c r="BW93" s="2" t="n">
        <v>54099.04937576923</v>
      </c>
      <c r="BX93" s="2" t="n">
        <v>2692.92</v>
      </c>
      <c r="BY93" s="2" t="n">
        <v>197.55</v>
      </c>
      <c r="BZ93" s="2" t="n">
        <v>0</v>
      </c>
      <c r="CA93" s="2" t="n">
        <v>2890.47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1275</v>
      </c>
      <c r="B94" t="inlineStr">
        <is>
          <t>Rzeszow Glowny</t>
        </is>
      </c>
      <c r="C94" t="inlineStr">
        <is>
          <t>Poznań Dębiec</t>
        </is>
      </c>
      <c r="D94" t="inlineStr">
        <is>
          <t>FAA2000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2916.97</v>
      </c>
      <c r="L94" s="2" t="n">
        <v>242.8107435185186</v>
      </c>
      <c r="M94" s="2" t="n">
        <v>2700.898148148148</v>
      </c>
      <c r="N94" s="2" t="n">
        <v>563.17</v>
      </c>
      <c r="O94" s="2" t="n">
        <v>2250.8</v>
      </c>
      <c r="P94" s="2" t="n">
        <v>103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3813.29</v>
      </c>
      <c r="AP94" s="2" t="n">
        <v>278.9351018518519</v>
      </c>
      <c r="AQ94" s="2" t="n">
        <v>3530.824074074074</v>
      </c>
      <c r="AR94" s="2" t="n">
        <v>1033.25</v>
      </c>
      <c r="AS94" s="2" t="n">
        <v>2749.66</v>
      </c>
      <c r="AT94" s="2" t="n">
        <v>30.38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6730.26</v>
      </c>
      <c r="BB94" s="2" t="n">
        <v>5133.84</v>
      </c>
      <c r="BC94" s="2">
        <f>F94+L94+R94+X94+AD94+AJ94+AP94+AV94+IF(BE94="",0,BE94)</f>
        <v/>
      </c>
      <c r="BD94" s="2" t="n">
        <v>79.061136</v>
      </c>
      <c r="BE94" s="2" t="n"/>
      <c r="BF94" s="2" t="n">
        <v>6231.722222222223</v>
      </c>
      <c r="BG94" s="2" t="n">
        <v>300</v>
      </c>
      <c r="BH94" s="2" t="n">
        <v>0</v>
      </c>
      <c r="BI94" s="2" t="n">
        <v>43215.42</v>
      </c>
      <c r="BJ94" s="2" t="n">
        <v>63.5491452991453</v>
      </c>
      <c r="BK94" s="2" t="n">
        <v>0</v>
      </c>
      <c r="BL94" s="2" t="n">
        <v>20</v>
      </c>
      <c r="BM94" s="2" t="n">
        <v>478.9743589743589</v>
      </c>
      <c r="BN94" s="2" t="n">
        <v>5</v>
      </c>
      <c r="BO94" s="2" t="n">
        <v>0</v>
      </c>
      <c r="BP94" s="2" t="n">
        <v>69.30684000000001</v>
      </c>
      <c r="BQ94" s="2" t="n">
        <v>0</v>
      </c>
      <c r="BR94" s="2" t="n">
        <v>44152.2503442735</v>
      </c>
      <c r="BS94" s="2" t="n">
        <v>856.8234444444444</v>
      </c>
      <c r="BT94" s="2" t="n">
        <v>410.2564102564103</v>
      </c>
      <c r="BU94" s="2" t="n">
        <v>9070.004671794872</v>
      </c>
      <c r="BV94" s="2" t="n">
        <v>10337.08452649573</v>
      </c>
      <c r="BW94" s="2" t="n">
        <v>54489.33487076923</v>
      </c>
      <c r="BX94" s="2" t="n">
        <v>5000.46</v>
      </c>
      <c r="BY94" s="2" t="n">
        <v>133.38</v>
      </c>
      <c r="BZ94" s="2" t="n">
        <v>1596.42</v>
      </c>
      <c r="CA94" s="2" t="n">
        <v>5133.84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1276</v>
      </c>
      <c r="B95" t="inlineStr">
        <is>
          <t>GDA-STR</t>
        </is>
      </c>
      <c r="C95" t="inlineStr">
        <is>
          <t>Gdańsk Strzyża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9506.52</v>
      </c>
      <c r="AP95" s="2" t="n">
        <v>0</v>
      </c>
      <c r="AQ95" s="2" t="n">
        <v>8802.333333333334</v>
      </c>
      <c r="AR95" s="2" t="n">
        <v>1552.17</v>
      </c>
      <c r="AS95" s="2" t="n">
        <v>7568.76</v>
      </c>
      <c r="AT95" s="2" t="n">
        <v>385.59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9506.52</v>
      </c>
      <c r="BB95" s="2" t="n">
        <v>7954.35</v>
      </c>
      <c r="BC95" s="2">
        <f>F95+L95+R95+X95+AD95+AJ95+AP95+AV95+IF(BE95="",0,BE95)</f>
        <v/>
      </c>
      <c r="BD95" s="2" t="n">
        <v>122.49699</v>
      </c>
      <c r="BE95" s="2" t="n"/>
      <c r="BF95" s="2" t="n">
        <v>8802.333333333334</v>
      </c>
      <c r="BG95" s="2" t="n">
        <v>0</v>
      </c>
      <c r="BH95" s="2" t="n">
        <v>0</v>
      </c>
      <c r="BI95" s="2" t="n">
        <v>43215.42</v>
      </c>
      <c r="BJ95" s="2" t="n">
        <v>63.5491452991453</v>
      </c>
      <c r="BK95" s="2" t="n">
        <v>0</v>
      </c>
      <c r="BL95" s="2" t="n">
        <v>20</v>
      </c>
      <c r="BM95" s="2" t="n">
        <v>478.9743589743589</v>
      </c>
      <c r="BN95" s="2" t="n">
        <v>5</v>
      </c>
      <c r="BO95" s="2" t="n">
        <v>0</v>
      </c>
      <c r="BP95" s="2" t="n">
        <v>107.383725</v>
      </c>
      <c r="BQ95" s="2" t="n">
        <v>0</v>
      </c>
      <c r="BR95" s="2" t="n">
        <v>43890.32722927351</v>
      </c>
      <c r="BS95" s="2" t="n">
        <v>856.8234444444444</v>
      </c>
      <c r="BT95" s="2" t="n">
        <v>410.2564102564103</v>
      </c>
      <c r="BU95" s="2" t="n">
        <v>9010.004671794872</v>
      </c>
      <c r="BV95" s="2" t="n">
        <v>10277.08452649573</v>
      </c>
      <c r="BW95" s="2" t="n">
        <v>54167.41175576923</v>
      </c>
      <c r="BX95" s="2" t="n">
        <v>7568.76</v>
      </c>
      <c r="BY95" s="2" t="n">
        <v>385.59</v>
      </c>
      <c r="BZ95" s="2" t="n">
        <v>1552.17</v>
      </c>
      <c r="CA95" s="2" t="n">
        <v>7954.35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1277</v>
      </c>
      <c r="B96" t="inlineStr">
        <is>
          <t>Plac Konstytucji 1, 81-354 Gdynia</t>
        </is>
      </c>
      <c r="C96" t="inlineStr">
        <is>
          <t>Gdynia Główna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12260.38</v>
      </c>
      <c r="L96" s="2" t="n">
        <v>1020.563112962963</v>
      </c>
      <c r="M96" s="2" t="n">
        <v>11352.2037037037</v>
      </c>
      <c r="N96" s="2" t="n">
        <v>4836.26</v>
      </c>
      <c r="O96" s="2" t="n">
        <v>7108.32</v>
      </c>
      <c r="P96" s="2" t="n">
        <v>315.8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22587.15</v>
      </c>
      <c r="AP96" s="2" t="n">
        <v>1652.208194444444</v>
      </c>
      <c r="AQ96" s="2" t="n">
        <v>20914.02777777778</v>
      </c>
      <c r="AR96" s="2" t="n">
        <v>6499.09</v>
      </c>
      <c r="AS96" s="2" t="n">
        <v>15052.98</v>
      </c>
      <c r="AT96" s="2" t="n">
        <v>1035.08</v>
      </c>
      <c r="AU96" s="2" t="n">
        <v>20173</v>
      </c>
      <c r="AV96" s="2" t="n">
        <v>803.1842592592591</v>
      </c>
      <c r="AW96" s="2" t="n">
        <v>18678.7037037037</v>
      </c>
      <c r="AX96" s="2" t="n">
        <v>4611.1</v>
      </c>
      <c r="AY96" s="2" t="n">
        <v>14767.25</v>
      </c>
      <c r="AZ96" s="2" t="n">
        <v>794.65</v>
      </c>
      <c r="BA96" s="2" t="n">
        <v>55020.53</v>
      </c>
      <c r="BB96" s="2" t="n">
        <v>39074.08</v>
      </c>
      <c r="BC96" s="2">
        <f>F96+L96+R96+X96+AD96+AJ96+AP96+AV96+IF(BE96="",0,BE96)</f>
        <v/>
      </c>
      <c r="BD96" s="2" t="n">
        <v>601.740832</v>
      </c>
      <c r="BE96" s="2" t="n"/>
      <c r="BF96" s="2" t="n">
        <v>50944.93518518518</v>
      </c>
      <c r="BG96" s="2" t="n">
        <v>971.34</v>
      </c>
      <c r="BH96" s="2" t="n">
        <v>93.59999999999999</v>
      </c>
      <c r="BI96" s="2" t="n">
        <v>43215.42</v>
      </c>
      <c r="BJ96" s="2" t="n">
        <v>63.5491452991453</v>
      </c>
      <c r="BK96" s="2" t="n">
        <v>0</v>
      </c>
      <c r="BL96" s="2" t="n">
        <v>20</v>
      </c>
      <c r="BM96" s="2" t="n">
        <v>478.9743589743589</v>
      </c>
      <c r="BN96" s="2" t="n">
        <v>5</v>
      </c>
      <c r="BO96" s="2" t="n">
        <v>0</v>
      </c>
      <c r="BP96" s="2" t="n">
        <v>527.50008</v>
      </c>
      <c r="BQ96" s="2" t="n">
        <v>0</v>
      </c>
      <c r="BR96" s="2" t="n">
        <v>45375.38358427351</v>
      </c>
      <c r="BS96" s="2" t="n">
        <v>856.8234444444444</v>
      </c>
      <c r="BT96" s="2" t="n">
        <v>410.2564102564103</v>
      </c>
      <c r="BU96" s="2" t="n">
        <v>9222.992671794871</v>
      </c>
      <c r="BV96" s="2" t="n">
        <v>10490.07252649573</v>
      </c>
      <c r="BW96" s="2" t="n">
        <v>55865.45611076923</v>
      </c>
      <c r="BX96" s="2" t="n">
        <v>36928.55</v>
      </c>
      <c r="BY96" s="2" t="n">
        <v>2145.53</v>
      </c>
      <c r="BZ96" s="2" t="n">
        <v>15946.45</v>
      </c>
      <c r="CA96" s="2" t="n">
        <v>39074.08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1278</v>
      </c>
      <c r="B97" t="inlineStr">
        <is>
          <t>Plac Konstytucji 1, 81-354 Gdynia</t>
        </is>
      </c>
      <c r="C97" t="inlineStr">
        <is>
          <t>Gdynia Główna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7959.1</v>
      </c>
      <c r="L97" s="2" t="n">
        <v>662.5213796296297</v>
      </c>
      <c r="M97" s="2" t="n">
        <v>7369.537037037036</v>
      </c>
      <c r="N97" s="2" t="n">
        <v>302.95</v>
      </c>
      <c r="O97" s="2" t="n">
        <v>6449.02</v>
      </c>
      <c r="P97" s="2" t="n">
        <v>1207.13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17486.64</v>
      </c>
      <c r="AP97" s="2" t="n">
        <v>1279.115333333333</v>
      </c>
      <c r="AQ97" s="2" t="n">
        <v>16191.33333333333</v>
      </c>
      <c r="AR97" s="2" t="n">
        <v>1462.4</v>
      </c>
      <c r="AS97" s="2" t="n">
        <v>15098.22</v>
      </c>
      <c r="AT97" s="2" t="n">
        <v>926.02</v>
      </c>
      <c r="AU97" s="2" t="n">
        <v>18394.8</v>
      </c>
      <c r="AV97" s="2" t="n">
        <v>732.3855555555554</v>
      </c>
      <c r="AW97" s="2" t="n">
        <v>17032.22222222222</v>
      </c>
      <c r="AX97" s="2" t="n">
        <v>2068.95</v>
      </c>
      <c r="AY97" s="2" t="n">
        <v>15135.5</v>
      </c>
      <c r="AZ97" s="2" t="n">
        <v>1190.35</v>
      </c>
      <c r="BA97" s="2" t="n">
        <v>43840.53999999999</v>
      </c>
      <c r="BB97" s="2" t="n">
        <v>40006.24</v>
      </c>
      <c r="BC97" s="2">
        <f>F97+L97+R97+X97+AD97+AJ97+AP97+AV97+IF(BE97="",0,BE97)</f>
        <v/>
      </c>
      <c r="BD97" s="2" t="n">
        <v>616.096096</v>
      </c>
      <c r="BE97" s="2" t="n"/>
      <c r="BF97" s="2" t="n">
        <v>40593.09259259258</v>
      </c>
      <c r="BG97" s="2" t="n">
        <v>1216.91</v>
      </c>
      <c r="BH97" s="2" t="n">
        <v>117</v>
      </c>
      <c r="BI97" s="2" t="n">
        <v>43215.42</v>
      </c>
      <c r="BJ97" s="2" t="n">
        <v>63.5491452991453</v>
      </c>
      <c r="BK97" s="2" t="n">
        <v>0</v>
      </c>
      <c r="BL97" s="2" t="n">
        <v>20</v>
      </c>
      <c r="BM97" s="2" t="n">
        <v>478.9743589743589</v>
      </c>
      <c r="BN97" s="2" t="n">
        <v>5</v>
      </c>
      <c r="BO97" s="2" t="n">
        <v>0</v>
      </c>
      <c r="BP97" s="2" t="n">
        <v>540.08424</v>
      </c>
      <c r="BQ97" s="2" t="n">
        <v>0</v>
      </c>
      <c r="BR97" s="2" t="n">
        <v>45656.93774427351</v>
      </c>
      <c r="BS97" s="2" t="n">
        <v>856.8234444444444</v>
      </c>
      <c r="BT97" s="2" t="n">
        <v>410.2564102564103</v>
      </c>
      <c r="BU97" s="2" t="n">
        <v>9276.786671794871</v>
      </c>
      <c r="BV97" s="2" t="n">
        <v>10543.86652649573</v>
      </c>
      <c r="BW97" s="2" t="n">
        <v>56200.80427076923</v>
      </c>
      <c r="BX97" s="2" t="n">
        <v>36682.74</v>
      </c>
      <c r="BY97" s="2" t="n">
        <v>3323.5</v>
      </c>
      <c r="BZ97" s="2" t="n">
        <v>3834.3</v>
      </c>
      <c r="CA97" s="2" t="n">
        <v>40006.24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1279</v>
      </c>
      <c r="B98" t="inlineStr">
        <is>
          <t>GDA-GL</t>
        </is>
      </c>
      <c r="C98" t="inlineStr">
        <is>
          <t>Gdańsk Brętowo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3612.22</v>
      </c>
      <c r="AP98" s="2" t="n">
        <v>0</v>
      </c>
      <c r="AQ98" s="2" t="n">
        <v>3344.648148148148</v>
      </c>
      <c r="AR98" s="2" t="n">
        <v>501.38</v>
      </c>
      <c r="AS98" s="2" t="n">
        <v>3016.44</v>
      </c>
      <c r="AT98" s="2" t="n">
        <v>94.40000000000001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3612.22</v>
      </c>
      <c r="BB98" s="2" t="n">
        <v>3110.84</v>
      </c>
      <c r="BC98" s="2">
        <f>F98+L98+R98+X98+AD98+AJ98+AP98+AV98+IF(BE98="",0,BE98)</f>
        <v/>
      </c>
      <c r="BD98" s="2" t="n">
        <v>47.906936</v>
      </c>
      <c r="BE98" s="2" t="n"/>
      <c r="BF98" s="2" t="n">
        <v>3344.648148148148</v>
      </c>
      <c r="BG98" s="2" t="n">
        <v>0</v>
      </c>
      <c r="BH98" s="2" t="n">
        <v>0</v>
      </c>
      <c r="BI98" s="2" t="n">
        <v>43215.42</v>
      </c>
      <c r="BJ98" s="2" t="n">
        <v>63.5491452991453</v>
      </c>
      <c r="BK98" s="2" t="n">
        <v>0</v>
      </c>
      <c r="BL98" s="2" t="n">
        <v>20</v>
      </c>
      <c r="BM98" s="2" t="n">
        <v>478.9743589743589</v>
      </c>
      <c r="BN98" s="2" t="n">
        <v>5</v>
      </c>
      <c r="BO98" s="2" t="n">
        <v>0</v>
      </c>
      <c r="BP98" s="2" t="n">
        <v>41.99634</v>
      </c>
      <c r="BQ98" s="2" t="n">
        <v>0</v>
      </c>
      <c r="BR98" s="2" t="n">
        <v>43824.9398442735</v>
      </c>
      <c r="BS98" s="2" t="n">
        <v>856.8234444444444</v>
      </c>
      <c r="BT98" s="2" t="n">
        <v>410.2564102564103</v>
      </c>
      <c r="BU98" s="2" t="n">
        <v>9010.004671794872</v>
      </c>
      <c r="BV98" s="2" t="n">
        <v>10277.08452649573</v>
      </c>
      <c r="BW98" s="2" t="n">
        <v>54102.02437076923</v>
      </c>
      <c r="BX98" s="2" t="n">
        <v>3016.44</v>
      </c>
      <c r="BY98" s="2" t="n">
        <v>94.40000000000001</v>
      </c>
      <c r="BZ98" s="2" t="n">
        <v>501.38</v>
      </c>
      <c r="CA98" s="2" t="n">
        <v>3110.84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1280</v>
      </c>
      <c r="B99" t="inlineStr">
        <is>
          <t>GRODZW</t>
        </is>
      </c>
      <c r="C99" t="inlineStr">
        <is>
          <t>Gdańsk Jasień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8641.129999999999</v>
      </c>
      <c r="AP99" s="2" t="n">
        <v>0</v>
      </c>
      <c r="AQ99" s="2" t="n">
        <v>8001.046296296295</v>
      </c>
      <c r="AR99" s="2" t="n">
        <v>1201.9</v>
      </c>
      <c r="AS99" s="2" t="n">
        <v>7247.07</v>
      </c>
      <c r="AT99" s="2" t="n">
        <v>192.16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8641.129999999999</v>
      </c>
      <c r="BB99" s="2" t="n">
        <v>7439.23</v>
      </c>
      <c r="BC99" s="2">
        <f>F99+L99+R99+X99+AD99+AJ99+AP99+AV99+IF(BE99="",0,BE99)</f>
        <v/>
      </c>
      <c r="BD99" s="2" t="n">
        <v>114.564142</v>
      </c>
      <c r="BE99" s="2" t="n"/>
      <c r="BF99" s="2" t="n">
        <v>8001.046296296295</v>
      </c>
      <c r="BG99" s="2" t="n">
        <v>0</v>
      </c>
      <c r="BH99" s="2" t="n">
        <v>0</v>
      </c>
      <c r="BI99" s="2" t="n">
        <v>43215.42</v>
      </c>
      <c r="BJ99" s="2" t="n">
        <v>63.5491452991453</v>
      </c>
      <c r="BK99" s="2" t="n">
        <v>0</v>
      </c>
      <c r="BL99" s="2" t="n">
        <v>20</v>
      </c>
      <c r="BM99" s="2" t="n">
        <v>478.9743589743589</v>
      </c>
      <c r="BN99" s="2" t="n">
        <v>5</v>
      </c>
      <c r="BO99" s="2" t="n">
        <v>0</v>
      </c>
      <c r="BP99" s="2" t="n">
        <v>100.429605</v>
      </c>
      <c r="BQ99" s="2" t="n">
        <v>0</v>
      </c>
      <c r="BR99" s="2" t="n">
        <v>43883.3731092735</v>
      </c>
      <c r="BS99" s="2" t="n">
        <v>856.8234444444444</v>
      </c>
      <c r="BT99" s="2" t="n">
        <v>410.2564102564103</v>
      </c>
      <c r="BU99" s="2" t="n">
        <v>9010.004671794872</v>
      </c>
      <c r="BV99" s="2" t="n">
        <v>10277.08452649573</v>
      </c>
      <c r="BW99" s="2" t="n">
        <v>54160.45763576923</v>
      </c>
      <c r="BX99" s="2" t="n">
        <v>7247.07</v>
      </c>
      <c r="BY99" s="2" t="n">
        <v>192.16</v>
      </c>
      <c r="BZ99" s="2" t="n">
        <v>1201.9</v>
      </c>
      <c r="CA99" s="2" t="n">
        <v>7439.23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1281</v>
      </c>
      <c r="B100" t="inlineStr">
        <is>
          <t>GRANOW</t>
        </is>
      </c>
      <c r="C100" t="inlineStr">
        <is>
          <t>Gdańsk Kiełpinek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10336.94</v>
      </c>
      <c r="AP100" s="2" t="n">
        <v>0</v>
      </c>
      <c r="AQ100" s="2" t="n">
        <v>9571.240740740739</v>
      </c>
      <c r="AR100" s="2" t="n">
        <v>1545.21</v>
      </c>
      <c r="AS100" s="2" t="n">
        <v>8594.43</v>
      </c>
      <c r="AT100" s="2" t="n">
        <v>197.3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10336.94</v>
      </c>
      <c r="BB100" s="2" t="n">
        <v>8791.73</v>
      </c>
      <c r="BC100" s="2">
        <f>F100+L100+R100+X100+AD100+AJ100+AP100+AV100+IF(BE100="",0,BE100)</f>
        <v/>
      </c>
      <c r="BD100" s="2" t="n">
        <v>135.392642</v>
      </c>
      <c r="BE100" s="2" t="n"/>
      <c r="BF100" s="2" t="n">
        <v>9571.240740740739</v>
      </c>
      <c r="BG100" s="2" t="n">
        <v>0</v>
      </c>
      <c r="BH100" s="2" t="n">
        <v>0</v>
      </c>
      <c r="BI100" s="2" t="n">
        <v>43215.42</v>
      </c>
      <c r="BJ100" s="2" t="n">
        <v>63.5491452991453</v>
      </c>
      <c r="BK100" s="2" t="n">
        <v>0</v>
      </c>
      <c r="BL100" s="2" t="n">
        <v>20</v>
      </c>
      <c r="BM100" s="2" t="n">
        <v>478.9743589743589</v>
      </c>
      <c r="BN100" s="2" t="n">
        <v>5</v>
      </c>
      <c r="BO100" s="2" t="n">
        <v>0</v>
      </c>
      <c r="BP100" s="2" t="n">
        <v>118.688355</v>
      </c>
      <c r="BQ100" s="2" t="n">
        <v>0</v>
      </c>
      <c r="BR100" s="2" t="n">
        <v>43901.6318592735</v>
      </c>
      <c r="BS100" s="2" t="n">
        <v>856.8234444444444</v>
      </c>
      <c r="BT100" s="2" t="n">
        <v>410.2564102564103</v>
      </c>
      <c r="BU100" s="2" t="n">
        <v>9010.004671794872</v>
      </c>
      <c r="BV100" s="2" t="n">
        <v>10277.08452649573</v>
      </c>
      <c r="BW100" s="2" t="n">
        <v>54178.71638576923</v>
      </c>
      <c r="BX100" s="2" t="n">
        <v>8594.43</v>
      </c>
      <c r="BY100" s="2" t="n">
        <v>197.3</v>
      </c>
      <c r="BZ100" s="2" t="n">
        <v>1545.21</v>
      </c>
      <c r="CA100" s="2" t="n">
        <v>8791.73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1282</v>
      </c>
      <c r="B101" t="inlineStr">
        <is>
          <t>STESZEW</t>
        </is>
      </c>
      <c r="C101" t="inlineStr">
        <is>
          <t>Gdańsk Port Lotniczy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146.57</v>
      </c>
      <c r="AP101" s="2" t="n">
        <v>0</v>
      </c>
      <c r="AQ101" s="2" t="n">
        <v>135.712962962963</v>
      </c>
      <c r="AR101" s="2" t="n">
        <v>29.85</v>
      </c>
      <c r="AS101" s="2" t="n">
        <v>116.72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146.57</v>
      </c>
      <c r="BB101" s="2" t="n">
        <v>116.72</v>
      </c>
      <c r="BC101" s="2">
        <f>F101+L101+R101+X101+AD101+AJ101+AP101+AV101+IF(BE101="",0,BE101)</f>
        <v/>
      </c>
      <c r="BD101" s="2" t="n">
        <v>1.797488</v>
      </c>
      <c r="BE101" s="2" t="n"/>
      <c r="BF101" s="2" t="n">
        <v>135.712962962963</v>
      </c>
      <c r="BG101" s="2" t="n">
        <v>0</v>
      </c>
      <c r="BH101" s="2" t="n">
        <v>0</v>
      </c>
      <c r="BI101" s="2" t="n">
        <v>43215.42</v>
      </c>
      <c r="BJ101" s="2" t="n">
        <v>63.5491452991453</v>
      </c>
      <c r="BK101" s="2" t="n">
        <v>0</v>
      </c>
      <c r="BL101" s="2" t="n">
        <v>20</v>
      </c>
      <c r="BM101" s="2" t="n">
        <v>478.9743589743589</v>
      </c>
      <c r="BN101" s="2" t="n">
        <v>5</v>
      </c>
      <c r="BO101" s="2" t="n">
        <v>0</v>
      </c>
      <c r="BP101" s="2" t="n">
        <v>1.57572</v>
      </c>
      <c r="BQ101" s="2" t="n">
        <v>0</v>
      </c>
      <c r="BR101" s="2" t="n">
        <v>43784.51922427351</v>
      </c>
      <c r="BS101" s="2" t="n">
        <v>856.8234444444444</v>
      </c>
      <c r="BT101" s="2" t="n">
        <v>410.2564102564103</v>
      </c>
      <c r="BU101" s="2" t="n">
        <v>9010.004671794872</v>
      </c>
      <c r="BV101" s="2" t="n">
        <v>10277.08452649573</v>
      </c>
      <c r="BW101" s="2" t="n">
        <v>54061.60375076923</v>
      </c>
      <c r="BX101" s="2" t="n">
        <v>116.72</v>
      </c>
      <c r="BY101" s="2" t="n">
        <v>0</v>
      </c>
      <c r="BZ101" s="2" t="n">
        <v>29.85</v>
      </c>
      <c r="CA101" s="2" t="n">
        <v>116.72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1283</v>
      </c>
      <c r="B102" t="inlineStr">
        <is>
          <t>CZERWO</t>
        </is>
      </c>
      <c r="C102" t="inlineStr">
        <is>
          <t>Gdańsk Port Lotniczy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53549.75</v>
      </c>
      <c r="AP102" s="2" t="n">
        <v>0</v>
      </c>
      <c r="AQ102" s="2" t="n">
        <v>49583.10185185185</v>
      </c>
      <c r="AR102" s="2" t="n">
        <v>8147.43</v>
      </c>
      <c r="AS102" s="2" t="n">
        <v>43056.78</v>
      </c>
      <c r="AT102" s="2" t="n">
        <v>2345.54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53549.75</v>
      </c>
      <c r="BB102" s="2" t="n">
        <v>45402.32</v>
      </c>
      <c r="BC102" s="2">
        <f>F102+L102+R102+X102+AD102+AJ102+AP102+AV102+IF(BE102="",0,BE102)</f>
        <v/>
      </c>
      <c r="BD102" s="2" t="n">
        <v>699.195728</v>
      </c>
      <c r="BE102" s="2" t="n"/>
      <c r="BF102" s="2" t="n">
        <v>49583.10185185185</v>
      </c>
      <c r="BG102" s="2" t="n">
        <v>0</v>
      </c>
      <c r="BH102" s="2" t="n">
        <v>0</v>
      </c>
      <c r="BI102" s="2" t="n">
        <v>43215.42</v>
      </c>
      <c r="BJ102" s="2" t="n">
        <v>63.5491452991453</v>
      </c>
      <c r="BK102" s="2" t="n">
        <v>0</v>
      </c>
      <c r="BL102" s="2" t="n">
        <v>20</v>
      </c>
      <c r="BM102" s="2" t="n">
        <v>478.9743589743589</v>
      </c>
      <c r="BN102" s="2" t="n">
        <v>5</v>
      </c>
      <c r="BO102" s="2" t="n">
        <v>0</v>
      </c>
      <c r="BP102" s="2" t="n">
        <v>612.93132</v>
      </c>
      <c r="BQ102" s="2" t="n">
        <v>0</v>
      </c>
      <c r="BR102" s="2" t="n">
        <v>44395.87482427351</v>
      </c>
      <c r="BS102" s="2" t="n">
        <v>856.8234444444444</v>
      </c>
      <c r="BT102" s="2" t="n">
        <v>410.2564102564103</v>
      </c>
      <c r="BU102" s="2" t="n">
        <v>9010.004671794872</v>
      </c>
      <c r="BV102" s="2" t="n">
        <v>10277.08452649573</v>
      </c>
      <c r="BW102" s="2" t="n">
        <v>54672.95935076923</v>
      </c>
      <c r="BX102" s="2" t="n">
        <v>43056.78</v>
      </c>
      <c r="BY102" s="2" t="n">
        <v>2345.54</v>
      </c>
      <c r="BZ102" s="2" t="n">
        <v>8147.43</v>
      </c>
      <c r="CA102" s="2" t="n">
        <v>45402.32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1284</v>
      </c>
      <c r="B103" t="inlineStr">
        <is>
          <t>OWINSK</t>
        </is>
      </c>
      <c r="C103" t="inlineStr">
        <is>
          <t>Gdańsk Rębiechowo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5047.849999999999</v>
      </c>
      <c r="AP103" s="2" t="n">
        <v>0</v>
      </c>
      <c r="AQ103" s="2" t="n">
        <v>4673.935185185184</v>
      </c>
      <c r="AR103" s="2" t="n">
        <v>488.02</v>
      </c>
      <c r="AS103" s="2" t="n">
        <v>4193.63</v>
      </c>
      <c r="AT103" s="2" t="n">
        <v>366.2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5047.849999999999</v>
      </c>
      <c r="BB103" s="2" t="n">
        <v>4559.83</v>
      </c>
      <c r="BC103" s="2">
        <f>F103+L103+R103+X103+AD103+AJ103+AP103+AV103+IF(BE103="",0,BE103)</f>
        <v/>
      </c>
      <c r="BD103" s="2" t="n">
        <v>70.22138200000001</v>
      </c>
      <c r="BE103" s="2" t="n"/>
      <c r="BF103" s="2" t="n">
        <v>4673.935185185184</v>
      </c>
      <c r="BG103" s="2" t="n">
        <v>0</v>
      </c>
      <c r="BH103" s="2" t="n">
        <v>0</v>
      </c>
      <c r="BI103" s="2" t="n">
        <v>43215.42</v>
      </c>
      <c r="BJ103" s="2" t="n">
        <v>63.5491452991453</v>
      </c>
      <c r="BK103" s="2" t="n">
        <v>0</v>
      </c>
      <c r="BL103" s="2" t="n">
        <v>20</v>
      </c>
      <c r="BM103" s="2" t="n">
        <v>478.9743589743589</v>
      </c>
      <c r="BN103" s="2" t="n">
        <v>5</v>
      </c>
      <c r="BO103" s="2" t="n">
        <v>0</v>
      </c>
      <c r="BP103" s="2" t="n">
        <v>61.557705</v>
      </c>
      <c r="BQ103" s="2" t="n">
        <v>0</v>
      </c>
      <c r="BR103" s="2" t="n">
        <v>43844.50120927351</v>
      </c>
      <c r="BS103" s="2" t="n">
        <v>856.8234444444444</v>
      </c>
      <c r="BT103" s="2" t="n">
        <v>410.2564102564103</v>
      </c>
      <c r="BU103" s="2" t="n">
        <v>9010.004671794872</v>
      </c>
      <c r="BV103" s="2" t="n">
        <v>10277.08452649573</v>
      </c>
      <c r="BW103" s="2" t="n">
        <v>54121.58573576923</v>
      </c>
      <c r="BX103" s="2" t="n">
        <v>4193.63</v>
      </c>
      <c r="BY103" s="2" t="n">
        <v>366.2</v>
      </c>
      <c r="BZ103" s="2" t="n">
        <v>488.02</v>
      </c>
      <c r="CA103" s="2" t="n">
        <v>4559.83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1285</v>
      </c>
      <c r="B104" t="inlineStr">
        <is>
          <t>ZIELWZG</t>
        </is>
      </c>
      <c r="C104" t="inlineStr">
        <is>
          <t>Gdańsk Osowa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7404.170000000001</v>
      </c>
      <c r="AP104" s="2" t="n">
        <v>0</v>
      </c>
      <c r="AQ104" s="2" t="n">
        <v>6855.712962962964</v>
      </c>
      <c r="AR104" s="2" t="n">
        <v>1764.26</v>
      </c>
      <c r="AS104" s="2" t="n">
        <v>5430.52</v>
      </c>
      <c r="AT104" s="2" t="n">
        <v>209.39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7404.170000000001</v>
      </c>
      <c r="BB104" s="2" t="n">
        <v>5639.910000000001</v>
      </c>
      <c r="BC104" s="2">
        <f>F104+L104+R104+X104+AD104+AJ104+AP104+AV104+IF(BE104="",0,BE104)</f>
        <v/>
      </c>
      <c r="BD104" s="2" t="n">
        <v>86.85461400000001</v>
      </c>
      <c r="BE104" s="2" t="n"/>
      <c r="BF104" s="2" t="n">
        <v>6855.712962962964</v>
      </c>
      <c r="BG104" s="2" t="n">
        <v>0</v>
      </c>
      <c r="BH104" s="2" t="n">
        <v>0</v>
      </c>
      <c r="BI104" s="2" t="n">
        <v>43215.42</v>
      </c>
      <c r="BJ104" s="2" t="n">
        <v>63.5491452991453</v>
      </c>
      <c r="BK104" s="2" t="n">
        <v>0</v>
      </c>
      <c r="BL104" s="2" t="n">
        <v>20</v>
      </c>
      <c r="BM104" s="2" t="n">
        <v>478.9743589743589</v>
      </c>
      <c r="BN104" s="2" t="n">
        <v>5</v>
      </c>
      <c r="BO104" s="2" t="n">
        <v>0</v>
      </c>
      <c r="BP104" s="2" t="n">
        <v>76.13878500000001</v>
      </c>
      <c r="BQ104" s="2" t="n">
        <v>0</v>
      </c>
      <c r="BR104" s="2" t="n">
        <v>43859.08228927351</v>
      </c>
      <c r="BS104" s="2" t="n">
        <v>856.8234444444444</v>
      </c>
      <c r="BT104" s="2" t="n">
        <v>410.2564102564103</v>
      </c>
      <c r="BU104" s="2" t="n">
        <v>9010.004671794872</v>
      </c>
      <c r="BV104" s="2" t="n">
        <v>10277.08452649573</v>
      </c>
      <c r="BW104" s="2" t="n">
        <v>54136.16681576923</v>
      </c>
      <c r="BX104" s="2" t="n">
        <v>5430.52</v>
      </c>
      <c r="BY104" s="2" t="n">
        <v>209.39</v>
      </c>
      <c r="BZ104" s="2" t="n">
        <v>1764.26</v>
      </c>
      <c r="CA104" s="2" t="n">
        <v>5639.910000000001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1286</v>
      </c>
      <c r="B105" t="inlineStr">
        <is>
          <t>Dworcowa 2, 61-801 Poznań</t>
        </is>
      </c>
      <c r="C105" t="inlineStr">
        <is>
          <t>Poznań Główny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7176.860000000001</v>
      </c>
      <c r="L105" s="2" t="n">
        <v>597.4071425925927</v>
      </c>
      <c r="M105" s="2" t="n">
        <v>6645.240740740741</v>
      </c>
      <c r="N105" s="2" t="n">
        <v>1307.65</v>
      </c>
      <c r="O105" s="2" t="n">
        <v>5388.96</v>
      </c>
      <c r="P105" s="2" t="n">
        <v>480.25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9988.549999999999</v>
      </c>
      <c r="AD105" s="2" t="n">
        <v>638.1573611111112</v>
      </c>
      <c r="AE105" s="2" t="n">
        <v>9248.657407407407</v>
      </c>
      <c r="AF105" s="2" t="n">
        <v>1249.67</v>
      </c>
      <c r="AG105" s="2" t="n">
        <v>8422.049999999999</v>
      </c>
      <c r="AH105" s="2" t="n">
        <v>316.83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3114.31</v>
      </c>
      <c r="AP105" s="2" t="n">
        <v>227.8060092592592</v>
      </c>
      <c r="AQ105" s="2" t="n">
        <v>2883.62037037037</v>
      </c>
      <c r="AR105" s="2" t="n">
        <v>345.79</v>
      </c>
      <c r="AS105" s="2" t="n">
        <v>2531.7</v>
      </c>
      <c r="AT105" s="2" t="n">
        <v>236.82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20279.72</v>
      </c>
      <c r="BB105" s="2" t="n">
        <v>17376.61</v>
      </c>
      <c r="BC105" s="2">
        <f>F105+L105+R105+X105+AD105+AJ105+AP105+AV105+IF(BE105="",0,BE105)</f>
        <v/>
      </c>
      <c r="BD105" s="2" t="n">
        <v>267.599794</v>
      </c>
      <c r="BE105" s="2" t="n"/>
      <c r="BF105" s="2" t="n">
        <v>18777.51851851852</v>
      </c>
      <c r="BG105" s="2" t="n">
        <v>458.58</v>
      </c>
      <c r="BH105" s="2" t="n">
        <v>0</v>
      </c>
      <c r="BI105" s="2" t="n">
        <v>43215.42</v>
      </c>
      <c r="BJ105" s="2" t="n">
        <v>63.5491452991453</v>
      </c>
      <c r="BK105" s="2" t="n">
        <v>0</v>
      </c>
      <c r="BL105" s="2" t="n">
        <v>20</v>
      </c>
      <c r="BM105" s="2" t="n">
        <v>478.9743589743589</v>
      </c>
      <c r="BN105" s="2" t="n">
        <v>5</v>
      </c>
      <c r="BO105" s="2" t="n">
        <v>0</v>
      </c>
      <c r="BP105" s="2" t="n">
        <v>234.584235</v>
      </c>
      <c r="BQ105" s="2" t="n">
        <v>0</v>
      </c>
      <c r="BR105" s="2" t="n">
        <v>44476.10773927351</v>
      </c>
      <c r="BS105" s="2" t="n">
        <v>856.8234444444444</v>
      </c>
      <c r="BT105" s="2" t="n">
        <v>410.2564102564103</v>
      </c>
      <c r="BU105" s="2" t="n">
        <v>9101.72067179487</v>
      </c>
      <c r="BV105" s="2" t="n">
        <v>10368.80052649572</v>
      </c>
      <c r="BW105" s="2" t="n">
        <v>54844.90826576923</v>
      </c>
      <c r="BX105" s="2" t="n">
        <v>16342.71</v>
      </c>
      <c r="BY105" s="2" t="n">
        <v>1033.9</v>
      </c>
      <c r="BZ105" s="2" t="n">
        <v>2903.11</v>
      </c>
      <c r="CA105" s="2" t="n">
        <v>17376.61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1287</v>
      </c>
      <c r="B106" t="inlineStr">
        <is>
          <t>Kościuszki 54, 82-500 Kwidzyn</t>
        </is>
      </c>
      <c r="C106" t="inlineStr">
        <is>
          <t>Kwidzyn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3099.23</v>
      </c>
      <c r="AP106" s="2" t="n">
        <v>4060</v>
      </c>
      <c r="AQ106" s="2" t="n">
        <v>2869.657407407407</v>
      </c>
      <c r="AR106" s="2" t="n">
        <v>0</v>
      </c>
      <c r="AS106" s="2" t="n">
        <v>2814.36</v>
      </c>
      <c r="AT106" s="2" t="n">
        <v>284.87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3099.23</v>
      </c>
      <c r="BB106" s="2" t="n">
        <v>3099.23</v>
      </c>
      <c r="BC106" s="2">
        <f>F106+L106+R106+X106+AD106+AJ106+AP106+AV106+IF(BE106="",0,BE106)</f>
        <v/>
      </c>
      <c r="BD106" s="2" t="n">
        <v>47.728142</v>
      </c>
      <c r="BE106" s="2" t="n"/>
      <c r="BF106" s="2" t="n">
        <v>2869.657407407407</v>
      </c>
      <c r="BG106" s="2" t="n">
        <v>0</v>
      </c>
      <c r="BH106" s="2" t="n">
        <v>0</v>
      </c>
      <c r="BI106" s="2" t="n">
        <v>43215.42</v>
      </c>
      <c r="BJ106" s="2" t="n">
        <v>63.5491452991453</v>
      </c>
      <c r="BK106" s="2" t="n">
        <v>0</v>
      </c>
      <c r="BL106" s="2" t="n">
        <v>20</v>
      </c>
      <c r="BM106" s="2" t="n">
        <v>478.9743589743589</v>
      </c>
      <c r="BN106" s="2" t="n">
        <v>5</v>
      </c>
      <c r="BO106" s="2" t="n">
        <v>0</v>
      </c>
      <c r="BP106" s="2" t="n">
        <v>41.839605</v>
      </c>
      <c r="BQ106" s="2" t="n">
        <v>0</v>
      </c>
      <c r="BR106" s="2" t="n">
        <v>43824.78310927351</v>
      </c>
      <c r="BS106" s="2" t="n">
        <v>856.8234444444444</v>
      </c>
      <c r="BT106" s="2" t="n">
        <v>410.2564102564103</v>
      </c>
      <c r="BU106" s="2" t="n">
        <v>9010.004671794872</v>
      </c>
      <c r="BV106" s="2" t="n">
        <v>10277.08452649573</v>
      </c>
      <c r="BW106" s="2" t="n">
        <v>54101.86763576923</v>
      </c>
      <c r="BX106" s="2" t="n">
        <v>2814.36</v>
      </c>
      <c r="BY106" s="2" t="n">
        <v>284.87</v>
      </c>
      <c r="BZ106" s="2" t="n">
        <v>0</v>
      </c>
      <c r="CA106" s="2" t="n">
        <v>3099.23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1288</v>
      </c>
      <c r="B107" t="inlineStr">
        <is>
          <t>Ks. Stefańskiego 6, 84-140 Jastarnia</t>
        </is>
      </c>
      <c r="C107" t="inlineStr">
        <is>
          <t>Jastania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35525.2</v>
      </c>
      <c r="AP107" s="2" t="n">
        <v>4494</v>
      </c>
      <c r="AQ107" s="2" t="n">
        <v>32893.7037037037</v>
      </c>
      <c r="AR107" s="2" t="n">
        <v>0</v>
      </c>
      <c r="AS107" s="2" t="n">
        <v>31090.32</v>
      </c>
      <c r="AT107" s="2" t="n">
        <v>4434.88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35525.2</v>
      </c>
      <c r="BB107" s="2" t="n">
        <v>35525.2</v>
      </c>
      <c r="BC107" s="2">
        <f>F107+L107+R107+X107+AD107+AJ107+AP107+AV107+IF(BE107="",0,BE107)</f>
        <v/>
      </c>
      <c r="BD107" s="2" t="n">
        <v>547.08808</v>
      </c>
      <c r="BE107" s="2" t="n"/>
      <c r="BF107" s="2" t="n">
        <v>32893.7037037037</v>
      </c>
      <c r="BG107" s="2" t="n">
        <v>0</v>
      </c>
      <c r="BH107" s="2" t="n">
        <v>0</v>
      </c>
      <c r="BI107" s="2" t="n">
        <v>43215.42</v>
      </c>
      <c r="BJ107" s="2" t="n">
        <v>63.5491452991453</v>
      </c>
      <c r="BK107" s="2" t="n">
        <v>0</v>
      </c>
      <c r="BL107" s="2" t="n">
        <v>20</v>
      </c>
      <c r="BM107" s="2" t="n">
        <v>478.9743589743589</v>
      </c>
      <c r="BN107" s="2" t="n">
        <v>5</v>
      </c>
      <c r="BO107" s="2" t="n">
        <v>0</v>
      </c>
      <c r="BP107" s="2" t="n">
        <v>479.5902</v>
      </c>
      <c r="BQ107" s="2" t="n">
        <v>0</v>
      </c>
      <c r="BR107" s="2" t="n">
        <v>44262.5337042735</v>
      </c>
      <c r="BS107" s="2" t="n">
        <v>856.8234444444444</v>
      </c>
      <c r="BT107" s="2" t="n">
        <v>410.2564102564103</v>
      </c>
      <c r="BU107" s="2" t="n">
        <v>9010.004671794872</v>
      </c>
      <c r="BV107" s="2" t="n">
        <v>10277.08452649573</v>
      </c>
      <c r="BW107" s="2" t="n">
        <v>54539.61823076923</v>
      </c>
      <c r="BX107" s="2" t="n">
        <v>31090.32</v>
      </c>
      <c r="BY107" s="2" t="n">
        <v>4434.88</v>
      </c>
      <c r="BZ107" s="2" t="n">
        <v>0</v>
      </c>
      <c r="CA107" s="2" t="n">
        <v>35525.2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1289</v>
      </c>
      <c r="B108" t="inlineStr">
        <is>
          <t>Dworcowa 1, 84-150 Hel</t>
        </is>
      </c>
      <c r="C108" t="inlineStr">
        <is>
          <t>Hel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37119.85</v>
      </c>
      <c r="AP108" s="2" t="n">
        <v>4494</v>
      </c>
      <c r="AQ108" s="2" t="n">
        <v>34370.23148148147</v>
      </c>
      <c r="AR108" s="2" t="n">
        <v>0</v>
      </c>
      <c r="AS108" s="2" t="n">
        <v>32608.44</v>
      </c>
      <c r="AT108" s="2" t="n">
        <v>4511.41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37119.85</v>
      </c>
      <c r="BB108" s="2" t="n">
        <v>37119.85</v>
      </c>
      <c r="BC108" s="2">
        <f>F108+L108+R108+X108+AD108+AJ108+AP108+AV108+IF(BE108="",0,BE108)</f>
        <v/>
      </c>
      <c r="BD108" s="2" t="n">
        <v>571.6456899999999</v>
      </c>
      <c r="BE108" s="2" t="n"/>
      <c r="BF108" s="2" t="n">
        <v>34370.23148148147</v>
      </c>
      <c r="BG108" s="2" t="n">
        <v>0</v>
      </c>
      <c r="BH108" s="2" t="n">
        <v>0</v>
      </c>
      <c r="BI108" s="2" t="n">
        <v>43215.42</v>
      </c>
      <c r="BJ108" s="2" t="n">
        <v>63.5491452991453</v>
      </c>
      <c r="BK108" s="2" t="n">
        <v>0</v>
      </c>
      <c r="BL108" s="2" t="n">
        <v>20</v>
      </c>
      <c r="BM108" s="2" t="n">
        <v>478.9743589743589</v>
      </c>
      <c r="BN108" s="2" t="n">
        <v>5</v>
      </c>
      <c r="BO108" s="2" t="n">
        <v>0</v>
      </c>
      <c r="BP108" s="2" t="n">
        <v>501.117975</v>
      </c>
      <c r="BQ108" s="2" t="n">
        <v>0</v>
      </c>
      <c r="BR108" s="2" t="n">
        <v>44284.06147927351</v>
      </c>
      <c r="BS108" s="2" t="n">
        <v>856.8234444444444</v>
      </c>
      <c r="BT108" s="2" t="n">
        <v>410.2564102564103</v>
      </c>
      <c r="BU108" s="2" t="n">
        <v>9010.004671794872</v>
      </c>
      <c r="BV108" s="2" t="n">
        <v>10277.08452649573</v>
      </c>
      <c r="BW108" s="2" t="n">
        <v>54561.14600576923</v>
      </c>
      <c r="BX108" s="2" t="n">
        <v>32608.44</v>
      </c>
      <c r="BY108" s="2" t="n">
        <v>4511.41</v>
      </c>
      <c r="BZ108" s="2" t="n">
        <v>0</v>
      </c>
      <c r="CA108" s="2" t="n">
        <v>37119.85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1290</v>
      </c>
      <c r="B109" t="inlineStr">
        <is>
          <t>Kolumba 2, 70-035 Szczecin</t>
        </is>
      </c>
      <c r="C109" t="inlineStr">
        <is>
          <t>Szczecin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9381.849999999999</v>
      </c>
      <c r="L109" s="2" t="n">
        <v>780.9521435185184</v>
      </c>
      <c r="M109" s="2" t="n">
        <v>8686.898148148146</v>
      </c>
      <c r="N109" s="2" t="n">
        <v>3189.52</v>
      </c>
      <c r="O109" s="2" t="n">
        <v>5645.29</v>
      </c>
      <c r="P109" s="2" t="n">
        <v>547.04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27939.23</v>
      </c>
      <c r="AP109" s="2" t="n">
        <v>2043.702935185185</v>
      </c>
      <c r="AQ109" s="2" t="n">
        <v>25869.65740740741</v>
      </c>
      <c r="AR109" s="2" t="n">
        <v>10362.86</v>
      </c>
      <c r="AS109" s="2" t="n">
        <v>16183.73</v>
      </c>
      <c r="AT109" s="2" t="n">
        <v>1392.64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37321.08</v>
      </c>
      <c r="BB109" s="2" t="n">
        <v>23768.7</v>
      </c>
      <c r="BC109" s="2">
        <f>F109+L109+R109+X109+AD109+AJ109+AP109+AV109+IF(BE109="",0,BE109)</f>
        <v/>
      </c>
      <c r="BD109" s="2" t="n">
        <v>366.0379799999999</v>
      </c>
      <c r="BE109" s="2" t="n"/>
      <c r="BF109" s="2" t="n">
        <v>34556.55555555555</v>
      </c>
      <c r="BG109" s="2" t="n">
        <v>1387.63</v>
      </c>
      <c r="BH109" s="2" t="n">
        <v>187.2</v>
      </c>
      <c r="BI109" s="2" t="n">
        <v>43215.42</v>
      </c>
      <c r="BJ109" s="2" t="n">
        <v>63.5491452991453</v>
      </c>
      <c r="BK109" s="2" t="n">
        <v>0</v>
      </c>
      <c r="BL109" s="2" t="n">
        <v>20</v>
      </c>
      <c r="BM109" s="2" t="n">
        <v>478.9743589743589</v>
      </c>
      <c r="BN109" s="2" t="n">
        <v>5</v>
      </c>
      <c r="BO109" s="2" t="n">
        <v>0</v>
      </c>
      <c r="BP109" s="2" t="n">
        <v>320.87745</v>
      </c>
      <c r="BQ109" s="2" t="n">
        <v>0</v>
      </c>
      <c r="BR109" s="2" t="n">
        <v>45678.65095427351</v>
      </c>
      <c r="BS109" s="2" t="n">
        <v>856.8234444444444</v>
      </c>
      <c r="BT109" s="2" t="n">
        <v>410.2564102564103</v>
      </c>
      <c r="BU109" s="2" t="n">
        <v>9324.97067179487</v>
      </c>
      <c r="BV109" s="2" t="n">
        <v>10592.05052649572</v>
      </c>
      <c r="BW109" s="2" t="n">
        <v>56270.70148076923</v>
      </c>
      <c r="BX109" s="2" t="n">
        <v>21829.02</v>
      </c>
      <c r="BY109" s="2" t="n">
        <v>1939.68</v>
      </c>
      <c r="BZ109" s="2" t="n">
        <v>13552.38</v>
      </c>
      <c r="CA109" s="2" t="n">
        <v>23768.7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1291</v>
      </c>
      <c r="B110" t="inlineStr">
        <is>
          <t>pl. Dworcowy 1, 82-300 Elbląg</t>
        </is>
      </c>
      <c r="C110" t="inlineStr">
        <is>
          <t>Elbląg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6460.83</v>
      </c>
      <c r="L110" s="2" t="n">
        <v>537.804275</v>
      </c>
      <c r="M110" s="2" t="n">
        <v>5982.249999999999</v>
      </c>
      <c r="N110" s="2" t="n">
        <v>1287.44</v>
      </c>
      <c r="O110" s="2" t="n">
        <v>4870.89</v>
      </c>
      <c r="P110" s="2" t="n">
        <v>302.5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21070.85</v>
      </c>
      <c r="AP110" s="2" t="n">
        <v>1541.293657407407</v>
      </c>
      <c r="AQ110" s="2" t="n">
        <v>19510.04629629629</v>
      </c>
      <c r="AR110" s="2" t="n">
        <v>5752.57</v>
      </c>
      <c r="AS110" s="2" t="n">
        <v>14430.13</v>
      </c>
      <c r="AT110" s="2" t="n">
        <v>888.15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27531.68</v>
      </c>
      <c r="BB110" s="2" t="n">
        <v>20491.67</v>
      </c>
      <c r="BC110" s="2">
        <f>F110+L110+R110+X110+AD110+AJ110+AP110+AV110+IF(BE110="",0,BE110)</f>
        <v/>
      </c>
      <c r="BD110" s="2" t="n">
        <v>315.571718</v>
      </c>
      <c r="BE110" s="2" t="n"/>
      <c r="BF110" s="2" t="n">
        <v>25492.29629629629</v>
      </c>
      <c r="BG110" s="2" t="n">
        <v>372.81</v>
      </c>
      <c r="BH110" s="2" t="n">
        <v>345</v>
      </c>
      <c r="BI110" s="2" t="n">
        <v>43215.42</v>
      </c>
      <c r="BJ110" s="2" t="n">
        <v>63.5491452991453</v>
      </c>
      <c r="BK110" s="2" t="n">
        <v>0</v>
      </c>
      <c r="BL110" s="2" t="n">
        <v>20</v>
      </c>
      <c r="BM110" s="2" t="n">
        <v>478.9743589743589</v>
      </c>
      <c r="BN110" s="2" t="n">
        <v>5</v>
      </c>
      <c r="BO110" s="2" t="n">
        <v>0</v>
      </c>
      <c r="BP110" s="2" t="n">
        <v>276.637545</v>
      </c>
      <c r="BQ110" s="2" t="n">
        <v>0</v>
      </c>
      <c r="BR110" s="2" t="n">
        <v>44777.3910492735</v>
      </c>
      <c r="BS110" s="2" t="n">
        <v>856.8234444444444</v>
      </c>
      <c r="BT110" s="2" t="n">
        <v>410.2564102564103</v>
      </c>
      <c r="BU110" s="2" t="n">
        <v>9153.566671794872</v>
      </c>
      <c r="BV110" s="2" t="n">
        <v>10420.64652649573</v>
      </c>
      <c r="BW110" s="2" t="n">
        <v>55198.03757576922</v>
      </c>
      <c r="BX110" s="2" t="n">
        <v>19301.02</v>
      </c>
      <c r="BY110" s="2" t="n">
        <v>1190.65</v>
      </c>
      <c r="BZ110" s="2" t="n">
        <v>7040.01</v>
      </c>
      <c r="CA110" s="2" t="n">
        <v>20491.67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1292</v>
      </c>
      <c r="B111" t="inlineStr">
        <is>
          <t>Dworcowa 8A, 84-310 Lębork</t>
        </is>
      </c>
      <c r="C111" t="inlineStr">
        <is>
          <t>Lębork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4372.92</v>
      </c>
      <c r="L111" s="2" t="n">
        <v>364.0051</v>
      </c>
      <c r="M111" s="2" t="n">
        <v>4049</v>
      </c>
      <c r="N111" s="2" t="n">
        <v>1751.57</v>
      </c>
      <c r="O111" s="2" t="n">
        <v>2465.76</v>
      </c>
      <c r="P111" s="2" t="n">
        <v>155.59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9296.959999999999</v>
      </c>
      <c r="AP111" s="2" t="n">
        <v>4127</v>
      </c>
      <c r="AQ111" s="2" t="n">
        <v>8608.296296296296</v>
      </c>
      <c r="AR111" s="2" t="n">
        <v>3611.28</v>
      </c>
      <c r="AS111" s="2" t="n">
        <v>5086.89</v>
      </c>
      <c r="AT111" s="2" t="n">
        <v>598.79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13669.88</v>
      </c>
      <c r="BB111" s="2" t="n">
        <v>8307.030000000001</v>
      </c>
      <c r="BC111" s="2">
        <f>F111+L111+R111+X111+AD111+AJ111+AP111+AV111+IF(BE111="",0,BE111)</f>
        <v/>
      </c>
      <c r="BD111" s="2" t="n">
        <v>127.928262</v>
      </c>
      <c r="BE111" s="2" t="n"/>
      <c r="BF111" s="2" t="n">
        <v>12657.2962962963</v>
      </c>
      <c r="BG111" s="2" t="n">
        <v>0</v>
      </c>
      <c r="BH111" s="2" t="n">
        <v>0</v>
      </c>
      <c r="BI111" s="2" t="n">
        <v>43215.42</v>
      </c>
      <c r="BJ111" s="2" t="n">
        <v>63.5491452991453</v>
      </c>
      <c r="BK111" s="2" t="n">
        <v>0</v>
      </c>
      <c r="BL111" s="2" t="n">
        <v>20</v>
      </c>
      <c r="BM111" s="2" t="n">
        <v>478.9743589743589</v>
      </c>
      <c r="BN111" s="2" t="n">
        <v>5</v>
      </c>
      <c r="BO111" s="2" t="n">
        <v>0</v>
      </c>
      <c r="BP111" s="2" t="n">
        <v>112.144905</v>
      </c>
      <c r="BQ111" s="2" t="n">
        <v>0</v>
      </c>
      <c r="BR111" s="2" t="n">
        <v>43895.08840927351</v>
      </c>
      <c r="BS111" s="2" t="n">
        <v>856.8234444444444</v>
      </c>
      <c r="BT111" s="2" t="n">
        <v>410.2564102564103</v>
      </c>
      <c r="BU111" s="2" t="n">
        <v>9010.004671794872</v>
      </c>
      <c r="BV111" s="2" t="n">
        <v>10277.08452649573</v>
      </c>
      <c r="BW111" s="2" t="n">
        <v>54172.17293576923</v>
      </c>
      <c r="BX111" s="2" t="n">
        <v>7552.650000000001</v>
      </c>
      <c r="BY111" s="2" t="n">
        <v>754.38</v>
      </c>
      <c r="BZ111" s="2" t="n">
        <v>5362.85</v>
      </c>
      <c r="CA111" s="2" t="n">
        <v>8307.030000000001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1293</v>
      </c>
      <c r="B112" t="inlineStr">
        <is>
          <t>Dworcowa 10, 84-100 Puck</t>
        </is>
      </c>
      <c r="C112" t="inlineStr">
        <is>
          <t>Puck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95.3</v>
      </c>
      <c r="L112" s="2" t="n">
        <v>7.932842592592593</v>
      </c>
      <c r="M112" s="2" t="n">
        <v>88.24074074074073</v>
      </c>
      <c r="N112" s="2" t="n">
        <v>0</v>
      </c>
      <c r="O112" s="2" t="n">
        <v>95.3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8387.690000000001</v>
      </c>
      <c r="AP112" s="2" t="n">
        <v>4227</v>
      </c>
      <c r="AQ112" s="2" t="n">
        <v>7766.37962962963</v>
      </c>
      <c r="AR112" s="2" t="n">
        <v>1744.38</v>
      </c>
      <c r="AS112" s="2" t="n">
        <v>6418.13</v>
      </c>
      <c r="AT112" s="2" t="n">
        <v>225.18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8482.99</v>
      </c>
      <c r="BB112" s="2" t="n">
        <v>6738.610000000001</v>
      </c>
      <c r="BC112" s="2">
        <f>F112+L112+R112+X112+AD112+AJ112+AP112+AV112+IF(BE112="",0,BE112)</f>
        <v/>
      </c>
      <c r="BD112" s="2" t="n">
        <v>103.774594</v>
      </c>
      <c r="BE112" s="2" t="n"/>
      <c r="BF112" s="2" t="n">
        <v>7854.62037037037</v>
      </c>
      <c r="BG112" s="2" t="n">
        <v>0</v>
      </c>
      <c r="BH112" s="2" t="n">
        <v>0</v>
      </c>
      <c r="BI112" s="2" t="n">
        <v>43215.42</v>
      </c>
      <c r="BJ112" s="2" t="n">
        <v>63.5491452991453</v>
      </c>
      <c r="BK112" s="2" t="n">
        <v>0</v>
      </c>
      <c r="BL112" s="2" t="n">
        <v>20</v>
      </c>
      <c r="BM112" s="2" t="n">
        <v>478.9743589743589</v>
      </c>
      <c r="BN112" s="2" t="n">
        <v>5</v>
      </c>
      <c r="BO112" s="2" t="n">
        <v>0</v>
      </c>
      <c r="BP112" s="2" t="n">
        <v>90.97123500000001</v>
      </c>
      <c r="BQ112" s="2" t="n">
        <v>0</v>
      </c>
      <c r="BR112" s="2" t="n">
        <v>43873.9147392735</v>
      </c>
      <c r="BS112" s="2" t="n">
        <v>856.8234444444444</v>
      </c>
      <c r="BT112" s="2" t="n">
        <v>410.2564102564103</v>
      </c>
      <c r="BU112" s="2" t="n">
        <v>9010.004671794872</v>
      </c>
      <c r="BV112" s="2" t="n">
        <v>10277.08452649573</v>
      </c>
      <c r="BW112" s="2" t="n">
        <v>54150.99926576923</v>
      </c>
      <c r="BX112" s="2" t="n">
        <v>6513.43</v>
      </c>
      <c r="BY112" s="2" t="n">
        <v>225.18</v>
      </c>
      <c r="BZ112" s="2" t="n">
        <v>1744.38</v>
      </c>
      <c r="CA112" s="2" t="n">
        <v>6738.610000000001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1294</v>
      </c>
      <c r="B113" t="inlineStr">
        <is>
          <t>Plac Dworcowy 3, 49-300 Brzeg</t>
        </is>
      </c>
      <c r="C113" t="inlineStr">
        <is>
          <t>Brzeg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14469.48</v>
      </c>
      <c r="L113" s="2" t="n">
        <v>1204.450233333333</v>
      </c>
      <c r="M113" s="2" t="n">
        <v>13397.66666666667</v>
      </c>
      <c r="N113" s="2" t="n">
        <v>2253.51</v>
      </c>
      <c r="O113" s="2" t="n">
        <v>11440.49</v>
      </c>
      <c r="P113" s="2" t="n">
        <v>775.48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23268.1</v>
      </c>
      <c r="AP113" s="2" t="n">
        <v>1702.018425925926</v>
      </c>
      <c r="AQ113" s="2" t="n">
        <v>21544.53703703703</v>
      </c>
      <c r="AR113" s="2" t="n">
        <v>4356.17</v>
      </c>
      <c r="AS113" s="2" t="n">
        <v>18095.5</v>
      </c>
      <c r="AT113" s="2" t="n">
        <v>816.4299999999999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37737.58</v>
      </c>
      <c r="BB113" s="2" t="n">
        <v>31127.9</v>
      </c>
      <c r="BC113" s="2">
        <f>F113+L113+R113+X113+AD113+AJ113+AP113+AV113+IF(BE113="",0,BE113)</f>
        <v/>
      </c>
      <c r="BD113" s="2" t="n">
        <v>479.36966</v>
      </c>
      <c r="BE113" s="2" t="n"/>
      <c r="BF113" s="2" t="n">
        <v>34942.2037037037</v>
      </c>
      <c r="BG113" s="2" t="n">
        <v>0</v>
      </c>
      <c r="BH113" s="2" t="n">
        <v>219.2</v>
      </c>
      <c r="BI113" s="2" t="n">
        <v>43215.42</v>
      </c>
      <c r="BJ113" s="2" t="n">
        <v>63.5491452991453</v>
      </c>
      <c r="BK113" s="2" t="n">
        <v>0</v>
      </c>
      <c r="BL113" s="2" t="n">
        <v>20</v>
      </c>
      <c r="BM113" s="2" t="n">
        <v>478.9743589743589</v>
      </c>
      <c r="BN113" s="2" t="n">
        <v>5</v>
      </c>
      <c r="BO113" s="2" t="n">
        <v>0</v>
      </c>
      <c r="BP113" s="2" t="n">
        <v>420.22665</v>
      </c>
      <c r="BQ113" s="2" t="n">
        <v>0</v>
      </c>
      <c r="BR113" s="2" t="n">
        <v>44422.3701542735</v>
      </c>
      <c r="BS113" s="2" t="n">
        <v>856.8234444444444</v>
      </c>
      <c r="BT113" s="2" t="n">
        <v>410.2564102564103</v>
      </c>
      <c r="BU113" s="2" t="n">
        <v>9053.844671794872</v>
      </c>
      <c r="BV113" s="2" t="n">
        <v>10320.92452649573</v>
      </c>
      <c r="BW113" s="2" t="n">
        <v>54743.29468076923</v>
      </c>
      <c r="BX113" s="2" t="n">
        <v>29535.99</v>
      </c>
      <c r="BY113" s="2" t="n">
        <v>1591.91</v>
      </c>
      <c r="BZ113" s="2" t="n">
        <v>6609.68</v>
      </c>
      <c r="CA113" s="2" t="n">
        <v>31127.9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1295</v>
      </c>
      <c r="B114" t="inlineStr">
        <is>
          <t>Zygmunta Starego 1, 64-920 Piła</t>
        </is>
      </c>
      <c r="C114" t="inlineStr">
        <is>
          <t>Piła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6820.93</v>
      </c>
      <c r="L114" s="2" t="n">
        <v>567.7792657407408</v>
      </c>
      <c r="M114" s="2" t="n">
        <v>6315.675925925926</v>
      </c>
      <c r="N114" s="2" t="n">
        <v>1584.68</v>
      </c>
      <c r="O114" s="2" t="n">
        <v>4927.41</v>
      </c>
      <c r="P114" s="2" t="n">
        <v>308.84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4851.889999999999</v>
      </c>
      <c r="AD114" s="2" t="n">
        <v>309.9818611111111</v>
      </c>
      <c r="AE114" s="2" t="n">
        <v>4492.49074074074</v>
      </c>
      <c r="AF114" s="2" t="n">
        <v>1264.59</v>
      </c>
      <c r="AG114" s="2" t="n">
        <v>3201.39</v>
      </c>
      <c r="AH114" s="2" t="n">
        <v>385.91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15244.49</v>
      </c>
      <c r="AP114" s="2" t="n">
        <v>1115.106212962963</v>
      </c>
      <c r="AQ114" s="2" t="n">
        <v>14115.26851851852</v>
      </c>
      <c r="AR114" s="2" t="n">
        <v>4357.1</v>
      </c>
      <c r="AS114" s="2" t="n">
        <v>9958.74</v>
      </c>
      <c r="AT114" s="2" t="n">
        <v>928.65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26917.31</v>
      </c>
      <c r="BB114" s="2" t="n">
        <v>19710.94</v>
      </c>
      <c r="BC114" s="2">
        <f>F114+L114+R114+X114+AD114+AJ114+AP114+AV114+IF(BE114="",0,BE114)</f>
        <v/>
      </c>
      <c r="BD114" s="2" t="n">
        <v>303.548476</v>
      </c>
      <c r="BE114" s="2" t="n"/>
      <c r="BF114" s="2" t="n">
        <v>24923.43518518518</v>
      </c>
      <c r="BG114" s="2" t="n">
        <v>0</v>
      </c>
      <c r="BH114" s="2" t="n">
        <v>0</v>
      </c>
      <c r="BI114" s="2" t="n">
        <v>43215.42</v>
      </c>
      <c r="BJ114" s="2" t="n">
        <v>63.5491452991453</v>
      </c>
      <c r="BK114" s="2" t="n">
        <v>0</v>
      </c>
      <c r="BL114" s="2" t="n">
        <v>20</v>
      </c>
      <c r="BM114" s="2" t="n">
        <v>478.9743589743589</v>
      </c>
      <c r="BN114" s="2" t="n">
        <v>5</v>
      </c>
      <c r="BO114" s="2" t="n">
        <v>0</v>
      </c>
      <c r="BP114" s="2" t="n">
        <v>266.0976899999999</v>
      </c>
      <c r="BQ114" s="2" t="n">
        <v>0</v>
      </c>
      <c r="BR114" s="2" t="n">
        <v>44049.04119427351</v>
      </c>
      <c r="BS114" s="2" t="n">
        <v>856.8234444444444</v>
      </c>
      <c r="BT114" s="2" t="n">
        <v>410.2564102564103</v>
      </c>
      <c r="BU114" s="2" t="n">
        <v>9010.004671794872</v>
      </c>
      <c r="BV114" s="2" t="n">
        <v>10277.08452649573</v>
      </c>
      <c r="BW114" s="2" t="n">
        <v>54326.12572076923</v>
      </c>
      <c r="BX114" s="2" t="n">
        <v>18087.54</v>
      </c>
      <c r="BY114" s="2" t="n">
        <v>1623.4</v>
      </c>
      <c r="BZ114" s="2" t="n">
        <v>7206.370000000001</v>
      </c>
      <c r="CA114" s="2" t="n">
        <v>19710.94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1296</v>
      </c>
      <c r="B115" t="inlineStr">
        <is>
          <t>Dworcowa 2, 61-801 Poznań</t>
        </is>
      </c>
      <c r="C115" t="inlineStr">
        <is>
          <t>Poznań Główny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14893.48</v>
      </c>
      <c r="L115" s="2" t="n">
        <v>1239.744307407407</v>
      </c>
      <c r="M115" s="2" t="n">
        <v>13790.25925925926</v>
      </c>
      <c r="N115" s="2" t="n">
        <v>3376.63</v>
      </c>
      <c r="O115" s="2" t="n">
        <v>10462.77</v>
      </c>
      <c r="P115" s="2" t="n">
        <v>1054.08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23487.13</v>
      </c>
      <c r="AD115" s="2" t="n">
        <v>1500.566638888889</v>
      </c>
      <c r="AE115" s="2" t="n">
        <v>21747.34259259259</v>
      </c>
      <c r="AF115" s="2" t="n">
        <v>5267.24</v>
      </c>
      <c r="AG115" s="2" t="n">
        <v>16993.39</v>
      </c>
      <c r="AH115" s="2" t="n">
        <v>1226.5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7127.440000000001</v>
      </c>
      <c r="AP115" s="2" t="n">
        <v>521.3590370370371</v>
      </c>
      <c r="AQ115" s="2" t="n">
        <v>6599.481481481482</v>
      </c>
      <c r="AR115" s="2" t="n">
        <v>1686.72</v>
      </c>
      <c r="AS115" s="2" t="n">
        <v>5163.24</v>
      </c>
      <c r="AT115" s="2" t="n">
        <v>277.48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45508.05</v>
      </c>
      <c r="BB115" s="2" t="n">
        <v>35177.46</v>
      </c>
      <c r="BC115" s="2">
        <f>F115+L115+R115+X115+AD115+AJ115+AP115+AV115+IF(BE115="",0,BE115)</f>
        <v/>
      </c>
      <c r="BD115" s="2" t="n">
        <v>541.732884</v>
      </c>
      <c r="BE115" s="2" t="n"/>
      <c r="BF115" s="2" t="n">
        <v>42137.08333333333</v>
      </c>
      <c r="BG115" s="2" t="n">
        <v>458.58</v>
      </c>
      <c r="BH115" s="2" t="n">
        <v>0</v>
      </c>
      <c r="BI115" s="2" t="n">
        <v>43215.42</v>
      </c>
      <c r="BJ115" s="2" t="n">
        <v>63.5491452991453</v>
      </c>
      <c r="BK115" s="2" t="n">
        <v>0</v>
      </c>
      <c r="BL115" s="2" t="n">
        <v>20</v>
      </c>
      <c r="BM115" s="2" t="n">
        <v>478.9743589743589</v>
      </c>
      <c r="BN115" s="2" t="n">
        <v>5</v>
      </c>
      <c r="BO115" s="2" t="n">
        <v>0</v>
      </c>
      <c r="BP115" s="2" t="n">
        <v>474.89571</v>
      </c>
      <c r="BQ115" s="2" t="n">
        <v>0</v>
      </c>
      <c r="BR115" s="2" t="n">
        <v>44716.4192142735</v>
      </c>
      <c r="BS115" s="2" t="n">
        <v>856.8234444444444</v>
      </c>
      <c r="BT115" s="2" t="n">
        <v>410.2564102564103</v>
      </c>
      <c r="BU115" s="2" t="n">
        <v>9101.72067179487</v>
      </c>
      <c r="BV115" s="2" t="n">
        <v>10368.80052649572</v>
      </c>
      <c r="BW115" s="2" t="n">
        <v>55085.21974076923</v>
      </c>
      <c r="BX115" s="2" t="n">
        <v>32619.4</v>
      </c>
      <c r="BY115" s="2" t="n">
        <v>2558.06</v>
      </c>
      <c r="BZ115" s="2" t="n">
        <v>10330.59</v>
      </c>
      <c r="CA115" s="2" t="n">
        <v>35177.46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1297</v>
      </c>
      <c r="B116" t="inlineStr">
        <is>
          <t>Dworcowa 2, 61-801 Poznań</t>
        </is>
      </c>
      <c r="C116" t="inlineStr">
        <is>
          <t>Poznań Główny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9784.339999999998</v>
      </c>
      <c r="L116" s="2" t="n">
        <v>814.455709259259</v>
      </c>
      <c r="M116" s="2" t="n">
        <v>9059.574074074071</v>
      </c>
      <c r="N116" s="2" t="n">
        <v>2346.22</v>
      </c>
      <c r="O116" s="2" t="n">
        <v>6420.15</v>
      </c>
      <c r="P116" s="2" t="n">
        <v>1017.97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12990.43</v>
      </c>
      <c r="AD116" s="2" t="n">
        <v>829.9441388888888</v>
      </c>
      <c r="AE116" s="2" t="n">
        <v>12028.17592592592</v>
      </c>
      <c r="AF116" s="2" t="n">
        <v>1336.48</v>
      </c>
      <c r="AG116" s="2" t="n">
        <v>10984.57</v>
      </c>
      <c r="AH116" s="2" t="n">
        <v>669.38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4049.07</v>
      </c>
      <c r="AP116" s="2" t="n">
        <v>296.1819722222222</v>
      </c>
      <c r="AQ116" s="2" t="n">
        <v>3749.138888888889</v>
      </c>
      <c r="AR116" s="2" t="n">
        <v>464.34</v>
      </c>
      <c r="AS116" s="2" t="n">
        <v>3361.12</v>
      </c>
      <c r="AT116" s="2" t="n">
        <v>223.61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26823.84</v>
      </c>
      <c r="BB116" s="2" t="n">
        <v>22676.8</v>
      </c>
      <c r="BC116" s="2">
        <f>F116+L116+R116+X116+AD116+AJ116+AP116+AV116+IF(BE116="",0,BE116)</f>
        <v/>
      </c>
      <c r="BD116" s="2" t="n">
        <v>349.22272</v>
      </c>
      <c r="BE116" s="2" t="n"/>
      <c r="BF116" s="2" t="n">
        <v>24836.88888888888</v>
      </c>
      <c r="BG116" s="2" t="n">
        <v>458.58</v>
      </c>
      <c r="BH116" s="2" t="n">
        <v>0</v>
      </c>
      <c r="BI116" s="2" t="n">
        <v>43215.42</v>
      </c>
      <c r="BJ116" s="2" t="n">
        <v>63.5491452991453</v>
      </c>
      <c r="BK116" s="2" t="n">
        <v>0</v>
      </c>
      <c r="BL116" s="2" t="n">
        <v>20</v>
      </c>
      <c r="BM116" s="2" t="n">
        <v>478.9743589743589</v>
      </c>
      <c r="BN116" s="2" t="n">
        <v>5</v>
      </c>
      <c r="BO116" s="2" t="n">
        <v>0</v>
      </c>
      <c r="BP116" s="2" t="n">
        <v>306.1368</v>
      </c>
      <c r="BQ116" s="2" t="n">
        <v>0</v>
      </c>
      <c r="BR116" s="2" t="n">
        <v>44547.66030427351</v>
      </c>
      <c r="BS116" s="2" t="n">
        <v>856.8234444444444</v>
      </c>
      <c r="BT116" s="2" t="n">
        <v>410.2564102564103</v>
      </c>
      <c r="BU116" s="2" t="n">
        <v>9101.72067179487</v>
      </c>
      <c r="BV116" s="2" t="n">
        <v>10368.80052649572</v>
      </c>
      <c r="BW116" s="2" t="n">
        <v>54916.46083076923</v>
      </c>
      <c r="BX116" s="2" t="n">
        <v>20765.84</v>
      </c>
      <c r="BY116" s="2" t="n">
        <v>1910.96</v>
      </c>
      <c r="BZ116" s="2" t="n">
        <v>4147.04</v>
      </c>
      <c r="CA116" s="2" t="n">
        <v>22676.8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1298</v>
      </c>
      <c r="B117" t="inlineStr">
        <is>
          <t>Kolumba 2, 70-035 Szczecin</t>
        </is>
      </c>
      <c r="C117" t="inlineStr">
        <is>
          <t>Szczecin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12526.85</v>
      </c>
      <c r="L117" s="2" t="n">
        <v>1042.744273148148</v>
      </c>
      <c r="M117" s="2" t="n">
        <v>11598.93518518518</v>
      </c>
      <c r="N117" s="2" t="n">
        <v>4373.61</v>
      </c>
      <c r="O117" s="2" t="n">
        <v>7744.02</v>
      </c>
      <c r="P117" s="2" t="n">
        <v>409.22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28545.95</v>
      </c>
      <c r="AP117" s="2" t="n">
        <v>2088.083379629629</v>
      </c>
      <c r="AQ117" s="2" t="n">
        <v>26431.43518518518</v>
      </c>
      <c r="AR117" s="2" t="n">
        <v>11470.53</v>
      </c>
      <c r="AS117" s="2" t="n">
        <v>15365.47</v>
      </c>
      <c r="AT117" s="2" t="n">
        <v>1709.95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41072.8</v>
      </c>
      <c r="BB117" s="2" t="n">
        <v>25228.66</v>
      </c>
      <c r="BC117" s="2">
        <f>F117+L117+R117+X117+AD117+AJ117+AP117+AV117+IF(BE117="",0,BE117)</f>
        <v/>
      </c>
      <c r="BD117" s="2" t="n">
        <v>388.5213639999999</v>
      </c>
      <c r="BE117" s="2" t="n"/>
      <c r="BF117" s="2" t="n">
        <v>38030.37037037036</v>
      </c>
      <c r="BG117" s="2" t="n">
        <v>1387.63</v>
      </c>
      <c r="BH117" s="2" t="n">
        <v>187.2</v>
      </c>
      <c r="BI117" s="2" t="n">
        <v>43215.42</v>
      </c>
      <c r="BJ117" s="2" t="n">
        <v>63.5491452991453</v>
      </c>
      <c r="BK117" s="2" t="n">
        <v>0</v>
      </c>
      <c r="BL117" s="2" t="n">
        <v>20</v>
      </c>
      <c r="BM117" s="2" t="n">
        <v>478.9743589743589</v>
      </c>
      <c r="BN117" s="2" t="n">
        <v>5</v>
      </c>
      <c r="BO117" s="2" t="n">
        <v>0</v>
      </c>
      <c r="BP117" s="2" t="n">
        <v>340.58691</v>
      </c>
      <c r="BQ117" s="2" t="n">
        <v>0</v>
      </c>
      <c r="BR117" s="2" t="n">
        <v>45698.36041427351</v>
      </c>
      <c r="BS117" s="2" t="n">
        <v>856.8234444444444</v>
      </c>
      <c r="BT117" s="2" t="n">
        <v>410.2564102564103</v>
      </c>
      <c r="BU117" s="2" t="n">
        <v>9324.97067179487</v>
      </c>
      <c r="BV117" s="2" t="n">
        <v>10592.05052649572</v>
      </c>
      <c r="BW117" s="2" t="n">
        <v>56290.41094076923</v>
      </c>
      <c r="BX117" s="2" t="n">
        <v>23109.49</v>
      </c>
      <c r="BY117" s="2" t="n">
        <v>2119.17</v>
      </c>
      <c r="BZ117" s="2" t="n">
        <v>15844.14</v>
      </c>
      <c r="CA117" s="2" t="n">
        <v>25228.66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1299</v>
      </c>
      <c r="B118" t="inlineStr">
        <is>
          <t>Pawia 5a, 31-154 Kraków</t>
        </is>
      </c>
      <c r="C118" t="inlineStr">
        <is>
          <t>Kraków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21667.37</v>
      </c>
      <c r="L118" s="2" t="n">
        <v>1803.607928703704</v>
      </c>
      <c r="M118" s="2" t="n">
        <v>20062.37962962963</v>
      </c>
      <c r="N118" s="2" t="n">
        <v>6405.28</v>
      </c>
      <c r="O118" s="2" t="n">
        <v>14882.58</v>
      </c>
      <c r="P118" s="2" t="n">
        <v>379.51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15822.62</v>
      </c>
      <c r="X118" s="2" t="n">
        <v>750</v>
      </c>
      <c r="Y118" s="2" t="n">
        <v>14650.57407407407</v>
      </c>
      <c r="Z118" s="2" t="n">
        <v>1605.93</v>
      </c>
      <c r="AA118" s="2" t="n">
        <v>13903.27</v>
      </c>
      <c r="AB118" s="2" t="n">
        <v>313.42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9324.049999999999</v>
      </c>
      <c r="AP118" s="2" t="n">
        <v>682.0369907407406</v>
      </c>
      <c r="AQ118" s="2" t="n">
        <v>8633.379629629628</v>
      </c>
      <c r="AR118" s="2" t="n">
        <v>1688.56</v>
      </c>
      <c r="AS118" s="2" t="n">
        <v>7248.18</v>
      </c>
      <c r="AT118" s="2" t="n">
        <v>387.31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46814.03999999999</v>
      </c>
      <c r="BB118" s="2" t="n">
        <v>37114.27</v>
      </c>
      <c r="BC118" s="2">
        <f>F118+L118+R118+X118+AD118+AJ118+AP118+AV118+IF(BE118="",0,BE118)</f>
        <v/>
      </c>
      <c r="BD118" s="2" t="n">
        <v>544.548047</v>
      </c>
      <c r="BE118" s="2" t="n"/>
      <c r="BF118" s="2" t="n">
        <v>43346.33333333333</v>
      </c>
      <c r="BG118" s="2" t="n">
        <v>600</v>
      </c>
      <c r="BH118" s="2" t="n">
        <v>100</v>
      </c>
      <c r="BI118" s="2" t="n">
        <v>43215.42</v>
      </c>
      <c r="BJ118" s="2" t="n">
        <v>63.5491452991453</v>
      </c>
      <c r="BK118" s="2" t="n">
        <v>0</v>
      </c>
      <c r="BL118" s="2" t="n">
        <v>20</v>
      </c>
      <c r="BM118" s="2" t="n">
        <v>478.9743589743589</v>
      </c>
      <c r="BN118" s="2" t="n">
        <v>5</v>
      </c>
      <c r="BO118" s="2" t="n">
        <v>0</v>
      </c>
      <c r="BP118" s="2" t="n">
        <v>501.042645</v>
      </c>
      <c r="BQ118" s="2" t="n">
        <v>0</v>
      </c>
      <c r="BR118" s="2" t="n">
        <v>44983.98614927351</v>
      </c>
      <c r="BS118" s="2" t="n">
        <v>856.8234444444444</v>
      </c>
      <c r="BT118" s="2" t="n">
        <v>410.2564102564103</v>
      </c>
      <c r="BU118" s="2" t="n">
        <v>9150.004671794872</v>
      </c>
      <c r="BV118" s="2" t="n">
        <v>10417.08452649573</v>
      </c>
      <c r="BW118" s="2" t="n">
        <v>55401.07067576923</v>
      </c>
      <c r="BX118" s="2" t="n">
        <v>36034.03</v>
      </c>
      <c r="BY118" s="2" t="n">
        <v>1080.24</v>
      </c>
      <c r="BZ118" s="2" t="n">
        <v>9699.77</v>
      </c>
      <c r="CA118" s="2" t="n">
        <v>37114.27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s="3" t="inlineStr">
        <is>
          <t>PODSUMOWANIE</t>
        </is>
      </c>
      <c r="B119" s="3" t="n"/>
      <c r="C119" s="3" t="n"/>
      <c r="D119" s="3" t="n"/>
      <c r="E119" s="4">
        <f>SUM(E2:E118)</f>
        <v/>
      </c>
      <c r="F119" s="4">
        <f>SUM(F2:F118)</f>
        <v/>
      </c>
      <c r="G119" s="4">
        <f>SUM(G2:G118)</f>
        <v/>
      </c>
      <c r="H119" s="4">
        <f>SUM(H2:H118)</f>
        <v/>
      </c>
      <c r="I119" s="4">
        <f>SUM(I2:I118)</f>
        <v/>
      </c>
      <c r="J119" s="4">
        <f>SUM(J2:J118)</f>
        <v/>
      </c>
      <c r="K119" s="4">
        <f>SUM(K2:K118)</f>
        <v/>
      </c>
      <c r="L119" s="4">
        <f>SUM(L2:L118)</f>
        <v/>
      </c>
      <c r="M119" s="4">
        <f>SUM(M2:M118)</f>
        <v/>
      </c>
      <c r="N119" s="4">
        <f>SUM(N2:N118)</f>
        <v/>
      </c>
      <c r="O119" s="4">
        <f>SUM(O2:O118)</f>
        <v/>
      </c>
      <c r="P119" s="4">
        <f>SUM(P2:P118)</f>
        <v/>
      </c>
      <c r="Q119" s="4">
        <f>SUM(Q2:Q118)</f>
        <v/>
      </c>
      <c r="R119" s="4">
        <f>SUM(R2:R118)</f>
        <v/>
      </c>
      <c r="S119" s="4">
        <f>SUM(S2:S118)</f>
        <v/>
      </c>
      <c r="T119" s="4">
        <f>SUM(T2:T118)</f>
        <v/>
      </c>
      <c r="U119" s="4">
        <f>SUM(U2:U118)</f>
        <v/>
      </c>
      <c r="V119" s="4">
        <f>SUM(V2:V118)</f>
        <v/>
      </c>
      <c r="W119" s="4">
        <f>SUM(W2:W118)</f>
        <v/>
      </c>
      <c r="X119" s="4">
        <f>SUM(X2:X118)</f>
        <v/>
      </c>
      <c r="Y119" s="4">
        <f>SUM(Y2:Y118)</f>
        <v/>
      </c>
      <c r="Z119" s="4">
        <f>SUM(Z2:Z118)</f>
        <v/>
      </c>
      <c r="AA119" s="4">
        <f>SUM(AA2:AA118)</f>
        <v/>
      </c>
      <c r="AB119" s="4">
        <f>SUM(AB2:AB118)</f>
        <v/>
      </c>
      <c r="AC119" s="4">
        <f>SUM(AC2:AC118)</f>
        <v/>
      </c>
      <c r="AD119" s="4">
        <f>SUM(AD2:AD118)</f>
        <v/>
      </c>
      <c r="AE119" s="4">
        <f>SUM(AE2:AE118)</f>
        <v/>
      </c>
      <c r="AF119" s="4">
        <f>SUM(AF2:AF118)</f>
        <v/>
      </c>
      <c r="AG119" s="4">
        <f>SUM(AG2:AG118)</f>
        <v/>
      </c>
      <c r="AH119" s="4">
        <f>SUM(AH2:AH118)</f>
        <v/>
      </c>
      <c r="AI119" s="4">
        <f>SUM(AI2:AI118)</f>
        <v/>
      </c>
      <c r="AJ119" s="4">
        <f>SUM(AJ2:AJ118)</f>
        <v/>
      </c>
      <c r="AK119" s="4">
        <f>SUM(AK2:AK118)</f>
        <v/>
      </c>
      <c r="AL119" s="4">
        <f>SUM(AL2:AL118)</f>
        <v/>
      </c>
      <c r="AM119" s="4">
        <f>SUM(AM2:AM118)</f>
        <v/>
      </c>
      <c r="AN119" s="4">
        <f>SUM(AN2:AN118)</f>
        <v/>
      </c>
      <c r="AO119" s="4">
        <f>SUM(AO2:AO118)</f>
        <v/>
      </c>
      <c r="AP119" s="4">
        <f>SUM(AP2:AP118)</f>
        <v/>
      </c>
      <c r="AQ119" s="4">
        <f>SUM(AQ2:AQ118)</f>
        <v/>
      </c>
      <c r="AR119" s="4">
        <f>SUM(AR2:AR118)</f>
        <v/>
      </c>
      <c r="AS119" s="4">
        <f>SUM(AS2:AS118)</f>
        <v/>
      </c>
      <c r="AT119" s="4">
        <f>SUM(AT2:AT118)</f>
        <v/>
      </c>
      <c r="AU119" s="4">
        <f>SUM(AU2:AU118)</f>
        <v/>
      </c>
      <c r="AV119" s="4">
        <f>SUM(AV2:AV118)</f>
        <v/>
      </c>
      <c r="AW119" s="4">
        <f>SUM(AW2:AW118)</f>
        <v/>
      </c>
      <c r="AX119" s="4">
        <f>SUM(AX2:AX118)</f>
        <v/>
      </c>
      <c r="AY119" s="4">
        <f>SUM(AY2:AY118)</f>
        <v/>
      </c>
      <c r="AZ119" s="4">
        <f>SUM(AZ2:AZ118)</f>
        <v/>
      </c>
      <c r="BA119" s="4">
        <f>SUM(BA2:BA118)</f>
        <v/>
      </c>
      <c r="BB119" s="4">
        <f>SUM(BB2:BB118)</f>
        <v/>
      </c>
      <c r="BC119" s="4">
        <f>SUM(BC2:BC118)</f>
        <v/>
      </c>
      <c r="BD119" s="4">
        <f>SUM(BD2:BD118)</f>
        <v/>
      </c>
      <c r="BE119" s="4">
        <f>SUM(BE2:BE118)</f>
        <v/>
      </c>
      <c r="BF119" s="4">
        <f>SUM(BF2:BF118)</f>
        <v/>
      </c>
      <c r="BG119" s="4">
        <f>SUM(BG2:BG118)</f>
        <v/>
      </c>
      <c r="BH119" s="4">
        <f>SUM(BH2:BH118)</f>
        <v/>
      </c>
      <c r="BI119" s="4">
        <f>SUM(BI2:BI118)</f>
        <v/>
      </c>
      <c r="BJ119" s="4">
        <f>SUM(BJ2:BJ118)</f>
        <v/>
      </c>
      <c r="BK119" s="4">
        <f>SUM(BK2:BK118)</f>
        <v/>
      </c>
      <c r="BL119" s="4">
        <f>SUM(BL2:BL118)</f>
        <v/>
      </c>
      <c r="BM119" s="4">
        <f>SUM(BM2:BM118)</f>
        <v/>
      </c>
      <c r="BN119" s="4">
        <f>SUM(BN2:BN118)</f>
        <v/>
      </c>
      <c r="BO119" s="4">
        <f>SUM(BO2:BO118)</f>
        <v/>
      </c>
      <c r="BP119" s="4">
        <f>SUM(BP2:BP118)</f>
        <v/>
      </c>
      <c r="BQ119" s="4">
        <f>SUM(BQ2:BQ118)</f>
        <v/>
      </c>
      <c r="BR119" s="4">
        <f>SUM(BR2:BR118)</f>
        <v/>
      </c>
      <c r="BS119" s="4">
        <f>SUM(BS2:BS118)</f>
        <v/>
      </c>
      <c r="BT119" s="4">
        <f>SUM(BT2:BT118)</f>
        <v/>
      </c>
      <c r="BU119" s="4">
        <f>SUM(BU2:BU118)</f>
        <v/>
      </c>
      <c r="BV119" s="4">
        <f>SUM(BV2:BV118)</f>
        <v/>
      </c>
      <c r="BW119" s="4">
        <f>SUM(BW2:BW118)</f>
        <v/>
      </c>
      <c r="BX119" s="4">
        <f>SUM(BX2:BX118)</f>
        <v/>
      </c>
      <c r="BY119" s="4">
        <f>SUM(BY2:BY118)</f>
        <v/>
      </c>
      <c r="BZ119" s="4">
        <f>SUM(BZ2:BZ118)</f>
        <v/>
      </c>
      <c r="CA119" s="4">
        <f>SUM(CA2:CA118)</f>
        <v/>
      </c>
      <c r="CB119" s="4">
        <f>SUM(CB2:CB118)</f>
        <v/>
      </c>
      <c r="CC119" s="3" t="n"/>
    </row>
  </sheetData>
  <conditionalFormatting sqref="CB2:CB118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20" customWidth="1" min="5" max="5"/>
    <col width="21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1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19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14032.77</v>
      </c>
      <c r="L2" s="2" t="n">
        <v>1168.098169444444</v>
      </c>
      <c r="M2" s="2" t="n">
        <v>12993.30555555555</v>
      </c>
      <c r="N2" s="2" t="n">
        <v>0</v>
      </c>
      <c r="O2" s="2" t="n">
        <v>13222.13</v>
      </c>
      <c r="P2" s="2" t="n">
        <v>810.64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24871.28</v>
      </c>
      <c r="X2" s="2" t="n">
        <v>750</v>
      </c>
      <c r="Y2" s="2" t="n">
        <v>23028.96296296296</v>
      </c>
      <c r="Z2" s="2" t="n">
        <v>0</v>
      </c>
      <c r="AA2" s="2" t="n">
        <v>24252.31</v>
      </c>
      <c r="AB2" s="2" t="n">
        <v>618.97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12446.98</v>
      </c>
      <c r="AP2" s="2" t="n">
        <v>576.2490740740741</v>
      </c>
      <c r="AQ2" s="2" t="n">
        <v>11524.98148148148</v>
      </c>
      <c r="AR2" s="2" t="n">
        <v>0</v>
      </c>
      <c r="AS2" s="2" t="n">
        <v>12042.79</v>
      </c>
      <c r="AT2" s="2" t="n">
        <v>404.19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51351.03000000001</v>
      </c>
      <c r="BB2" s="2" t="n">
        <v>51351.03000000001</v>
      </c>
      <c r="BC2" s="2">
        <f>F2+L2+R2+X2+AD2+AJ2+AP2+AV2+IF(BE2="",0,BE2)</f>
        <v/>
      </c>
      <c r="BD2" s="2" t="n">
        <v>743.55043</v>
      </c>
      <c r="BE2" s="2" t="n"/>
      <c r="BF2" s="2" t="n">
        <v>47547.25</v>
      </c>
      <c r="BG2" s="2" t="n">
        <v>1175.06</v>
      </c>
      <c r="BH2" s="2" t="n">
        <v>240</v>
      </c>
      <c r="BI2" s="2" t="n">
        <v>32273.79</v>
      </c>
      <c r="BJ2" s="2" t="n">
        <v>77.88605042016808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693.2389049999999</v>
      </c>
      <c r="BQ2" s="2" t="n">
        <v>0</v>
      </c>
      <c r="BR2" s="2" t="n">
        <v>34484.97495542016</v>
      </c>
      <c r="BS2" s="2" t="n">
        <v>944.4497478991597</v>
      </c>
      <c r="BT2" s="2" t="n">
        <v>0</v>
      </c>
      <c r="BU2" s="2" t="n">
        <v>6947.237159663867</v>
      </c>
      <c r="BV2" s="2" t="n">
        <v>7891.686907563027</v>
      </c>
      <c r="BW2" s="2" t="n">
        <v>42376.66186298319</v>
      </c>
      <c r="BX2" s="2" t="n">
        <v>49517.23</v>
      </c>
      <c r="BY2" s="2" t="n">
        <v>1833.8</v>
      </c>
      <c r="BZ2" s="2" t="n">
        <v>0</v>
      </c>
      <c r="CA2" s="2" t="n">
        <v>51351.03000000001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2112.7</v>
      </c>
      <c r="L3" s="2" t="n">
        <v>175.8627129629629</v>
      </c>
      <c r="M3" s="2" t="n">
        <v>1956.203703703703</v>
      </c>
      <c r="N3" s="2" t="n">
        <v>0</v>
      </c>
      <c r="O3" s="2" t="n">
        <v>2101.66</v>
      </c>
      <c r="P3" s="2" t="n">
        <v>11.04</v>
      </c>
      <c r="Q3" s="2" t="n">
        <v>3264.24</v>
      </c>
      <c r="R3" s="2" t="n">
        <v>226.6833333333333</v>
      </c>
      <c r="S3" s="2" t="n">
        <v>3022.444444444444</v>
      </c>
      <c r="T3" s="2" t="n">
        <v>0</v>
      </c>
      <c r="U3" s="2" t="n">
        <v>3071.94</v>
      </c>
      <c r="V3" s="2" t="n">
        <v>192.3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6132.52</v>
      </c>
      <c r="AP3" s="2" t="n">
        <v>283.912962962963</v>
      </c>
      <c r="AQ3" s="2" t="n">
        <v>5678.259259259259</v>
      </c>
      <c r="AR3" s="2" t="n">
        <v>0</v>
      </c>
      <c r="AS3" s="2" t="n">
        <v>5837.43</v>
      </c>
      <c r="AT3" s="2" t="n">
        <v>295.09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11509.46</v>
      </c>
      <c r="BB3" s="2" t="n">
        <v>11509.46</v>
      </c>
      <c r="BC3" s="2">
        <f>F3+L3+R3+X3+AD3+AJ3+AP3+AV3+IF(BE3="",0,BE3)</f>
        <v/>
      </c>
      <c r="BD3" s="2" t="n">
        <v>177.245684</v>
      </c>
      <c r="BE3" s="2" t="n"/>
      <c r="BF3" s="2" t="n">
        <v>10656.90740740741</v>
      </c>
      <c r="BG3" s="2" t="n">
        <v>0</v>
      </c>
      <c r="BH3" s="2" t="n">
        <v>0</v>
      </c>
      <c r="BI3" s="2" t="n">
        <v>32273.79</v>
      </c>
      <c r="BJ3" s="2" t="n">
        <v>77.88605042016808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155.37771</v>
      </c>
      <c r="BQ3" s="2" t="n">
        <v>0</v>
      </c>
      <c r="BR3" s="2" t="n">
        <v>32532.05376042017</v>
      </c>
      <c r="BS3" s="2" t="n">
        <v>944.4497478991597</v>
      </c>
      <c r="BT3" s="2" t="n">
        <v>0</v>
      </c>
      <c r="BU3" s="2" t="n">
        <v>6664.225159663866</v>
      </c>
      <c r="BV3" s="2" t="n">
        <v>7608.674907563026</v>
      </c>
      <c r="BW3" s="2" t="n">
        <v>40140.7286679832</v>
      </c>
      <c r="BX3" s="2" t="n">
        <v>11011.03</v>
      </c>
      <c r="BY3" s="2" t="n">
        <v>498.4299999999999</v>
      </c>
      <c r="BZ3" s="2" t="n">
        <v>0</v>
      </c>
      <c r="CA3" s="2" t="n">
        <v>11509.46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4808.63</v>
      </c>
      <c r="L4" s="2" t="n">
        <v>400.2739231481482</v>
      </c>
      <c r="M4" s="2" t="n">
        <v>4452.435185185185</v>
      </c>
      <c r="N4" s="2" t="n">
        <v>0</v>
      </c>
      <c r="O4" s="2" t="n">
        <v>4424.13</v>
      </c>
      <c r="P4" s="2" t="n">
        <v>384.5</v>
      </c>
      <c r="Q4" s="2" t="n">
        <v>19682.74</v>
      </c>
      <c r="R4" s="2" t="n">
        <v>500</v>
      </c>
      <c r="S4" s="2" t="n">
        <v>18224.75925925926</v>
      </c>
      <c r="T4" s="2" t="n">
        <v>0</v>
      </c>
      <c r="U4" s="2" t="n">
        <v>18820.03</v>
      </c>
      <c r="V4" s="2" t="n">
        <v>862.71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6489.78</v>
      </c>
      <c r="AP4" s="2" t="n">
        <v>300.4527777777777</v>
      </c>
      <c r="AQ4" s="2" t="n">
        <v>6009.055555555555</v>
      </c>
      <c r="AR4" s="2" t="n">
        <v>0</v>
      </c>
      <c r="AS4" s="2" t="n">
        <v>6196.28</v>
      </c>
      <c r="AT4" s="2" t="n">
        <v>293.5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30981.15</v>
      </c>
      <c r="BB4" s="2" t="n">
        <v>30981.15</v>
      </c>
      <c r="BC4" s="2">
        <f>F4+L4+R4+X4+AD4+AJ4+AP4+AV4+IF(BE4="",0,BE4)</f>
        <v/>
      </c>
      <c r="BD4" s="2" t="n">
        <v>477.10971</v>
      </c>
      <c r="BE4" s="2" t="n"/>
      <c r="BF4" s="2" t="n">
        <v>28686.25</v>
      </c>
      <c r="BG4" s="2" t="n">
        <v>0</v>
      </c>
      <c r="BH4" s="2" t="n">
        <v>0</v>
      </c>
      <c r="BI4" s="2" t="n">
        <v>32273.79</v>
      </c>
      <c r="BJ4" s="2" t="n">
        <v>77.88605042016808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418.2455249999999</v>
      </c>
      <c r="BQ4" s="2" t="n">
        <v>0</v>
      </c>
      <c r="BR4" s="2" t="n">
        <v>32794.92157542017</v>
      </c>
      <c r="BS4" s="2" t="n">
        <v>944.4497478991597</v>
      </c>
      <c r="BT4" s="2" t="n">
        <v>0</v>
      </c>
      <c r="BU4" s="2" t="n">
        <v>6664.225159663866</v>
      </c>
      <c r="BV4" s="2" t="n">
        <v>7608.674907563026</v>
      </c>
      <c r="BW4" s="2" t="n">
        <v>40403.5964829832</v>
      </c>
      <c r="BX4" s="2" t="n">
        <v>29440.44</v>
      </c>
      <c r="BY4" s="2" t="n">
        <v>1540.71</v>
      </c>
      <c r="BZ4" s="2" t="n">
        <v>0</v>
      </c>
      <c r="CA4" s="2" t="n">
        <v>30981.15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5.04</v>
      </c>
      <c r="F5" s="2" t="n">
        <v>0.3266666666666667</v>
      </c>
      <c r="G5" s="2" t="n">
        <v>4.666666666666666</v>
      </c>
      <c r="H5" s="2" t="n">
        <v>0</v>
      </c>
      <c r="I5" s="2" t="n">
        <v>5.04</v>
      </c>
      <c r="J5" s="2" t="n">
        <v>0</v>
      </c>
      <c r="K5" s="2" t="n">
        <v>17960.52</v>
      </c>
      <c r="L5" s="2" t="n">
        <v>1495.046988888889</v>
      </c>
      <c r="M5" s="2" t="n">
        <v>16630.11111111111</v>
      </c>
      <c r="N5" s="2" t="n">
        <v>0</v>
      </c>
      <c r="O5" s="2" t="n">
        <v>16001.61</v>
      </c>
      <c r="P5" s="2" t="n">
        <v>1958.91</v>
      </c>
      <c r="Q5" s="2" t="n">
        <v>23</v>
      </c>
      <c r="R5" s="2" t="n">
        <v>1.597222222222222</v>
      </c>
      <c r="S5" s="2" t="n">
        <v>21.29629629629629</v>
      </c>
      <c r="T5" s="2" t="n">
        <v>0</v>
      </c>
      <c r="U5" s="2" t="n">
        <v>23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29267.53</v>
      </c>
      <c r="AD5" s="2" t="n">
        <v>1869.869972222222</v>
      </c>
      <c r="AE5" s="2" t="n">
        <v>27099.56481481481</v>
      </c>
      <c r="AF5" s="2" t="n">
        <v>0</v>
      </c>
      <c r="AG5" s="2" t="n">
        <v>26816.25</v>
      </c>
      <c r="AH5" s="2" t="n">
        <v>2451.28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10700.11</v>
      </c>
      <c r="AP5" s="2" t="n">
        <v>495.3754629629629</v>
      </c>
      <c r="AQ5" s="2" t="n">
        <v>9907.509259259257</v>
      </c>
      <c r="AR5" s="2" t="n">
        <v>0</v>
      </c>
      <c r="AS5" s="2" t="n">
        <v>9974.639999999999</v>
      </c>
      <c r="AT5" s="2" t="n">
        <v>725.47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57956.2</v>
      </c>
      <c r="BB5" s="2" t="n">
        <v>57956.2</v>
      </c>
      <c r="BC5" s="2">
        <f>F5+L5+R5+X5+AD5+AJ5+AP5+AV5+IF(BE5="",0,BE5)</f>
        <v/>
      </c>
      <c r="BD5" s="2" t="n">
        <v>892.52548</v>
      </c>
      <c r="BE5" s="2" t="n"/>
      <c r="BF5" s="2" t="n">
        <v>53663.14814814814</v>
      </c>
      <c r="BG5" s="2" t="n">
        <v>0</v>
      </c>
      <c r="BH5" s="2" t="n">
        <v>0</v>
      </c>
      <c r="BI5" s="2" t="n">
        <v>32273.79</v>
      </c>
      <c r="BJ5" s="2" t="n">
        <v>77.88605042016808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782.4087</v>
      </c>
      <c r="BQ5" s="2" t="n">
        <v>0</v>
      </c>
      <c r="BR5" s="2" t="n">
        <v>33159.08475042017</v>
      </c>
      <c r="BS5" s="2" t="n">
        <v>944.4497478991597</v>
      </c>
      <c r="BT5" s="2" t="n">
        <v>0</v>
      </c>
      <c r="BU5" s="2" t="n">
        <v>6664.225159663866</v>
      </c>
      <c r="BV5" s="2" t="n">
        <v>7608.674907563026</v>
      </c>
      <c r="BW5" s="2" t="n">
        <v>40767.7596579832</v>
      </c>
      <c r="BX5" s="2" t="n">
        <v>52820.54</v>
      </c>
      <c r="BY5" s="2" t="n">
        <v>5135.660000000001</v>
      </c>
      <c r="BZ5" s="2" t="n">
        <v>0</v>
      </c>
      <c r="CA5" s="2" t="n">
        <v>57956.2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2405.66</v>
      </c>
      <c r="L6" s="2" t="n">
        <v>200.2489203703704</v>
      </c>
      <c r="M6" s="2" t="n">
        <v>2227.462962962963</v>
      </c>
      <c r="N6" s="2" t="n">
        <v>0</v>
      </c>
      <c r="O6" s="2" t="n">
        <v>2116.76</v>
      </c>
      <c r="P6" s="2" t="n">
        <v>288.9</v>
      </c>
      <c r="Q6" s="2" t="n">
        <v>13.65</v>
      </c>
      <c r="R6" s="2" t="n">
        <v>0.9479166666666665</v>
      </c>
      <c r="S6" s="2" t="n">
        <v>12.63888888888889</v>
      </c>
      <c r="T6" s="2" t="n">
        <v>0</v>
      </c>
      <c r="U6" s="2" t="n">
        <v>13.65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10621.79</v>
      </c>
      <c r="AP6" s="2" t="n">
        <v>491.749537037037</v>
      </c>
      <c r="AQ6" s="2" t="n">
        <v>9834.990740740739</v>
      </c>
      <c r="AR6" s="2" t="n">
        <v>0</v>
      </c>
      <c r="AS6" s="2" t="n">
        <v>9858.959999999999</v>
      </c>
      <c r="AT6" s="2" t="n">
        <v>762.83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13041.1</v>
      </c>
      <c r="BB6" s="2" t="n">
        <v>13041.1</v>
      </c>
      <c r="BC6" s="2">
        <f>F6+L6+R6+X6+AD6+AJ6+AP6+AV6+IF(BE6="",0,BE6)</f>
        <v/>
      </c>
      <c r="BD6" s="2" t="n">
        <v>200.83294</v>
      </c>
      <c r="BE6" s="2" t="n"/>
      <c r="BF6" s="2" t="n">
        <v>12075.09259259259</v>
      </c>
      <c r="BG6" s="2" t="n">
        <v>0</v>
      </c>
      <c r="BH6" s="2" t="n">
        <v>0</v>
      </c>
      <c r="BI6" s="2" t="n">
        <v>32273.79</v>
      </c>
      <c r="BJ6" s="2" t="n">
        <v>77.88605042016808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176.05485</v>
      </c>
      <c r="BQ6" s="2" t="n">
        <v>0</v>
      </c>
      <c r="BR6" s="2" t="n">
        <v>32552.73090042017</v>
      </c>
      <c r="BS6" s="2" t="n">
        <v>944.4497478991597</v>
      </c>
      <c r="BT6" s="2" t="n">
        <v>0</v>
      </c>
      <c r="BU6" s="2" t="n">
        <v>6664.225159663866</v>
      </c>
      <c r="BV6" s="2" t="n">
        <v>7608.674907563026</v>
      </c>
      <c r="BW6" s="2" t="n">
        <v>40161.4058079832</v>
      </c>
      <c r="BX6" s="2" t="n">
        <v>11989.37</v>
      </c>
      <c r="BY6" s="2" t="n">
        <v>1051.73</v>
      </c>
      <c r="BZ6" s="2" t="n">
        <v>0</v>
      </c>
      <c r="CA6" s="2" t="n">
        <v>13041.1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10191.92</v>
      </c>
      <c r="L7" s="2" t="n">
        <v>848.3829703703703</v>
      </c>
      <c r="M7" s="2" t="n">
        <v>9436.962962962962</v>
      </c>
      <c r="N7" s="2" t="n">
        <v>0</v>
      </c>
      <c r="O7" s="2" t="n">
        <v>8927.860000000001</v>
      </c>
      <c r="P7" s="2" t="n">
        <v>1264.06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0.3</v>
      </c>
      <c r="AD7" s="2" t="n">
        <v>0.01916666666666667</v>
      </c>
      <c r="AE7" s="2" t="n">
        <v>0.2777777777777777</v>
      </c>
      <c r="AF7" s="2" t="n">
        <v>0</v>
      </c>
      <c r="AG7" s="2" t="n">
        <v>0.3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31286.71</v>
      </c>
      <c r="AP7" s="2" t="n">
        <v>1448.458796296296</v>
      </c>
      <c r="AQ7" s="2" t="n">
        <v>28969.17592592592</v>
      </c>
      <c r="AR7" s="2" t="n">
        <v>0</v>
      </c>
      <c r="AS7" s="2" t="n">
        <v>28640.89</v>
      </c>
      <c r="AT7" s="2" t="n">
        <v>2645.82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41478.93</v>
      </c>
      <c r="BB7" s="2" t="n">
        <v>41478.93</v>
      </c>
      <c r="BC7" s="2">
        <f>F7+L7+R7+X7+AD7+AJ7+AP7+AV7+IF(BE7="",0,BE7)</f>
        <v/>
      </c>
      <c r="BD7" s="2" t="n">
        <v>638.775522</v>
      </c>
      <c r="BE7" s="2" t="n"/>
      <c r="BF7" s="2" t="n">
        <v>38406.41666666666</v>
      </c>
      <c r="BG7" s="2" t="n">
        <v>0</v>
      </c>
      <c r="BH7" s="2" t="n">
        <v>0</v>
      </c>
      <c r="BI7" s="2" t="n">
        <v>32273.79</v>
      </c>
      <c r="BJ7" s="2" t="n">
        <v>77.88605042016808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559.965555</v>
      </c>
      <c r="BQ7" s="2" t="n">
        <v>0</v>
      </c>
      <c r="BR7" s="2" t="n">
        <v>32936.64160542017</v>
      </c>
      <c r="BS7" s="2" t="n">
        <v>944.4497478991597</v>
      </c>
      <c r="BT7" s="2" t="n">
        <v>0</v>
      </c>
      <c r="BU7" s="2" t="n">
        <v>6664.225159663866</v>
      </c>
      <c r="BV7" s="2" t="n">
        <v>7608.674907563026</v>
      </c>
      <c r="BW7" s="2" t="n">
        <v>40545.3165129832</v>
      </c>
      <c r="BX7" s="2" t="n">
        <v>37569.05</v>
      </c>
      <c r="BY7" s="2" t="n">
        <v>3909.88</v>
      </c>
      <c r="BZ7" s="2" t="n">
        <v>0</v>
      </c>
      <c r="CA7" s="2" t="n">
        <v>41478.93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9686.150000000001</v>
      </c>
      <c r="L8" s="2" t="n">
        <v>806.2823009259262</v>
      </c>
      <c r="M8" s="2" t="n">
        <v>8968.657407407409</v>
      </c>
      <c r="N8" s="2" t="n">
        <v>0</v>
      </c>
      <c r="O8" s="2" t="n">
        <v>8434.610000000001</v>
      </c>
      <c r="P8" s="2" t="n">
        <v>1251.54</v>
      </c>
      <c r="Q8" s="2" t="n">
        <v>148.84</v>
      </c>
      <c r="R8" s="2" t="n">
        <v>10.33611111111111</v>
      </c>
      <c r="S8" s="2" t="n">
        <v>137.8148148148148</v>
      </c>
      <c r="T8" s="2" t="n">
        <v>0</v>
      </c>
      <c r="U8" s="2" t="n">
        <v>148.84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19571.19</v>
      </c>
      <c r="AP8" s="2" t="n">
        <v>906.0736111111109</v>
      </c>
      <c r="AQ8" s="2" t="n">
        <v>18121.47222222222</v>
      </c>
      <c r="AR8" s="2" t="n">
        <v>0</v>
      </c>
      <c r="AS8" s="2" t="n">
        <v>18162.64</v>
      </c>
      <c r="AT8" s="2" t="n">
        <v>1408.55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29406.18</v>
      </c>
      <c r="BB8" s="2" t="n">
        <v>29406.18</v>
      </c>
      <c r="BC8" s="2">
        <f>F8+L8+R8+X8+AD8+AJ8+AP8+AV8+IF(BE8="",0,BE8)</f>
        <v/>
      </c>
      <c r="BD8" s="2" t="n">
        <v>452.855172</v>
      </c>
      <c r="BE8" s="2" t="n"/>
      <c r="BF8" s="2" t="n">
        <v>27227.94444444445</v>
      </c>
      <c r="BG8" s="2" t="n">
        <v>0</v>
      </c>
      <c r="BH8" s="2" t="n">
        <v>0</v>
      </c>
      <c r="BI8" s="2" t="n">
        <v>32273.79</v>
      </c>
      <c r="BJ8" s="2" t="n">
        <v>77.88605042016808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396.98343</v>
      </c>
      <c r="BQ8" s="2" t="n">
        <v>0</v>
      </c>
      <c r="BR8" s="2" t="n">
        <v>32773.65948042017</v>
      </c>
      <c r="BS8" s="2" t="n">
        <v>944.4497478991597</v>
      </c>
      <c r="BT8" s="2" t="n">
        <v>0</v>
      </c>
      <c r="BU8" s="2" t="n">
        <v>6664.225159663866</v>
      </c>
      <c r="BV8" s="2" t="n">
        <v>7608.674907563026</v>
      </c>
      <c r="BW8" s="2" t="n">
        <v>40382.3343879832</v>
      </c>
      <c r="BX8" s="2" t="n">
        <v>26746.09</v>
      </c>
      <c r="BY8" s="2" t="n">
        <v>2660.09</v>
      </c>
      <c r="BZ8" s="2" t="n">
        <v>0</v>
      </c>
      <c r="CA8" s="2" t="n">
        <v>29406.18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7408.44</v>
      </c>
      <c r="L9" s="2" t="n">
        <v>616.6840333333333</v>
      </c>
      <c r="M9" s="2" t="n">
        <v>6859.666666666666</v>
      </c>
      <c r="N9" s="2" t="n">
        <v>0</v>
      </c>
      <c r="O9" s="2" t="n">
        <v>6897.4</v>
      </c>
      <c r="P9" s="2" t="n">
        <v>511.04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17755.64</v>
      </c>
      <c r="AP9" s="2" t="n">
        <v>822.0203703703703</v>
      </c>
      <c r="AQ9" s="2" t="n">
        <v>16440.40740740741</v>
      </c>
      <c r="AR9" s="2" t="n">
        <v>0</v>
      </c>
      <c r="AS9" s="2" t="n">
        <v>16981.22</v>
      </c>
      <c r="AT9" s="2" t="n">
        <v>774.42</v>
      </c>
      <c r="AU9" s="2" t="n">
        <v>266.75</v>
      </c>
      <c r="AV9" s="2" t="n">
        <v>10.62060185185185</v>
      </c>
      <c r="AW9" s="2" t="n">
        <v>246.9907407407407</v>
      </c>
      <c r="AX9" s="2" t="n">
        <v>0</v>
      </c>
      <c r="AY9" s="2" t="n">
        <v>256.7</v>
      </c>
      <c r="AZ9" s="2" t="n">
        <v>10.05</v>
      </c>
      <c r="BA9" s="2" t="n">
        <v>25430.83</v>
      </c>
      <c r="BB9" s="2" t="n">
        <v>25430.83</v>
      </c>
      <c r="BC9" s="2">
        <f>F9+L9+R9+X9+AD9+AJ9+AP9+AV9+IF(BE9="",0,BE9)</f>
        <v/>
      </c>
      <c r="BD9" s="2" t="n">
        <v>391.634782</v>
      </c>
      <c r="BE9" s="2" t="n"/>
      <c r="BF9" s="2" t="n">
        <v>23547.06481481481</v>
      </c>
      <c r="BG9" s="2" t="n">
        <v>0</v>
      </c>
      <c r="BH9" s="2" t="n">
        <v>0</v>
      </c>
      <c r="BI9" s="2" t="n">
        <v>32273.79</v>
      </c>
      <c r="BJ9" s="2" t="n">
        <v>77.88605042016808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343.316205</v>
      </c>
      <c r="BQ9" s="2" t="n">
        <v>0</v>
      </c>
      <c r="BR9" s="2" t="n">
        <v>32719.99225542017</v>
      </c>
      <c r="BS9" s="2" t="n">
        <v>944.4497478991597</v>
      </c>
      <c r="BT9" s="2" t="n">
        <v>0</v>
      </c>
      <c r="BU9" s="2" t="n">
        <v>6664.225159663866</v>
      </c>
      <c r="BV9" s="2" t="n">
        <v>7608.674907563026</v>
      </c>
      <c r="BW9" s="2" t="n">
        <v>40328.6671629832</v>
      </c>
      <c r="BX9" s="2" t="n">
        <v>24135.32</v>
      </c>
      <c r="BY9" s="2" t="n">
        <v>1295.51</v>
      </c>
      <c r="BZ9" s="2" t="n">
        <v>0</v>
      </c>
      <c r="CA9" s="2" t="n">
        <v>25430.83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3621.71</v>
      </c>
      <c r="L10" s="2" t="n">
        <v>301.4738231481482</v>
      </c>
      <c r="M10" s="2" t="n">
        <v>3353.435185185185</v>
      </c>
      <c r="N10" s="2" t="n">
        <v>0</v>
      </c>
      <c r="O10" s="2" t="n">
        <v>3462.91</v>
      </c>
      <c r="P10" s="2" t="n">
        <v>158.8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5275.809999999999</v>
      </c>
      <c r="AP10" s="2" t="n">
        <v>244.2504629629629</v>
      </c>
      <c r="AQ10" s="2" t="n">
        <v>4885.009259259258</v>
      </c>
      <c r="AR10" s="2" t="n">
        <v>0</v>
      </c>
      <c r="AS10" s="2" t="n">
        <v>5126.11</v>
      </c>
      <c r="AT10" s="2" t="n">
        <v>149.7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8897.52</v>
      </c>
      <c r="BB10" s="2" t="n">
        <v>8897.52</v>
      </c>
      <c r="BC10" s="2">
        <f>F10+L10+R10+X10+AD10+AJ10+AP10+AV10+IF(BE10="",0,BE10)</f>
        <v/>
      </c>
      <c r="BD10" s="2" t="n">
        <v>137.021808</v>
      </c>
      <c r="BE10" s="2" t="n"/>
      <c r="BF10" s="2" t="n">
        <v>8238.444444444443</v>
      </c>
      <c r="BG10" s="2" t="n">
        <v>0</v>
      </c>
      <c r="BH10" s="2" t="n">
        <v>0</v>
      </c>
      <c r="BI10" s="2" t="n">
        <v>32273.79</v>
      </c>
      <c r="BJ10" s="2" t="n">
        <v>77.88605042016808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120.11652</v>
      </c>
      <c r="BQ10" s="2" t="n">
        <v>0</v>
      </c>
      <c r="BR10" s="2" t="n">
        <v>32496.79257042017</v>
      </c>
      <c r="BS10" s="2" t="n">
        <v>944.4497478991597</v>
      </c>
      <c r="BT10" s="2" t="n">
        <v>0</v>
      </c>
      <c r="BU10" s="2" t="n">
        <v>6664.225159663866</v>
      </c>
      <c r="BV10" s="2" t="n">
        <v>7608.674907563026</v>
      </c>
      <c r="BW10" s="2" t="n">
        <v>40105.4674779832</v>
      </c>
      <c r="BX10" s="2" t="n">
        <v>8589.02</v>
      </c>
      <c r="BY10" s="2" t="n">
        <v>308.5</v>
      </c>
      <c r="BZ10" s="2" t="n">
        <v>0</v>
      </c>
      <c r="CA10" s="2" t="n">
        <v>8897.52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3603.04</v>
      </c>
      <c r="L11" s="2" t="n">
        <v>299.9197185185185</v>
      </c>
      <c r="M11" s="2" t="n">
        <v>3336.148148148148</v>
      </c>
      <c r="N11" s="2" t="n">
        <v>0</v>
      </c>
      <c r="O11" s="2" t="n">
        <v>3454.49</v>
      </c>
      <c r="P11" s="2" t="n">
        <v>148.55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3.05</v>
      </c>
      <c r="AJ11" s="2" t="n">
        <v>0.2118055555555555</v>
      </c>
      <c r="AK11" s="2" t="n">
        <v>2.824074074074074</v>
      </c>
      <c r="AL11" s="2" t="n">
        <v>0</v>
      </c>
      <c r="AM11" s="2" t="n">
        <v>3.05</v>
      </c>
      <c r="AN11" s="2" t="n">
        <v>0</v>
      </c>
      <c r="AO11" s="2" t="n">
        <v>5718.7</v>
      </c>
      <c r="AP11" s="2" t="n">
        <v>264.7546296296296</v>
      </c>
      <c r="AQ11" s="2" t="n">
        <v>5295.092592592592</v>
      </c>
      <c r="AR11" s="2" t="n">
        <v>0</v>
      </c>
      <c r="AS11" s="2" t="n">
        <v>4983.74</v>
      </c>
      <c r="AT11" s="2" t="n">
        <v>734.96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9324.790000000001</v>
      </c>
      <c r="BB11" s="2" t="n">
        <v>9324.790000000001</v>
      </c>
      <c r="BC11" s="2">
        <f>F11+L11+R11+X11+AD11+AJ11+AP11+AV11+IF(BE11="",0,BE11)</f>
        <v/>
      </c>
      <c r="BD11" s="2" t="n">
        <v>143.601766</v>
      </c>
      <c r="BE11" s="2" t="n"/>
      <c r="BF11" s="2" t="n">
        <v>8634.064814814814</v>
      </c>
      <c r="BG11" s="2" t="n">
        <v>0</v>
      </c>
      <c r="BH11" s="2" t="n">
        <v>0</v>
      </c>
      <c r="BI11" s="2" t="n">
        <v>32273.79</v>
      </c>
      <c r="BJ11" s="2" t="n">
        <v>77.88605042016808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125.884665</v>
      </c>
      <c r="BQ11" s="2" t="n">
        <v>0</v>
      </c>
      <c r="BR11" s="2" t="n">
        <v>32502.56071542017</v>
      </c>
      <c r="BS11" s="2" t="n">
        <v>944.4497478991597</v>
      </c>
      <c r="BT11" s="2" t="n">
        <v>0</v>
      </c>
      <c r="BU11" s="2" t="n">
        <v>6664.225159663866</v>
      </c>
      <c r="BV11" s="2" t="n">
        <v>7608.674907563026</v>
      </c>
      <c r="BW11" s="2" t="n">
        <v>40111.2356229832</v>
      </c>
      <c r="BX11" s="2" t="n">
        <v>8441.279999999999</v>
      </c>
      <c r="BY11" s="2" t="n">
        <v>883.51</v>
      </c>
      <c r="BZ11" s="2" t="n">
        <v>0</v>
      </c>
      <c r="CA11" s="2" t="n">
        <v>9324.789999999999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27</v>
      </c>
      <c r="L12" s="2" t="n">
        <v>2.2475</v>
      </c>
      <c r="M12" s="2" t="n">
        <v>25</v>
      </c>
      <c r="N12" s="2" t="n">
        <v>0</v>
      </c>
      <c r="O12" s="2" t="n">
        <v>27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3755.15</v>
      </c>
      <c r="AP12" s="2" t="n">
        <v>3500</v>
      </c>
      <c r="AQ12" s="2" t="n">
        <v>3476.99074074074</v>
      </c>
      <c r="AR12" s="2" t="n">
        <v>0</v>
      </c>
      <c r="AS12" s="2" t="n">
        <v>3418.76</v>
      </c>
      <c r="AT12" s="2" t="n">
        <v>336.39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3782.15</v>
      </c>
      <c r="BB12" s="2" t="n">
        <v>3782.15</v>
      </c>
      <c r="BC12" s="2">
        <f>F12+L12+R12+X12+AD12+AJ12+AP12+AV12+IF(BE12="",0,BE12)</f>
        <v/>
      </c>
      <c r="BD12" s="2" t="n">
        <v>58.24511</v>
      </c>
      <c r="BE12" s="2" t="n"/>
      <c r="BF12" s="2" t="n">
        <v>3501.99074074074</v>
      </c>
      <c r="BG12" s="2" t="n">
        <v>0</v>
      </c>
      <c r="BH12" s="2" t="n">
        <v>0</v>
      </c>
      <c r="BI12" s="2" t="n">
        <v>32273.79</v>
      </c>
      <c r="BJ12" s="2" t="n">
        <v>77.88605042016808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51.059025</v>
      </c>
      <c r="BQ12" s="2" t="n">
        <v>0</v>
      </c>
      <c r="BR12" s="2" t="n">
        <v>32427.73507542017</v>
      </c>
      <c r="BS12" s="2" t="n">
        <v>944.4497478991597</v>
      </c>
      <c r="BT12" s="2" t="n">
        <v>0</v>
      </c>
      <c r="BU12" s="2" t="n">
        <v>6664.225159663866</v>
      </c>
      <c r="BV12" s="2" t="n">
        <v>7608.674907563026</v>
      </c>
      <c r="BW12" s="2" t="n">
        <v>40036.4099829832</v>
      </c>
      <c r="BX12" s="2" t="n">
        <v>3445.76</v>
      </c>
      <c r="BY12" s="2" t="n">
        <v>336.39</v>
      </c>
      <c r="BZ12" s="2" t="n">
        <v>0</v>
      </c>
      <c r="CA12" s="2" t="n">
        <v>3782.15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2145.94</v>
      </c>
      <c r="F13" s="2" t="n">
        <v>139.0887037037037</v>
      </c>
      <c r="G13" s="2" t="n">
        <v>1986.981481481481</v>
      </c>
      <c r="H13" s="2" t="n">
        <v>0</v>
      </c>
      <c r="I13" s="2" t="n">
        <v>1919.31</v>
      </c>
      <c r="J13" s="2" t="n">
        <v>226.63</v>
      </c>
      <c r="K13" s="2" t="n">
        <v>714.1</v>
      </c>
      <c r="L13" s="2" t="n">
        <v>59.44221296296297</v>
      </c>
      <c r="M13" s="2" t="n">
        <v>661.2037037037037</v>
      </c>
      <c r="N13" s="2" t="n">
        <v>0</v>
      </c>
      <c r="O13" s="2" t="n">
        <v>714.1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29.7</v>
      </c>
      <c r="AD13" s="2" t="n">
        <v>1.8975</v>
      </c>
      <c r="AE13" s="2" t="n">
        <v>27.5</v>
      </c>
      <c r="AF13" s="2" t="n">
        <v>0</v>
      </c>
      <c r="AG13" s="2" t="n">
        <v>29.7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5367.969999999999</v>
      </c>
      <c r="AP13" s="2" t="n">
        <v>3740</v>
      </c>
      <c r="AQ13" s="2" t="n">
        <v>4970.342592592591</v>
      </c>
      <c r="AR13" s="2" t="n">
        <v>0</v>
      </c>
      <c r="AS13" s="2" t="n">
        <v>4844.66</v>
      </c>
      <c r="AT13" s="2" t="n">
        <v>523.3099999999999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8257.709999999999</v>
      </c>
      <c r="BB13" s="2" t="n">
        <v>8257.709999999999</v>
      </c>
      <c r="BC13" s="2">
        <f>F13+L13+R13+X13+AD13+AJ13+AP13+AV13+IF(BE13="",0,BE13)</f>
        <v/>
      </c>
      <c r="BD13" s="2" t="n">
        <v>127.168734</v>
      </c>
      <c r="BE13" s="2" t="n"/>
      <c r="BF13" s="2" t="n">
        <v>7646.027777777776</v>
      </c>
      <c r="BG13" s="2" t="n">
        <v>0</v>
      </c>
      <c r="BH13" s="2" t="n">
        <v>0</v>
      </c>
      <c r="BI13" s="2" t="n">
        <v>32273.79</v>
      </c>
      <c r="BJ13" s="2" t="n">
        <v>77.88605042016808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111.479085</v>
      </c>
      <c r="BQ13" s="2" t="n">
        <v>0</v>
      </c>
      <c r="BR13" s="2" t="n">
        <v>32488.15513542017</v>
      </c>
      <c r="BS13" s="2" t="n">
        <v>944.4497478991597</v>
      </c>
      <c r="BT13" s="2" t="n">
        <v>0</v>
      </c>
      <c r="BU13" s="2" t="n">
        <v>6664.225159663866</v>
      </c>
      <c r="BV13" s="2" t="n">
        <v>7608.674907563026</v>
      </c>
      <c r="BW13" s="2" t="n">
        <v>40096.83004298319</v>
      </c>
      <c r="BX13" s="2" t="n">
        <v>7507.77</v>
      </c>
      <c r="BY13" s="2" t="n">
        <v>749.9399999999999</v>
      </c>
      <c r="BZ13" s="2" t="n">
        <v>0</v>
      </c>
      <c r="CA13" s="2" t="n">
        <v>8257.709999999999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6268.05</v>
      </c>
      <c r="L14" s="2" t="n">
        <v>521.7571250000001</v>
      </c>
      <c r="M14" s="2" t="n">
        <v>5803.75</v>
      </c>
      <c r="N14" s="2" t="n">
        <v>0</v>
      </c>
      <c r="O14" s="2" t="n">
        <v>5731.33</v>
      </c>
      <c r="P14" s="2" t="n">
        <v>536.72</v>
      </c>
      <c r="Q14" s="2" t="n">
        <v>61.5</v>
      </c>
      <c r="R14" s="2" t="n">
        <v>4.270833333333333</v>
      </c>
      <c r="S14" s="2" t="n">
        <v>56.94444444444444</v>
      </c>
      <c r="T14" s="2" t="n">
        <v>0</v>
      </c>
      <c r="U14" s="2" t="n">
        <v>61.5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9437.99</v>
      </c>
      <c r="AP14" s="2" t="n">
        <v>4100</v>
      </c>
      <c r="AQ14" s="2" t="n">
        <v>8738.87962962963</v>
      </c>
      <c r="AR14" s="2" t="n">
        <v>0</v>
      </c>
      <c r="AS14" s="2" t="n">
        <v>9159.52</v>
      </c>
      <c r="AT14" s="2" t="n">
        <v>278.47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15767.54</v>
      </c>
      <c r="BB14" s="2" t="n">
        <v>15767.54</v>
      </c>
      <c r="BC14" s="2">
        <f>F14+L14+R14+X14+AD14+AJ14+AP14+AV14+IF(BE14="",0,BE14)</f>
        <v/>
      </c>
      <c r="BD14" s="2" t="n">
        <v>242.820116</v>
      </c>
      <c r="BE14" s="2" t="n"/>
      <c r="BF14" s="2" t="n">
        <v>14599.57407407407</v>
      </c>
      <c r="BG14" s="2" t="n">
        <v>0</v>
      </c>
      <c r="BH14" s="2" t="n">
        <v>0</v>
      </c>
      <c r="BI14" s="2" t="n">
        <v>32273.79</v>
      </c>
      <c r="BJ14" s="2" t="n">
        <v>77.88605042016808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212.86179</v>
      </c>
      <c r="BQ14" s="2" t="n">
        <v>0</v>
      </c>
      <c r="BR14" s="2" t="n">
        <v>32589.53784042017</v>
      </c>
      <c r="BS14" s="2" t="n">
        <v>944.4497478991597</v>
      </c>
      <c r="BT14" s="2" t="n">
        <v>0</v>
      </c>
      <c r="BU14" s="2" t="n">
        <v>6664.225159663866</v>
      </c>
      <c r="BV14" s="2" t="n">
        <v>7608.674907563026</v>
      </c>
      <c r="BW14" s="2" t="n">
        <v>40198.2127479832</v>
      </c>
      <c r="BX14" s="2" t="n">
        <v>14952.35</v>
      </c>
      <c r="BY14" s="2" t="n">
        <v>815.1900000000001</v>
      </c>
      <c r="BZ14" s="2" t="n">
        <v>0</v>
      </c>
      <c r="CA14" s="2" t="n">
        <v>15767.54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29</v>
      </c>
      <c r="L15" s="2" t="n">
        <v>2.413981481481482</v>
      </c>
      <c r="M15" s="2" t="n">
        <v>26.85185185185185</v>
      </c>
      <c r="N15" s="2" t="n">
        <v>0</v>
      </c>
      <c r="O15" s="2" t="n">
        <v>0</v>
      </c>
      <c r="P15" s="2" t="n">
        <v>29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2335.04</v>
      </c>
      <c r="AP15" s="2" t="n">
        <v>3500</v>
      </c>
      <c r="AQ15" s="2" t="n">
        <v>2162.074074074074</v>
      </c>
      <c r="AR15" s="2" t="n">
        <v>0</v>
      </c>
      <c r="AS15" s="2" t="n">
        <v>2036.74</v>
      </c>
      <c r="AT15" s="2" t="n">
        <v>298.3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2364.04</v>
      </c>
      <c r="BB15" s="2" t="n">
        <v>2364.04</v>
      </c>
      <c r="BC15" s="2">
        <f>F15+L15+R15+X15+AD15+AJ15+AP15+AV15+IF(BE15="",0,BE15)</f>
        <v/>
      </c>
      <c r="BD15" s="2" t="n">
        <v>36.406216</v>
      </c>
      <c r="BE15" s="2" t="n"/>
      <c r="BF15" s="2" t="n">
        <v>2188.925925925926</v>
      </c>
      <c r="BG15" s="2" t="n">
        <v>0</v>
      </c>
      <c r="BH15" s="2" t="n">
        <v>0</v>
      </c>
      <c r="BI15" s="2" t="n">
        <v>32273.79</v>
      </c>
      <c r="BJ15" s="2" t="n">
        <v>77.88605042016808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31.91454</v>
      </c>
      <c r="BQ15" s="2" t="n">
        <v>0</v>
      </c>
      <c r="BR15" s="2" t="n">
        <v>32408.59059042017</v>
      </c>
      <c r="BS15" s="2" t="n">
        <v>944.4497478991597</v>
      </c>
      <c r="BT15" s="2" t="n">
        <v>0</v>
      </c>
      <c r="BU15" s="2" t="n">
        <v>6664.225159663866</v>
      </c>
      <c r="BV15" s="2" t="n">
        <v>7608.674907563026</v>
      </c>
      <c r="BW15" s="2" t="n">
        <v>40017.2654979832</v>
      </c>
      <c r="BX15" s="2" t="n">
        <v>2036.74</v>
      </c>
      <c r="BY15" s="2" t="n">
        <v>327.3</v>
      </c>
      <c r="BZ15" s="2" t="n">
        <v>0</v>
      </c>
      <c r="CA15" s="2" t="n">
        <v>2364.04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9043.530000000001</v>
      </c>
      <c r="L16" s="2" t="n">
        <v>752.7901361111111</v>
      </c>
      <c r="M16" s="2" t="n">
        <v>8373.638888888889</v>
      </c>
      <c r="N16" s="2" t="n">
        <v>0</v>
      </c>
      <c r="O16" s="2" t="n">
        <v>8541.870000000001</v>
      </c>
      <c r="P16" s="2" t="n">
        <v>501.66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43440.6</v>
      </c>
      <c r="X16" s="2" t="n">
        <v>750</v>
      </c>
      <c r="Y16" s="2" t="n">
        <v>40222.77777777777</v>
      </c>
      <c r="Z16" s="2" t="n">
        <v>0</v>
      </c>
      <c r="AA16" s="2" t="n">
        <v>42771.25</v>
      </c>
      <c r="AB16" s="2" t="n">
        <v>669.35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6337.34</v>
      </c>
      <c r="AP16" s="2" t="n">
        <v>4150</v>
      </c>
      <c r="AQ16" s="2" t="n">
        <v>5867.907407407407</v>
      </c>
      <c r="AR16" s="2" t="n">
        <v>0</v>
      </c>
      <c r="AS16" s="2" t="n">
        <v>5946.49</v>
      </c>
      <c r="AT16" s="2" t="n">
        <v>390.85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58821.47</v>
      </c>
      <c r="BB16" s="2" t="n">
        <v>58821.47</v>
      </c>
      <c r="BC16" s="2">
        <f>F16+L16+R16+X16+AD16+AJ16+AP16+AV16+IF(BE16="",0,BE16)</f>
        <v/>
      </c>
      <c r="BD16" s="2" t="n">
        <v>823.313498</v>
      </c>
      <c r="BE16" s="2" t="n"/>
      <c r="BF16" s="2" t="n">
        <v>54464.32407407407</v>
      </c>
      <c r="BG16" s="2" t="n">
        <v>1056.72</v>
      </c>
      <c r="BH16" s="2" t="n">
        <v>276</v>
      </c>
      <c r="BI16" s="2" t="n">
        <v>32273.79</v>
      </c>
      <c r="BJ16" s="2" t="n">
        <v>77.88605042016808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794.089845</v>
      </c>
      <c r="BQ16" s="2" t="n">
        <v>0</v>
      </c>
      <c r="BR16" s="2" t="n">
        <v>34503.48589542017</v>
      </c>
      <c r="BS16" s="2" t="n">
        <v>944.4497478991597</v>
      </c>
      <c r="BT16" s="2" t="n">
        <v>0</v>
      </c>
      <c r="BU16" s="2" t="n">
        <v>6930.769159663866</v>
      </c>
      <c r="BV16" s="2" t="n">
        <v>7875.218907563026</v>
      </c>
      <c r="BW16" s="2" t="n">
        <v>42378.70480298319</v>
      </c>
      <c r="BX16" s="2" t="n">
        <v>57259.61</v>
      </c>
      <c r="BY16" s="2" t="n">
        <v>1561.86</v>
      </c>
      <c r="BZ16" s="2" t="n">
        <v>0</v>
      </c>
      <c r="CA16" s="2" t="n">
        <v>58821.47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1680.48</v>
      </c>
      <c r="AP17" s="2" t="n">
        <v>3500</v>
      </c>
      <c r="AQ17" s="2" t="n">
        <v>1556</v>
      </c>
      <c r="AR17" s="2" t="n">
        <v>0</v>
      </c>
      <c r="AS17" s="2" t="n">
        <v>1419.08</v>
      </c>
      <c r="AT17" s="2" t="n">
        <v>261.4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1680.48</v>
      </c>
      <c r="BB17" s="2" t="n">
        <v>1680.48</v>
      </c>
      <c r="BC17" s="2">
        <f>F17+L17+R17+X17+AD17+AJ17+AP17+AV17+IF(BE17="",0,BE17)</f>
        <v/>
      </c>
      <c r="BD17" s="2" t="n">
        <v>25.879392</v>
      </c>
      <c r="BE17" s="2" t="n"/>
      <c r="BF17" s="2" t="n">
        <v>1556</v>
      </c>
      <c r="BG17" s="2" t="n">
        <v>0</v>
      </c>
      <c r="BH17" s="2" t="n">
        <v>0</v>
      </c>
      <c r="BI17" s="2" t="n">
        <v>32273.79</v>
      </c>
      <c r="BJ17" s="2" t="n">
        <v>77.88605042016808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22.68648</v>
      </c>
      <c r="BQ17" s="2" t="n">
        <v>0</v>
      </c>
      <c r="BR17" s="2" t="n">
        <v>32399.36253042017</v>
      </c>
      <c r="BS17" s="2" t="n">
        <v>944.4497478991597</v>
      </c>
      <c r="BT17" s="2" t="n">
        <v>0</v>
      </c>
      <c r="BU17" s="2" t="n">
        <v>6664.225159663866</v>
      </c>
      <c r="BV17" s="2" t="n">
        <v>7608.674907563026</v>
      </c>
      <c r="BW17" s="2" t="n">
        <v>40008.0374379832</v>
      </c>
      <c r="BX17" s="2" t="n">
        <v>1419.08</v>
      </c>
      <c r="BY17" s="2" t="n">
        <v>261.4</v>
      </c>
      <c r="BZ17" s="2" t="n">
        <v>0</v>
      </c>
      <c r="CA17" s="2" t="n">
        <v>1680.48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4108.809999999999</v>
      </c>
      <c r="L18" s="2" t="n">
        <v>342.020387962963</v>
      </c>
      <c r="M18" s="2" t="n">
        <v>3804.453703703703</v>
      </c>
      <c r="N18" s="2" t="n">
        <v>0</v>
      </c>
      <c r="O18" s="2" t="n">
        <v>3887.81</v>
      </c>
      <c r="P18" s="2" t="n">
        <v>221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1148.84</v>
      </c>
      <c r="AP18" s="2" t="n">
        <v>4150</v>
      </c>
      <c r="AQ18" s="2" t="n">
        <v>1063.740740740741</v>
      </c>
      <c r="AR18" s="2" t="n">
        <v>0</v>
      </c>
      <c r="AS18" s="2" t="n">
        <v>976.65</v>
      </c>
      <c r="AT18" s="2" t="n">
        <v>172.19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5257.65</v>
      </c>
      <c r="BB18" s="2" t="n">
        <v>5257.65</v>
      </c>
      <c r="BC18" s="2">
        <f>F18+L18+R18+X18+AD18+AJ18+AP18+AV18+IF(BE18="",0,BE18)</f>
        <v/>
      </c>
      <c r="BD18" s="2" t="n">
        <v>80.96780999999999</v>
      </c>
      <c r="BE18" s="2" t="n"/>
      <c r="BF18" s="2" t="n">
        <v>4868.194444444443</v>
      </c>
      <c r="BG18" s="2" t="n">
        <v>0</v>
      </c>
      <c r="BH18" s="2" t="n">
        <v>0</v>
      </c>
      <c r="BI18" s="2" t="n">
        <v>32273.79</v>
      </c>
      <c r="BJ18" s="2" t="n">
        <v>77.88605042016808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70.978275</v>
      </c>
      <c r="BQ18" s="2" t="n">
        <v>0</v>
      </c>
      <c r="BR18" s="2" t="n">
        <v>32447.65432542017</v>
      </c>
      <c r="BS18" s="2" t="n">
        <v>944.4497478991597</v>
      </c>
      <c r="BT18" s="2" t="n">
        <v>0</v>
      </c>
      <c r="BU18" s="2" t="n">
        <v>6664.225159663866</v>
      </c>
      <c r="BV18" s="2" t="n">
        <v>7608.674907563026</v>
      </c>
      <c r="BW18" s="2" t="n">
        <v>40056.3292329832</v>
      </c>
      <c r="BX18" s="2" t="n">
        <v>4864.46</v>
      </c>
      <c r="BY18" s="2" t="n">
        <v>393.19</v>
      </c>
      <c r="BZ18" s="2" t="n">
        <v>0</v>
      </c>
      <c r="CA18" s="2" t="n">
        <v>5257.65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6507.17</v>
      </c>
      <c r="L19" s="2" t="n">
        <v>541.661650925926</v>
      </c>
      <c r="M19" s="2" t="n">
        <v>6025.157407407407</v>
      </c>
      <c r="N19" s="2" t="n">
        <v>0</v>
      </c>
      <c r="O19" s="2" t="n">
        <v>5537.84</v>
      </c>
      <c r="P19" s="2" t="n">
        <v>969.33</v>
      </c>
      <c r="Q19" s="2" t="n">
        <v>19440.65</v>
      </c>
      <c r="R19" s="2" t="n">
        <v>1350.045138888889</v>
      </c>
      <c r="S19" s="2" t="n">
        <v>18000.60185185185</v>
      </c>
      <c r="T19" s="2" t="n">
        <v>0</v>
      </c>
      <c r="U19" s="2" t="n">
        <v>18687.73</v>
      </c>
      <c r="V19" s="2" t="n">
        <v>752.92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20.5</v>
      </c>
      <c r="AD19" s="2" t="n">
        <v>1.309722222222222</v>
      </c>
      <c r="AE19" s="2" t="n">
        <v>18.98148148148148</v>
      </c>
      <c r="AF19" s="2" t="n">
        <v>0</v>
      </c>
      <c r="AG19" s="2" t="n">
        <v>20.5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8526.07</v>
      </c>
      <c r="AP19" s="2" t="n">
        <v>4150</v>
      </c>
      <c r="AQ19" s="2" t="n">
        <v>7894.509259259258</v>
      </c>
      <c r="AR19" s="2" t="n">
        <v>0</v>
      </c>
      <c r="AS19" s="2" t="n">
        <v>8171.97</v>
      </c>
      <c r="AT19" s="2" t="n">
        <v>354.1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34494.39</v>
      </c>
      <c r="BB19" s="2" t="n">
        <v>34494.39</v>
      </c>
      <c r="BC19" s="2">
        <f>F19+L19+R19+X19+AD19+AJ19+AP19+AV19+IF(BE19="",0,BE19)</f>
        <v/>
      </c>
      <c r="BD19" s="2" t="n">
        <v>531.213606</v>
      </c>
      <c r="BE19" s="2" t="n"/>
      <c r="BF19" s="2" t="n">
        <v>31939.25</v>
      </c>
      <c r="BG19" s="2" t="n">
        <v>0</v>
      </c>
      <c r="BH19" s="2" t="n">
        <v>0</v>
      </c>
      <c r="BI19" s="2" t="n">
        <v>32273.79</v>
      </c>
      <c r="BJ19" s="2" t="n">
        <v>77.88605042016808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465.6742649999999</v>
      </c>
      <c r="BQ19" s="2" t="n">
        <v>0</v>
      </c>
      <c r="BR19" s="2" t="n">
        <v>32842.35031542017</v>
      </c>
      <c r="BS19" s="2" t="n">
        <v>944.4497478991597</v>
      </c>
      <c r="BT19" s="2" t="n">
        <v>0</v>
      </c>
      <c r="BU19" s="2" t="n">
        <v>6664.225159663866</v>
      </c>
      <c r="BV19" s="2" t="n">
        <v>7608.674907563026</v>
      </c>
      <c r="BW19" s="2" t="n">
        <v>40451.0252229832</v>
      </c>
      <c r="BX19" s="2" t="n">
        <v>32418.04</v>
      </c>
      <c r="BY19" s="2" t="n">
        <v>2076.35</v>
      </c>
      <c r="BZ19" s="2" t="n">
        <v>0</v>
      </c>
      <c r="CA19" s="2" t="n">
        <v>34494.39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1099.5</v>
      </c>
      <c r="L20" s="2" t="n">
        <v>91.52319444444446</v>
      </c>
      <c r="M20" s="2" t="n">
        <v>1018.055555555556</v>
      </c>
      <c r="N20" s="2" t="n">
        <v>0</v>
      </c>
      <c r="O20" s="2" t="n">
        <v>1038.17</v>
      </c>
      <c r="P20" s="2" t="n">
        <v>61.33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3149.38</v>
      </c>
      <c r="AP20" s="2" t="n">
        <v>4150</v>
      </c>
      <c r="AQ20" s="2" t="n">
        <v>2916.092592592593</v>
      </c>
      <c r="AR20" s="2" t="n">
        <v>0</v>
      </c>
      <c r="AS20" s="2" t="n">
        <v>2803.11</v>
      </c>
      <c r="AT20" s="2" t="n">
        <v>346.27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4248.88</v>
      </c>
      <c r="BB20" s="2" t="n">
        <v>4248.88</v>
      </c>
      <c r="BC20" s="2">
        <f>F20+L20+R20+X20+AD20+AJ20+AP20+AV20+IF(BE20="",0,BE20)</f>
        <v/>
      </c>
      <c r="BD20" s="2" t="n">
        <v>65.43275200000001</v>
      </c>
      <c r="BE20" s="2" t="n"/>
      <c r="BF20" s="2" t="n">
        <v>3934.148148148148</v>
      </c>
      <c r="BG20" s="2" t="n">
        <v>0</v>
      </c>
      <c r="BH20" s="2" t="n">
        <v>0</v>
      </c>
      <c r="BI20" s="2" t="n">
        <v>32273.79</v>
      </c>
      <c r="BJ20" s="2" t="n">
        <v>77.88605042016808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57.35988</v>
      </c>
      <c r="BQ20" s="2" t="n">
        <v>0</v>
      </c>
      <c r="BR20" s="2" t="n">
        <v>32434.03593042017</v>
      </c>
      <c r="BS20" s="2" t="n">
        <v>944.4497478991597</v>
      </c>
      <c r="BT20" s="2" t="n">
        <v>0</v>
      </c>
      <c r="BU20" s="2" t="n">
        <v>6664.225159663866</v>
      </c>
      <c r="BV20" s="2" t="n">
        <v>7608.674907563026</v>
      </c>
      <c r="BW20" s="2" t="n">
        <v>40042.7108379832</v>
      </c>
      <c r="BX20" s="2" t="n">
        <v>3841.28</v>
      </c>
      <c r="BY20" s="2" t="n">
        <v>407.6</v>
      </c>
      <c r="BZ20" s="2" t="n">
        <v>0</v>
      </c>
      <c r="CA20" s="2" t="n">
        <v>4248.88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1500.83</v>
      </c>
      <c r="L21" s="2" t="n">
        <v>124.9302009259259</v>
      </c>
      <c r="M21" s="2" t="n">
        <v>1389.657407407407</v>
      </c>
      <c r="N21" s="2" t="n">
        <v>0</v>
      </c>
      <c r="O21" s="2" t="n">
        <v>1444.83</v>
      </c>
      <c r="P21" s="2" t="n">
        <v>56</v>
      </c>
      <c r="Q21" s="2" t="n">
        <v>176.9</v>
      </c>
      <c r="R21" s="2" t="n">
        <v>12.28472222222222</v>
      </c>
      <c r="S21" s="2" t="n">
        <v>163.7962962962963</v>
      </c>
      <c r="T21" s="2" t="n">
        <v>0</v>
      </c>
      <c r="U21" s="2" t="n">
        <v>176.9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16.2</v>
      </c>
      <c r="AD21" s="2" t="n">
        <v>1.035</v>
      </c>
      <c r="AE21" s="2" t="n">
        <v>15</v>
      </c>
      <c r="AF21" s="2" t="n">
        <v>0</v>
      </c>
      <c r="AG21" s="2" t="n">
        <v>16.2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9055.02</v>
      </c>
      <c r="AP21" s="2" t="n">
        <v>4150</v>
      </c>
      <c r="AQ21" s="2" t="n">
        <v>8384.277777777777</v>
      </c>
      <c r="AR21" s="2" t="n">
        <v>0</v>
      </c>
      <c r="AS21" s="2" t="n">
        <v>8022.35</v>
      </c>
      <c r="AT21" s="2" t="n">
        <v>1032.67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10748.95</v>
      </c>
      <c r="BB21" s="2" t="n">
        <v>10748.95</v>
      </c>
      <c r="BC21" s="2">
        <f>F21+L21+R21+X21+AD21+AJ21+AP21+AV21+IF(BE21="",0,BE21)</f>
        <v/>
      </c>
      <c r="BD21" s="2" t="n">
        <v>165.53383</v>
      </c>
      <c r="BE21" s="2" t="n"/>
      <c r="BF21" s="2" t="n">
        <v>9952.731481481482</v>
      </c>
      <c r="BG21" s="2" t="n">
        <v>0</v>
      </c>
      <c r="BH21" s="2" t="n">
        <v>0</v>
      </c>
      <c r="BI21" s="2" t="n">
        <v>32273.79</v>
      </c>
      <c r="BJ21" s="2" t="n">
        <v>77.88605042016808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145.110825</v>
      </c>
      <c r="BQ21" s="2" t="n">
        <v>0</v>
      </c>
      <c r="BR21" s="2" t="n">
        <v>32521.78687542017</v>
      </c>
      <c r="BS21" s="2" t="n">
        <v>944.4497478991597</v>
      </c>
      <c r="BT21" s="2" t="n">
        <v>0</v>
      </c>
      <c r="BU21" s="2" t="n">
        <v>6664.225159663866</v>
      </c>
      <c r="BV21" s="2" t="n">
        <v>7608.674907563026</v>
      </c>
      <c r="BW21" s="2" t="n">
        <v>40130.4617829832</v>
      </c>
      <c r="BX21" s="2" t="n">
        <v>9660.280000000001</v>
      </c>
      <c r="BY21" s="2" t="n">
        <v>1088.67</v>
      </c>
      <c r="BZ21" s="2" t="n">
        <v>0</v>
      </c>
      <c r="CA21" s="2" t="n">
        <v>10748.95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32.42</v>
      </c>
      <c r="L22" s="2" t="n">
        <v>2.698664814814815</v>
      </c>
      <c r="M22" s="2" t="n">
        <v>30.01851851851852</v>
      </c>
      <c r="N22" s="2" t="n">
        <v>0</v>
      </c>
      <c r="O22" s="2" t="n">
        <v>32.42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583.3</v>
      </c>
      <c r="AP22" s="2" t="n">
        <v>3500</v>
      </c>
      <c r="AQ22" s="2" t="n">
        <v>540.0925925925925</v>
      </c>
      <c r="AR22" s="2" t="n">
        <v>0</v>
      </c>
      <c r="AS22" s="2" t="n">
        <v>578.28</v>
      </c>
      <c r="AT22" s="2" t="n">
        <v>5.02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615.7199999999999</v>
      </c>
      <c r="BB22" s="2" t="n">
        <v>615.7199999999999</v>
      </c>
      <c r="BC22" s="2">
        <f>F22+L22+R22+X22+AD22+AJ22+AP22+AV22+IF(BE22="",0,BE22)</f>
        <v/>
      </c>
      <c r="BD22" s="2" t="n">
        <v>9.482088000000001</v>
      </c>
      <c r="BE22" s="2" t="n"/>
      <c r="BF22" s="2" t="n">
        <v>570.111111111111</v>
      </c>
      <c r="BG22" s="2" t="n">
        <v>0</v>
      </c>
      <c r="BH22" s="2" t="n">
        <v>0</v>
      </c>
      <c r="BI22" s="2" t="n">
        <v>32273.79</v>
      </c>
      <c r="BJ22" s="2" t="n">
        <v>77.88605042016808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8.31222</v>
      </c>
      <c r="BQ22" s="2" t="n">
        <v>0</v>
      </c>
      <c r="BR22" s="2" t="n">
        <v>32384.98827042017</v>
      </c>
      <c r="BS22" s="2" t="n">
        <v>944.4497478991597</v>
      </c>
      <c r="BT22" s="2" t="n">
        <v>0</v>
      </c>
      <c r="BU22" s="2" t="n">
        <v>6664.225159663866</v>
      </c>
      <c r="BV22" s="2" t="n">
        <v>7608.674907563026</v>
      </c>
      <c r="BW22" s="2" t="n">
        <v>39993.6631779832</v>
      </c>
      <c r="BX22" s="2" t="n">
        <v>610.6999999999999</v>
      </c>
      <c r="BY22" s="2" t="n">
        <v>5.02</v>
      </c>
      <c r="BZ22" s="2" t="n">
        <v>0</v>
      </c>
      <c r="CA22" s="2" t="n">
        <v>615.7199999999999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21.2</v>
      </c>
      <c r="F23" s="2" t="n">
        <v>1.374074074074074</v>
      </c>
      <c r="G23" s="2" t="n">
        <v>19.62962962962963</v>
      </c>
      <c r="H23" s="2" t="n">
        <v>0</v>
      </c>
      <c r="I23" s="2" t="n">
        <v>21.2</v>
      </c>
      <c r="J23" s="2" t="n">
        <v>0</v>
      </c>
      <c r="K23" s="2" t="n">
        <v>10682.88</v>
      </c>
      <c r="L23" s="2" t="n">
        <v>889.2508444444444</v>
      </c>
      <c r="M23" s="2" t="n">
        <v>9891.555555555555</v>
      </c>
      <c r="N23" s="2" t="n">
        <v>0</v>
      </c>
      <c r="O23" s="2" t="n">
        <v>9613.889999999999</v>
      </c>
      <c r="P23" s="2" t="n">
        <v>1068.99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15757.35</v>
      </c>
      <c r="AP23" s="2" t="n">
        <v>3500</v>
      </c>
      <c r="AQ23" s="2" t="n">
        <v>14590.13888888889</v>
      </c>
      <c r="AR23" s="2" t="n">
        <v>0</v>
      </c>
      <c r="AS23" s="2" t="n">
        <v>14943.18</v>
      </c>
      <c r="AT23" s="2" t="n">
        <v>814.17</v>
      </c>
      <c r="AU23" s="2" t="n">
        <v>7066.5</v>
      </c>
      <c r="AV23" s="2" t="n">
        <v>562.7027777777777</v>
      </c>
      <c r="AW23" s="2" t="n">
        <v>6543.055555555555</v>
      </c>
      <c r="AX23" s="2" t="n">
        <v>0</v>
      </c>
      <c r="AY23" s="2" t="n">
        <v>6823.2</v>
      </c>
      <c r="AZ23" s="2" t="n">
        <v>243.3</v>
      </c>
      <c r="BA23" s="2" t="n">
        <v>33527.93</v>
      </c>
      <c r="BB23" s="2" t="n">
        <v>33527.93</v>
      </c>
      <c r="BC23" s="2">
        <f>F23+L23+R23+X23+AD23+AJ23+AP23+AV23+IF(BE23="",0,BE23)</f>
        <v/>
      </c>
      <c r="BD23" s="2" t="n">
        <v>516.3301220000001</v>
      </c>
      <c r="BE23" s="2" t="n"/>
      <c r="BF23" s="2" t="n">
        <v>31044.37962962963</v>
      </c>
      <c r="BG23" s="2" t="n">
        <v>0</v>
      </c>
      <c r="BH23" s="2" t="n">
        <v>0</v>
      </c>
      <c r="BI23" s="2" t="n">
        <v>32273.79</v>
      </c>
      <c r="BJ23" s="2" t="n">
        <v>77.88605042016808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452.6270549999999</v>
      </c>
      <c r="BQ23" s="2" t="n">
        <v>0</v>
      </c>
      <c r="BR23" s="2" t="n">
        <v>32829.30310542017</v>
      </c>
      <c r="BS23" s="2" t="n">
        <v>944.4497478991597</v>
      </c>
      <c r="BT23" s="2" t="n">
        <v>0</v>
      </c>
      <c r="BU23" s="2" t="n">
        <v>6664.225159663866</v>
      </c>
      <c r="BV23" s="2" t="n">
        <v>7608.674907563026</v>
      </c>
      <c r="BW23" s="2" t="n">
        <v>40437.9780129832</v>
      </c>
      <c r="BX23" s="2" t="n">
        <v>31401.47</v>
      </c>
      <c r="BY23" s="2" t="n">
        <v>2126.46</v>
      </c>
      <c r="BZ23" s="2" t="n">
        <v>0</v>
      </c>
      <c r="CA23" s="2" t="n">
        <v>33527.93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6152.429999999999</v>
      </c>
      <c r="L24" s="2" t="n">
        <v>512.1328305555555</v>
      </c>
      <c r="M24" s="2" t="n">
        <v>5696.694444444443</v>
      </c>
      <c r="N24" s="2" t="n">
        <v>0</v>
      </c>
      <c r="O24" s="2" t="n">
        <v>5750.73</v>
      </c>
      <c r="P24" s="2" t="n">
        <v>401.7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2157.38</v>
      </c>
      <c r="AJ24" s="2" t="n">
        <v>149.8180555555556</v>
      </c>
      <c r="AK24" s="2" t="n">
        <v>1997.574074074074</v>
      </c>
      <c r="AL24" s="2" t="n">
        <v>0</v>
      </c>
      <c r="AM24" s="2" t="n">
        <v>1962.2</v>
      </c>
      <c r="AN24" s="2" t="n">
        <v>195.18</v>
      </c>
      <c r="AO24" s="2" t="n">
        <v>2192.09</v>
      </c>
      <c r="AP24" s="2" t="n">
        <v>4200</v>
      </c>
      <c r="AQ24" s="2" t="n">
        <v>2029.712962962963</v>
      </c>
      <c r="AR24" s="2" t="n">
        <v>0</v>
      </c>
      <c r="AS24" s="2" t="n">
        <v>2054.1</v>
      </c>
      <c r="AT24" s="2" t="n">
        <v>137.99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10501.9</v>
      </c>
      <c r="BB24" s="2" t="n">
        <v>10501.9</v>
      </c>
      <c r="BC24" s="2">
        <f>F24+L24+R24+X24+AD24+AJ24+AP24+AV24+IF(BE24="",0,BE24)</f>
        <v/>
      </c>
      <c r="BD24" s="2" t="n">
        <v>161.72926</v>
      </c>
      <c r="BE24" s="2" t="n"/>
      <c r="BF24" s="2" t="n">
        <v>9723.98148148148</v>
      </c>
      <c r="BG24" s="2" t="n">
        <v>0</v>
      </c>
      <c r="BH24" s="2" t="n">
        <v>0</v>
      </c>
      <c r="BI24" s="2" t="n">
        <v>32273.79</v>
      </c>
      <c r="BJ24" s="2" t="n">
        <v>77.88605042016808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141.77565</v>
      </c>
      <c r="BQ24" s="2" t="n">
        <v>0</v>
      </c>
      <c r="BR24" s="2" t="n">
        <v>32518.45170042017</v>
      </c>
      <c r="BS24" s="2" t="n">
        <v>944.4497478991597</v>
      </c>
      <c r="BT24" s="2" t="n">
        <v>0</v>
      </c>
      <c r="BU24" s="2" t="n">
        <v>6664.225159663866</v>
      </c>
      <c r="BV24" s="2" t="n">
        <v>7608.674907563026</v>
      </c>
      <c r="BW24" s="2" t="n">
        <v>40127.1266079832</v>
      </c>
      <c r="BX24" s="2" t="n">
        <v>9767.029999999999</v>
      </c>
      <c r="BY24" s="2" t="n">
        <v>734.87</v>
      </c>
      <c r="BZ24" s="2" t="n">
        <v>0</v>
      </c>
      <c r="CA24" s="2" t="n">
        <v>10501.9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49289.18</v>
      </c>
      <c r="L25" s="2" t="n">
        <v>4102.867853703704</v>
      </c>
      <c r="M25" s="2" t="n">
        <v>45638.12962962963</v>
      </c>
      <c r="N25" s="2" t="n">
        <v>0</v>
      </c>
      <c r="O25" s="2" t="n">
        <v>46934.83</v>
      </c>
      <c r="P25" s="2" t="n">
        <v>2354.35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741.23</v>
      </c>
      <c r="AJ25" s="2" t="n">
        <v>51.47430555555555</v>
      </c>
      <c r="AK25" s="2" t="n">
        <v>686.324074074074</v>
      </c>
      <c r="AL25" s="2" t="n">
        <v>0</v>
      </c>
      <c r="AM25" s="2" t="n">
        <v>576.03</v>
      </c>
      <c r="AN25" s="2" t="n">
        <v>165.2</v>
      </c>
      <c r="AO25" s="2" t="n">
        <v>2083.83</v>
      </c>
      <c r="AP25" s="2" t="n">
        <v>152.4283055555555</v>
      </c>
      <c r="AQ25" s="2" t="n">
        <v>1929.472222222222</v>
      </c>
      <c r="AR25" s="2" t="n">
        <v>0</v>
      </c>
      <c r="AS25" s="2" t="n">
        <v>1790.15</v>
      </c>
      <c r="AT25" s="2" t="n">
        <v>293.68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52114.24000000001</v>
      </c>
      <c r="BB25" s="2" t="n">
        <v>52114.24000000001</v>
      </c>
      <c r="BC25" s="2">
        <f>F25+L25+R25+X25+AD25+AJ25+AP25+AV25+IF(BE25="",0,BE25)</f>
        <v/>
      </c>
      <c r="BD25" s="2" t="n">
        <v>802.5592960000001</v>
      </c>
      <c r="BE25" s="2" t="n"/>
      <c r="BF25" s="2" t="n">
        <v>48253.92592592592</v>
      </c>
      <c r="BG25" s="2" t="n">
        <v>0</v>
      </c>
      <c r="BH25" s="2" t="n">
        <v>0</v>
      </c>
      <c r="BI25" s="2" t="n">
        <v>32273.79</v>
      </c>
      <c r="BJ25" s="2" t="n">
        <v>77.88605042016808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703.54224</v>
      </c>
      <c r="BQ25" s="2" t="n">
        <v>0</v>
      </c>
      <c r="BR25" s="2" t="n">
        <v>33080.21829042017</v>
      </c>
      <c r="BS25" s="2" t="n">
        <v>944.4497478991597</v>
      </c>
      <c r="BT25" s="2" t="n">
        <v>0</v>
      </c>
      <c r="BU25" s="2" t="n">
        <v>6664.225159663866</v>
      </c>
      <c r="BV25" s="2" t="n">
        <v>7608.674907563026</v>
      </c>
      <c r="BW25" s="2" t="n">
        <v>40688.8931979832</v>
      </c>
      <c r="BX25" s="2" t="n">
        <v>49301.01</v>
      </c>
      <c r="BY25" s="2" t="n">
        <v>2813.23</v>
      </c>
      <c r="BZ25" s="2" t="n">
        <v>0</v>
      </c>
      <c r="CA25" s="2" t="n">
        <v>52114.24000000001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29677.34</v>
      </c>
      <c r="L26" s="2" t="n">
        <v>2470.363764814815</v>
      </c>
      <c r="M26" s="2" t="n">
        <v>27479.01851851852</v>
      </c>
      <c r="N26" s="2" t="n">
        <v>0</v>
      </c>
      <c r="O26" s="2" t="n">
        <v>27480.49</v>
      </c>
      <c r="P26" s="2" t="n">
        <v>2196.85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754.46</v>
      </c>
      <c r="AJ26" s="2" t="n">
        <v>52.39305555555555</v>
      </c>
      <c r="AK26" s="2" t="n">
        <v>698.574074074074</v>
      </c>
      <c r="AL26" s="2" t="n">
        <v>0</v>
      </c>
      <c r="AM26" s="2" t="n">
        <v>538.46</v>
      </c>
      <c r="AN26" s="2" t="n">
        <v>216</v>
      </c>
      <c r="AO26" s="2" t="n">
        <v>2170.44</v>
      </c>
      <c r="AP26" s="2" t="n">
        <v>158.7636666666667</v>
      </c>
      <c r="AQ26" s="2" t="n">
        <v>2009.666666666667</v>
      </c>
      <c r="AR26" s="2" t="n">
        <v>0</v>
      </c>
      <c r="AS26" s="2" t="n">
        <v>1954.78</v>
      </c>
      <c r="AT26" s="2" t="n">
        <v>215.66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32602.24</v>
      </c>
      <c r="BB26" s="2" t="n">
        <v>32602.24</v>
      </c>
      <c r="BC26" s="2">
        <f>F26+L26+R26+X26+AD26+AJ26+AP26+AV26+IF(BE26="",0,BE26)</f>
        <v/>
      </c>
      <c r="BD26" s="2" t="n">
        <v>502.074496</v>
      </c>
      <c r="BE26" s="2" t="n"/>
      <c r="BF26" s="2" t="n">
        <v>30187.25925925926</v>
      </c>
      <c r="BG26" s="2" t="n">
        <v>0</v>
      </c>
      <c r="BH26" s="2" t="n">
        <v>0</v>
      </c>
      <c r="BI26" s="2" t="n">
        <v>32273.79</v>
      </c>
      <c r="BJ26" s="2" t="n">
        <v>77.88605042016808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440.13024</v>
      </c>
      <c r="BQ26" s="2" t="n">
        <v>0</v>
      </c>
      <c r="BR26" s="2" t="n">
        <v>32816.80629042017</v>
      </c>
      <c r="BS26" s="2" t="n">
        <v>944.4497478991597</v>
      </c>
      <c r="BT26" s="2" t="n">
        <v>0</v>
      </c>
      <c r="BU26" s="2" t="n">
        <v>6664.225159663866</v>
      </c>
      <c r="BV26" s="2" t="n">
        <v>7608.674907563026</v>
      </c>
      <c r="BW26" s="2" t="n">
        <v>40425.4811979832</v>
      </c>
      <c r="BX26" s="2" t="n">
        <v>29973.73</v>
      </c>
      <c r="BY26" s="2" t="n">
        <v>2628.51</v>
      </c>
      <c r="BZ26" s="2" t="n">
        <v>0</v>
      </c>
      <c r="CA26" s="2" t="n">
        <v>32602.24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3652.36</v>
      </c>
      <c r="L27" s="2" t="n">
        <v>304.0251518518518</v>
      </c>
      <c r="M27" s="2" t="n">
        <v>3381.814814814814</v>
      </c>
      <c r="N27" s="2" t="n">
        <v>0</v>
      </c>
      <c r="O27" s="2" t="n">
        <v>3090.64</v>
      </c>
      <c r="P27" s="2" t="n">
        <v>561.72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249.66</v>
      </c>
      <c r="AD27" s="2" t="n">
        <v>15.9505</v>
      </c>
      <c r="AE27" s="2" t="n">
        <v>231.1666666666667</v>
      </c>
      <c r="AF27" s="2" t="n">
        <v>0</v>
      </c>
      <c r="AG27" s="2" t="n">
        <v>249.66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2783.43</v>
      </c>
      <c r="AP27" s="2" t="n">
        <v>203.60275</v>
      </c>
      <c r="AQ27" s="2" t="n">
        <v>2577.25</v>
      </c>
      <c r="AR27" s="2" t="n">
        <v>0</v>
      </c>
      <c r="AS27" s="2" t="n">
        <v>2540.94</v>
      </c>
      <c r="AT27" s="2" t="n">
        <v>242.49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6685.45</v>
      </c>
      <c r="BB27" s="2" t="n">
        <v>6685.45</v>
      </c>
      <c r="BC27" s="2">
        <f>F27+L27+R27+X27+AD27+AJ27+AP27+AV27+IF(BE27="",0,BE27)</f>
        <v/>
      </c>
      <c r="BD27" s="2" t="n">
        <v>102.95593</v>
      </c>
      <c r="BE27" s="2" t="n"/>
      <c r="BF27" s="2" t="n">
        <v>6190.231481481481</v>
      </c>
      <c r="BG27" s="2" t="n">
        <v>518</v>
      </c>
      <c r="BH27" s="2" t="n">
        <v>352</v>
      </c>
      <c r="BI27" s="2" t="n">
        <v>32273.79</v>
      </c>
      <c r="BJ27" s="2" t="n">
        <v>77.88605042016808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90.253575</v>
      </c>
      <c r="BQ27" s="2" t="n">
        <v>0</v>
      </c>
      <c r="BR27" s="2" t="n">
        <v>33336.92962542017</v>
      </c>
      <c r="BS27" s="2" t="n">
        <v>944.4497478991597</v>
      </c>
      <c r="BT27" s="2" t="n">
        <v>0</v>
      </c>
      <c r="BU27" s="2" t="n">
        <v>6838.225159663866</v>
      </c>
      <c r="BV27" s="2" t="n">
        <v>7782.674907563026</v>
      </c>
      <c r="BW27" s="2" t="n">
        <v>41119.6045329832</v>
      </c>
      <c r="BX27" s="2" t="n">
        <v>5881.24</v>
      </c>
      <c r="BY27" s="2" t="n">
        <v>804.21</v>
      </c>
      <c r="BZ27" s="2" t="n">
        <v>0</v>
      </c>
      <c r="CA27" s="2" t="n">
        <v>6685.45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1416</v>
      </c>
      <c r="L28" s="2" t="n">
        <v>117.8688888888889</v>
      </c>
      <c r="M28" s="2" t="n">
        <v>1311.111111111111</v>
      </c>
      <c r="N28" s="2" t="n">
        <v>0</v>
      </c>
      <c r="O28" s="2" t="n">
        <v>1356.58</v>
      </c>
      <c r="P28" s="2" t="n">
        <v>59.42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8877.370000000001</v>
      </c>
      <c r="AD28" s="2" t="n">
        <v>567.1653055555556</v>
      </c>
      <c r="AE28" s="2" t="n">
        <v>8219.787037037036</v>
      </c>
      <c r="AF28" s="2" t="n">
        <v>0</v>
      </c>
      <c r="AG28" s="2" t="n">
        <v>8657.75</v>
      </c>
      <c r="AH28" s="2" t="n">
        <v>219.62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24.9</v>
      </c>
      <c r="AP28" s="2" t="n">
        <v>1.821388888888889</v>
      </c>
      <c r="AQ28" s="2" t="n">
        <v>23.05555555555555</v>
      </c>
      <c r="AR28" s="2" t="n">
        <v>0</v>
      </c>
      <c r="AS28" s="2" t="n">
        <v>24.9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10318.27</v>
      </c>
      <c r="BB28" s="2" t="n">
        <v>10318.27</v>
      </c>
      <c r="BC28" s="2">
        <f>F28+L28+R28+X28+AD28+AJ28+AP28+AV28+IF(BE28="",0,BE28)</f>
        <v/>
      </c>
      <c r="BD28" s="2" t="n">
        <v>158.901358</v>
      </c>
      <c r="BE28" s="2" t="n"/>
      <c r="BF28" s="2" t="n">
        <v>9553.953703703703</v>
      </c>
      <c r="BG28" s="2" t="n">
        <v>400</v>
      </c>
      <c r="BH28" s="2" t="n">
        <v>241.5</v>
      </c>
      <c r="BI28" s="2" t="n">
        <v>32273.79</v>
      </c>
      <c r="BJ28" s="2" t="n">
        <v>77.88605042016808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139.296645</v>
      </c>
      <c r="BQ28" s="2" t="n">
        <v>0</v>
      </c>
      <c r="BR28" s="2" t="n">
        <v>33157.47269542017</v>
      </c>
      <c r="BS28" s="2" t="n">
        <v>944.4497478991597</v>
      </c>
      <c r="BT28" s="2" t="n">
        <v>0</v>
      </c>
      <c r="BU28" s="2" t="n">
        <v>6792.525159663866</v>
      </c>
      <c r="BV28" s="2" t="n">
        <v>7736.974907563026</v>
      </c>
      <c r="BW28" s="2" t="n">
        <v>40894.44760298319</v>
      </c>
      <c r="BX28" s="2" t="n">
        <v>10039.23</v>
      </c>
      <c r="BY28" s="2" t="n">
        <v>279.04</v>
      </c>
      <c r="BZ28" s="2" t="n">
        <v>0</v>
      </c>
      <c r="CA28" s="2" t="n">
        <v>10318.27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1569.43</v>
      </c>
      <c r="L29" s="2" t="n">
        <v>130.6405157407407</v>
      </c>
      <c r="M29" s="2" t="n">
        <v>1453.175925925926</v>
      </c>
      <c r="N29" s="2" t="n">
        <v>0</v>
      </c>
      <c r="O29" s="2" t="n">
        <v>1294.44</v>
      </c>
      <c r="P29" s="2" t="n">
        <v>274.99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3222.54</v>
      </c>
      <c r="AD29" s="2" t="n">
        <v>205.8845</v>
      </c>
      <c r="AE29" s="2" t="n">
        <v>2983.833333333333</v>
      </c>
      <c r="AF29" s="2" t="n">
        <v>0</v>
      </c>
      <c r="AG29" s="2" t="n">
        <v>2583.64</v>
      </c>
      <c r="AH29" s="2" t="n">
        <v>638.9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1133.02</v>
      </c>
      <c r="AP29" s="2" t="n">
        <v>82.87831481481481</v>
      </c>
      <c r="AQ29" s="2" t="n">
        <v>1049.092592592593</v>
      </c>
      <c r="AR29" s="2" t="n">
        <v>0</v>
      </c>
      <c r="AS29" s="2" t="n">
        <v>983.34</v>
      </c>
      <c r="AT29" s="2" t="n">
        <v>149.68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5924.99</v>
      </c>
      <c r="BB29" s="2" t="n">
        <v>5924.99</v>
      </c>
      <c r="BC29" s="2">
        <f>F29+L29+R29+X29+AD29+AJ29+AP29+AV29+IF(BE29="",0,BE29)</f>
        <v/>
      </c>
      <c r="BD29" s="2" t="n">
        <v>91.24484600000001</v>
      </c>
      <c r="BE29" s="2" t="n"/>
      <c r="BF29" s="2" t="n">
        <v>5486.101851851852</v>
      </c>
      <c r="BG29" s="2" t="n">
        <v>362.68</v>
      </c>
      <c r="BH29" s="2" t="n">
        <v>246</v>
      </c>
      <c r="BI29" s="2" t="n">
        <v>32273.79</v>
      </c>
      <c r="BJ29" s="2" t="n">
        <v>77.88605042016808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79.98736500000001</v>
      </c>
      <c r="BQ29" s="2" t="n">
        <v>0</v>
      </c>
      <c r="BR29" s="2" t="n">
        <v>33065.34341542017</v>
      </c>
      <c r="BS29" s="2" t="n">
        <v>944.4497478991597</v>
      </c>
      <c r="BT29" s="2" t="n">
        <v>0</v>
      </c>
      <c r="BU29" s="2" t="n">
        <v>6785.961159663866</v>
      </c>
      <c r="BV29" s="2" t="n">
        <v>7730.410907563026</v>
      </c>
      <c r="BW29" s="2" t="n">
        <v>40795.75432298319</v>
      </c>
      <c r="BX29" s="2" t="n">
        <v>4861.42</v>
      </c>
      <c r="BY29" s="2" t="n">
        <v>1063.57</v>
      </c>
      <c r="BZ29" s="2" t="n">
        <v>0</v>
      </c>
      <c r="CA29" s="2" t="n">
        <v>5924.99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3295.49</v>
      </c>
      <c r="L30" s="2" t="n">
        <v>274.3190287037037</v>
      </c>
      <c r="M30" s="2" t="n">
        <v>3051.379629629629</v>
      </c>
      <c r="N30" s="2" t="n">
        <v>0</v>
      </c>
      <c r="O30" s="2" t="n">
        <v>3195.49</v>
      </c>
      <c r="P30" s="2" t="n">
        <v>100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2795.46</v>
      </c>
      <c r="AD30" s="2" t="n">
        <v>178.5988333333333</v>
      </c>
      <c r="AE30" s="2" t="n">
        <v>2588.388888888889</v>
      </c>
      <c r="AF30" s="2" t="n">
        <v>0</v>
      </c>
      <c r="AG30" s="2" t="n">
        <v>2589.95</v>
      </c>
      <c r="AH30" s="2" t="n">
        <v>205.51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1712.32</v>
      </c>
      <c r="AP30" s="2" t="n">
        <v>125.253037037037</v>
      </c>
      <c r="AQ30" s="2" t="n">
        <v>1585.481481481481</v>
      </c>
      <c r="AR30" s="2" t="n">
        <v>0</v>
      </c>
      <c r="AS30" s="2" t="n">
        <v>1617.73</v>
      </c>
      <c r="AT30" s="2" t="n">
        <v>94.59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7803.27</v>
      </c>
      <c r="BB30" s="2" t="n">
        <v>7803.27</v>
      </c>
      <c r="BC30" s="2">
        <f>F30+L30+R30+X30+AD30+AJ30+AP30+AV30+IF(BE30="",0,BE30)</f>
        <v/>
      </c>
      <c r="BD30" s="2" t="n">
        <v>120.170358</v>
      </c>
      <c r="BE30" s="2" t="n"/>
      <c r="BF30" s="2" t="n">
        <v>7225.25</v>
      </c>
      <c r="BG30" s="2" t="n">
        <v>300</v>
      </c>
      <c r="BH30" s="2" t="n">
        <v>340.5</v>
      </c>
      <c r="BI30" s="2" t="n">
        <v>32273.79</v>
      </c>
      <c r="BJ30" s="2" t="n">
        <v>77.88605042016808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105.344145</v>
      </c>
      <c r="BQ30" s="2" t="n">
        <v>0</v>
      </c>
      <c r="BR30" s="2" t="n">
        <v>33122.52019542017</v>
      </c>
      <c r="BS30" s="2" t="n">
        <v>944.4497478991597</v>
      </c>
      <c r="BT30" s="2" t="n">
        <v>0</v>
      </c>
      <c r="BU30" s="2" t="n">
        <v>6792.325159663866</v>
      </c>
      <c r="BV30" s="2" t="n">
        <v>7736.774907563025</v>
      </c>
      <c r="BW30" s="2" t="n">
        <v>40859.2951029832</v>
      </c>
      <c r="BX30" s="2" t="n">
        <v>7403.17</v>
      </c>
      <c r="BY30" s="2" t="n">
        <v>400.1</v>
      </c>
      <c r="BZ30" s="2" t="n">
        <v>0</v>
      </c>
      <c r="CA30" s="2" t="n">
        <v>7803.27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2929.98</v>
      </c>
      <c r="L31" s="2" t="n">
        <v>243.8937055555556</v>
      </c>
      <c r="M31" s="2" t="n">
        <v>2712.944444444444</v>
      </c>
      <c r="N31" s="2" t="n">
        <v>0</v>
      </c>
      <c r="O31" s="2" t="n">
        <v>2782</v>
      </c>
      <c r="P31" s="2" t="n">
        <v>147.98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372.68</v>
      </c>
      <c r="AD31" s="2" t="n">
        <v>23.81011111111111</v>
      </c>
      <c r="AE31" s="2" t="n">
        <v>345.0740740740741</v>
      </c>
      <c r="AF31" s="2" t="n">
        <v>0</v>
      </c>
      <c r="AG31" s="2" t="n">
        <v>357.98</v>
      </c>
      <c r="AH31" s="2" t="n">
        <v>14.7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1679.4</v>
      </c>
      <c r="AP31" s="2" t="n">
        <v>122.845</v>
      </c>
      <c r="AQ31" s="2" t="n">
        <v>1555</v>
      </c>
      <c r="AR31" s="2" t="n">
        <v>0</v>
      </c>
      <c r="AS31" s="2" t="n">
        <v>1520.13</v>
      </c>
      <c r="AT31" s="2" t="n">
        <v>159.27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4982.059999999999</v>
      </c>
      <c r="BB31" s="2" t="n">
        <v>4982.059999999999</v>
      </c>
      <c r="BC31" s="2">
        <f>F31+L31+R31+X31+AD31+AJ31+AP31+AV31+IF(BE31="",0,BE31)</f>
        <v/>
      </c>
      <c r="BD31" s="2" t="n">
        <v>76.723724</v>
      </c>
      <c r="BE31" s="2" t="n"/>
      <c r="BF31" s="2" t="n">
        <v>4613.018518518518</v>
      </c>
      <c r="BG31" s="2" t="n">
        <v>250</v>
      </c>
      <c r="BH31" s="2" t="n">
        <v>178</v>
      </c>
      <c r="BI31" s="2" t="n">
        <v>32273.79</v>
      </c>
      <c r="BJ31" s="2" t="n">
        <v>77.88605042016808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67.25781000000001</v>
      </c>
      <c r="BQ31" s="2" t="n">
        <v>0</v>
      </c>
      <c r="BR31" s="2" t="n">
        <v>32871.93386042017</v>
      </c>
      <c r="BS31" s="2" t="n">
        <v>944.4497478991597</v>
      </c>
      <c r="BT31" s="2" t="n">
        <v>0</v>
      </c>
      <c r="BU31" s="2" t="n">
        <v>6749.825159663866</v>
      </c>
      <c r="BV31" s="2" t="n">
        <v>7694.274907563025</v>
      </c>
      <c r="BW31" s="2" t="n">
        <v>40566.2087679832</v>
      </c>
      <c r="BX31" s="2" t="n">
        <v>4660.110000000001</v>
      </c>
      <c r="BY31" s="2" t="n">
        <v>321.95</v>
      </c>
      <c r="BZ31" s="2" t="n">
        <v>0</v>
      </c>
      <c r="CA31" s="2" t="n">
        <v>4982.06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4248.639999999999</v>
      </c>
      <c r="AD32" s="2" t="n">
        <v>271.4408888888889</v>
      </c>
      <c r="AE32" s="2" t="n">
        <v>3933.925925925925</v>
      </c>
      <c r="AF32" s="2" t="n">
        <v>0</v>
      </c>
      <c r="AG32" s="2" t="n">
        <v>3501.24</v>
      </c>
      <c r="AH32" s="2" t="n">
        <v>747.4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812.51</v>
      </c>
      <c r="AP32" s="2" t="n">
        <v>59.43360185185185</v>
      </c>
      <c r="AQ32" s="2" t="n">
        <v>752.324074074074</v>
      </c>
      <c r="AR32" s="2" t="n">
        <v>0</v>
      </c>
      <c r="AS32" s="2" t="n">
        <v>748.35</v>
      </c>
      <c r="AT32" s="2" t="n">
        <v>64.16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5061.15</v>
      </c>
      <c r="BB32" s="2" t="n">
        <v>5061.15</v>
      </c>
      <c r="BC32" s="2">
        <f>F32+L32+R32+X32+AD32+AJ32+AP32+AV32+IF(BE32="",0,BE32)</f>
        <v/>
      </c>
      <c r="BD32" s="2" t="n">
        <v>77.94170999999999</v>
      </c>
      <c r="BE32" s="2" t="n"/>
      <c r="BF32" s="2" t="n">
        <v>4686.249999999999</v>
      </c>
      <c r="BG32" s="2" t="n">
        <v>0</v>
      </c>
      <c r="BH32" s="2" t="n">
        <v>0</v>
      </c>
      <c r="BI32" s="2" t="n">
        <v>32273.79</v>
      </c>
      <c r="BJ32" s="2" t="n">
        <v>77.88605042016808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68.325525</v>
      </c>
      <c r="BQ32" s="2" t="n">
        <v>0</v>
      </c>
      <c r="BR32" s="2" t="n">
        <v>32445.00157542017</v>
      </c>
      <c r="BS32" s="2" t="n">
        <v>944.4497478991597</v>
      </c>
      <c r="BT32" s="2" t="n">
        <v>0</v>
      </c>
      <c r="BU32" s="2" t="n">
        <v>6664.225159663866</v>
      </c>
      <c r="BV32" s="2" t="n">
        <v>7608.674907563026</v>
      </c>
      <c r="BW32" s="2" t="n">
        <v>40053.6764829832</v>
      </c>
      <c r="BX32" s="2" t="n">
        <v>4249.59</v>
      </c>
      <c r="BY32" s="2" t="n">
        <v>811.5599999999999</v>
      </c>
      <c r="BZ32" s="2" t="n">
        <v>0</v>
      </c>
      <c r="CA32" s="2" t="n">
        <v>5061.15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3100.98</v>
      </c>
      <c r="L33" s="2" t="n">
        <v>258.1278722222223</v>
      </c>
      <c r="M33" s="2" t="n">
        <v>2871.277777777778</v>
      </c>
      <c r="N33" s="2" t="n">
        <v>0</v>
      </c>
      <c r="O33" s="2" t="n">
        <v>2643.04</v>
      </c>
      <c r="P33" s="2" t="n">
        <v>457.94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2880.38</v>
      </c>
      <c r="AD33" s="2" t="n">
        <v>184.0242777777778</v>
      </c>
      <c r="AE33" s="2" t="n">
        <v>2667.018518518518</v>
      </c>
      <c r="AF33" s="2" t="n">
        <v>0</v>
      </c>
      <c r="AG33" s="2" t="n">
        <v>2135.42</v>
      </c>
      <c r="AH33" s="2" t="n">
        <v>744.96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2072.02</v>
      </c>
      <c r="AP33" s="2" t="n">
        <v>151.5644259259259</v>
      </c>
      <c r="AQ33" s="2" t="n">
        <v>1918.537037037037</v>
      </c>
      <c r="AR33" s="2" t="n">
        <v>0</v>
      </c>
      <c r="AS33" s="2" t="n">
        <v>1894.74</v>
      </c>
      <c r="AT33" s="2" t="n">
        <v>177.28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8053.380000000001</v>
      </c>
      <c r="BB33" s="2" t="n">
        <v>8053.380000000001</v>
      </c>
      <c r="BC33" s="2">
        <f>F33+L33+R33+X33+AD33+AJ33+AP33+AV33+IF(BE33="",0,BE33)</f>
        <v/>
      </c>
      <c r="BD33" s="2" t="n">
        <v>124.022052</v>
      </c>
      <c r="BE33" s="2" t="n"/>
      <c r="BF33" s="2" t="n">
        <v>7456.833333333332</v>
      </c>
      <c r="BG33" s="2" t="n">
        <v>300</v>
      </c>
      <c r="BH33" s="2" t="n">
        <v>225</v>
      </c>
      <c r="BI33" s="2" t="n">
        <v>32273.79</v>
      </c>
      <c r="BJ33" s="2" t="n">
        <v>77.88605042016808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108.72063</v>
      </c>
      <c r="BQ33" s="2" t="n">
        <v>0</v>
      </c>
      <c r="BR33" s="2" t="n">
        <v>33010.39668042017</v>
      </c>
      <c r="BS33" s="2" t="n">
        <v>944.4497478991597</v>
      </c>
      <c r="BT33" s="2" t="n">
        <v>0</v>
      </c>
      <c r="BU33" s="2" t="n">
        <v>6769.225159663866</v>
      </c>
      <c r="BV33" s="2" t="n">
        <v>7713.674907563026</v>
      </c>
      <c r="BW33" s="2" t="n">
        <v>40724.0715879832</v>
      </c>
      <c r="BX33" s="2" t="n">
        <v>6673.2</v>
      </c>
      <c r="BY33" s="2" t="n">
        <v>1380.18</v>
      </c>
      <c r="BZ33" s="2" t="n">
        <v>0</v>
      </c>
      <c r="CA33" s="2" t="n">
        <v>8053.38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7572.49</v>
      </c>
      <c r="L34" s="2" t="n">
        <v>630.3396768518518</v>
      </c>
      <c r="M34" s="2" t="n">
        <v>7011.564814814814</v>
      </c>
      <c r="N34" s="2" t="n">
        <v>0</v>
      </c>
      <c r="O34" s="2" t="n">
        <v>6974.15</v>
      </c>
      <c r="P34" s="2" t="n">
        <v>598.34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7964.8</v>
      </c>
      <c r="AP34" s="2" t="n">
        <v>582.6103703703703</v>
      </c>
      <c r="AQ34" s="2" t="n">
        <v>7374.814814814815</v>
      </c>
      <c r="AR34" s="2" t="n">
        <v>0</v>
      </c>
      <c r="AS34" s="2" t="n">
        <v>7569.47</v>
      </c>
      <c r="AT34" s="2" t="n">
        <v>395.33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15537.29</v>
      </c>
      <c r="BB34" s="2" t="n">
        <v>15537.29</v>
      </c>
      <c r="BC34" s="2">
        <f>F34+L34+R34+X34+AD34+AJ34+AP34+AV34+IF(BE34="",0,BE34)</f>
        <v/>
      </c>
      <c r="BD34" s="2" t="n">
        <v>239.274266</v>
      </c>
      <c r="BE34" s="2" t="n"/>
      <c r="BF34" s="2" t="n">
        <v>14386.37962962963</v>
      </c>
      <c r="BG34" s="2" t="n">
        <v>0</v>
      </c>
      <c r="BH34" s="2" t="n">
        <v>0</v>
      </c>
      <c r="BI34" s="2" t="n">
        <v>32273.79</v>
      </c>
      <c r="BJ34" s="2" t="n">
        <v>77.88605042016808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209.753415</v>
      </c>
      <c r="BQ34" s="2" t="n">
        <v>0</v>
      </c>
      <c r="BR34" s="2" t="n">
        <v>32586.42946542017</v>
      </c>
      <c r="BS34" s="2" t="n">
        <v>944.4497478991597</v>
      </c>
      <c r="BT34" s="2" t="n">
        <v>0</v>
      </c>
      <c r="BU34" s="2" t="n">
        <v>6664.225159663866</v>
      </c>
      <c r="BV34" s="2" t="n">
        <v>7608.674907563026</v>
      </c>
      <c r="BW34" s="2" t="n">
        <v>40195.10437298319</v>
      </c>
      <c r="BX34" s="2" t="n">
        <v>14543.62</v>
      </c>
      <c r="BY34" s="2" t="n">
        <v>993.6700000000001</v>
      </c>
      <c r="BZ34" s="2" t="n">
        <v>0</v>
      </c>
      <c r="CA34" s="2" t="n">
        <v>15537.29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Bochnia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953.38</v>
      </c>
      <c r="L35" s="2" t="n">
        <v>79.36005740740741</v>
      </c>
      <c r="M35" s="2" t="n">
        <v>882.7592592592592</v>
      </c>
      <c r="N35" s="2" t="n">
        <v>0</v>
      </c>
      <c r="O35" s="2" t="n">
        <v>953.38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1742.36</v>
      </c>
      <c r="X35" s="2" t="n">
        <v>350</v>
      </c>
      <c r="Y35" s="2" t="n">
        <v>1613.296296296296</v>
      </c>
      <c r="Z35" s="2" t="n">
        <v>0</v>
      </c>
      <c r="AA35" s="2" t="n">
        <v>1742.36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1207.29</v>
      </c>
      <c r="AP35" s="2" t="n">
        <v>88.31102777777778</v>
      </c>
      <c r="AQ35" s="2" t="n">
        <v>1117.861111111111</v>
      </c>
      <c r="AR35" s="2" t="n">
        <v>0</v>
      </c>
      <c r="AS35" s="2" t="n">
        <v>1207.29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3903.03</v>
      </c>
      <c r="BB35" s="2" t="n">
        <v>3903.03</v>
      </c>
      <c r="BC35" s="2">
        <f>F35+L35+R35+X35+AD35+AJ35+AP35+AV35+IF(BE35="",0,BE35)</f>
        <v/>
      </c>
      <c r="BD35" s="2" t="n">
        <v>56.796178</v>
      </c>
      <c r="BE35" s="2" t="n"/>
      <c r="BF35" s="2" t="n">
        <v>3613.916666666666</v>
      </c>
      <c r="BG35" s="2" t="n">
        <v>0</v>
      </c>
      <c r="BH35" s="2" t="n">
        <v>0</v>
      </c>
      <c r="BI35" s="2" t="n">
        <v>14575.26</v>
      </c>
      <c r="BJ35" s="2" t="n">
        <v>77.88605042016808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52.69090499999999</v>
      </c>
      <c r="BQ35" s="2" t="n">
        <v>0</v>
      </c>
      <c r="BR35" s="2" t="n">
        <v>14730.83695542017</v>
      </c>
      <c r="BS35" s="2" t="n">
        <v>944.4497478991597</v>
      </c>
      <c r="BT35" s="2" t="n">
        <v>0</v>
      </c>
      <c r="BU35" s="2" t="n">
        <v>3124.519159663866</v>
      </c>
      <c r="BV35" s="2" t="n">
        <v>4068.968907563025</v>
      </c>
      <c r="BW35" s="2" t="n">
        <v>18799.80586298319</v>
      </c>
      <c r="BX35" s="2" t="n">
        <v>3903.03</v>
      </c>
      <c r="BY35" s="2" t="n">
        <v>0</v>
      </c>
      <c r="BZ35" s="2" t="n">
        <v>0</v>
      </c>
      <c r="CA35" s="2" t="n">
        <v>3903.03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1137</v>
      </c>
      <c r="B36" t="inlineStr">
        <is>
          <t>Poznan Politechnika</t>
        </is>
      </c>
      <c r="C36" t="inlineStr">
        <is>
          <t>Politechnika Poznańska</t>
        </is>
      </c>
      <c r="D36" t="inlineStr">
        <is>
          <t>BB8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86.39</v>
      </c>
      <c r="L36" s="2" t="n">
        <v>7.191167592592593</v>
      </c>
      <c r="M36" s="2" t="n">
        <v>79.99074074074073</v>
      </c>
      <c r="N36" s="2" t="n">
        <v>0</v>
      </c>
      <c r="O36" s="2" t="n">
        <v>86.39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119.1</v>
      </c>
      <c r="AD36" s="2" t="n">
        <v>7.719444444444445</v>
      </c>
      <c r="AE36" s="2" t="n">
        <v>110.2777777777778</v>
      </c>
      <c r="AF36" s="2" t="n">
        <v>0</v>
      </c>
      <c r="AG36" s="2" t="n">
        <v>119.1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0.79</v>
      </c>
      <c r="AP36" s="2" t="n">
        <v>0.05778703703703704</v>
      </c>
      <c r="AQ36" s="2" t="n">
        <v>0.7314814814814815</v>
      </c>
      <c r="AR36" s="2" t="n">
        <v>0</v>
      </c>
      <c r="AS36" s="2" t="n">
        <v>0.79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206.28</v>
      </c>
      <c r="BB36" s="2" t="n">
        <v>206.28</v>
      </c>
      <c r="BC36" s="2">
        <f>F36+L36+R36+X36+AD36+AJ36+AP36+AV36+IF(BE36="",0,BE36)</f>
        <v/>
      </c>
      <c r="BD36" s="2" t="n">
        <v>3.176712</v>
      </c>
      <c r="BE36" s="2" t="n"/>
      <c r="BF36" s="2" t="n">
        <v>191</v>
      </c>
      <c r="BG36" s="2" t="n">
        <v>250</v>
      </c>
      <c r="BH36" s="2" t="n">
        <v>0</v>
      </c>
      <c r="BI36" s="2" t="n">
        <v>6246.54</v>
      </c>
      <c r="BJ36" s="2" t="n">
        <v>77.88605042016808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2.78478</v>
      </c>
      <c r="BQ36" s="2" t="n">
        <v>0</v>
      </c>
      <c r="BR36" s="2" t="n">
        <v>6602.210830420168</v>
      </c>
      <c r="BS36" s="2" t="n">
        <v>944.4497478991597</v>
      </c>
      <c r="BT36" s="2" t="n">
        <v>0</v>
      </c>
      <c r="BU36" s="2" t="n">
        <v>1508.775159663866</v>
      </c>
      <c r="BV36" s="2" t="n">
        <v>2453.224907563025</v>
      </c>
      <c r="BW36" s="2" t="n">
        <v>9055.435737983193</v>
      </c>
      <c r="BX36" s="2" t="n">
        <v>206.28</v>
      </c>
      <c r="BY36" s="2" t="n">
        <v>0</v>
      </c>
      <c r="BZ36" s="2" t="n">
        <v>0</v>
      </c>
      <c r="CA36" s="2" t="n">
        <v>206.28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1138</v>
      </c>
      <c r="B37" t="inlineStr">
        <is>
          <t>Rzeszow</t>
        </is>
      </c>
      <c r="C37" t="inlineStr">
        <is>
          <t>Rzeszów</t>
        </is>
      </c>
      <c r="D37" t="inlineStr">
        <is>
          <t>BB8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2598.63</v>
      </c>
      <c r="L37" s="2" t="n">
        <v>216.3118861111111</v>
      </c>
      <c r="M37" s="2" t="n">
        <v>2406.138888888889</v>
      </c>
      <c r="N37" s="2" t="n">
        <v>0</v>
      </c>
      <c r="O37" s="2" t="n">
        <v>2598.63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5506.86</v>
      </c>
      <c r="AP37" s="2" t="n">
        <v>402.8166111111111</v>
      </c>
      <c r="AQ37" s="2" t="n">
        <v>5098.944444444443</v>
      </c>
      <c r="AR37" s="2" t="n">
        <v>0</v>
      </c>
      <c r="AS37" s="2" t="n">
        <v>5506.86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8105.49</v>
      </c>
      <c r="BB37" s="2" t="n">
        <v>8105.49</v>
      </c>
      <c r="BC37" s="2">
        <f>F37+L37+R37+X37+AD37+AJ37+AP37+AV37+IF(BE37="",0,BE37)</f>
        <v/>
      </c>
      <c r="BD37" s="2" t="n">
        <v>124.824546</v>
      </c>
      <c r="BE37" s="2" t="n"/>
      <c r="BF37" s="2" t="n">
        <v>7505.083333333332</v>
      </c>
      <c r="BG37" s="2" t="n">
        <v>0</v>
      </c>
      <c r="BH37" s="2" t="n">
        <v>0</v>
      </c>
      <c r="BI37" s="2" t="n">
        <v>8328.719999999999</v>
      </c>
      <c r="BJ37" s="2" t="n">
        <v>77.88605042016808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109.424115</v>
      </c>
      <c r="BQ37" s="2" t="n">
        <v>0</v>
      </c>
      <c r="BR37" s="2" t="n">
        <v>8541.030165420167</v>
      </c>
      <c r="BS37" s="2" t="n">
        <v>944.4497478991597</v>
      </c>
      <c r="BT37" s="2" t="n">
        <v>0</v>
      </c>
      <c r="BU37" s="2" t="n">
        <v>1875.211159663865</v>
      </c>
      <c r="BV37" s="2" t="n">
        <v>2819.660907563025</v>
      </c>
      <c r="BW37" s="2" t="n">
        <v>11360.69107298319</v>
      </c>
      <c r="BX37" s="2" t="n">
        <v>8105.49</v>
      </c>
      <c r="BY37" s="2" t="n">
        <v>0</v>
      </c>
      <c r="BZ37" s="2" t="n">
        <v>0</v>
      </c>
      <c r="CA37" s="2" t="n">
        <v>8105.49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1203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22368.59</v>
      </c>
      <c r="L38" s="2" t="n">
        <v>1861.978000925926</v>
      </c>
      <c r="M38" s="2" t="n">
        <v>20711.65740740741</v>
      </c>
      <c r="N38" s="2" t="n">
        <v>5331.94</v>
      </c>
      <c r="O38" s="2" t="n">
        <v>15760.65</v>
      </c>
      <c r="P38" s="2" t="n">
        <v>1276</v>
      </c>
      <c r="Q38" s="2" t="n">
        <v>22947.51</v>
      </c>
      <c r="R38" s="2" t="n">
        <v>1600</v>
      </c>
      <c r="S38" s="2" t="n">
        <v>21247.69444444444</v>
      </c>
      <c r="T38" s="2" t="n">
        <v>5648.65</v>
      </c>
      <c r="U38" s="2" t="n">
        <v>16537.95</v>
      </c>
      <c r="V38" s="2" t="n">
        <v>760.91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12421.81</v>
      </c>
      <c r="AP38" s="2" t="n">
        <v>908.6323981481481</v>
      </c>
      <c r="AQ38" s="2" t="n">
        <v>11501.67592592593</v>
      </c>
      <c r="AR38" s="2" t="n">
        <v>1817.68</v>
      </c>
      <c r="AS38" s="2" t="n">
        <v>9988.41</v>
      </c>
      <c r="AT38" s="2" t="n">
        <v>615.72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57737.91</v>
      </c>
      <c r="BB38" s="2" t="n">
        <v>44939.64</v>
      </c>
      <c r="BC38" s="2">
        <f>F38+L38+R38+X38+AD38+AJ38+AP38+AV38+IF(BE38="",0,BE38)</f>
        <v/>
      </c>
      <c r="BD38" s="2" t="n">
        <v>692.0704559999999</v>
      </c>
      <c r="BE38" s="2" t="n"/>
      <c r="BF38" s="2" t="n">
        <v>53461.02777777777</v>
      </c>
      <c r="BG38" s="2" t="n">
        <v>0</v>
      </c>
      <c r="BH38" s="2" t="n">
        <v>0</v>
      </c>
      <c r="BI38" s="2" t="n">
        <v>32273.79</v>
      </c>
      <c r="BJ38" s="2" t="n">
        <v>77.88605042016808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606.68514</v>
      </c>
      <c r="BQ38" s="2" t="n">
        <v>0</v>
      </c>
      <c r="BR38" s="2" t="n">
        <v>32983.36119042017</v>
      </c>
      <c r="BS38" s="2" t="n">
        <v>944.4497478991597</v>
      </c>
      <c r="BT38" s="2" t="n">
        <v>0</v>
      </c>
      <c r="BU38" s="2" t="n">
        <v>6664.225159663866</v>
      </c>
      <c r="BV38" s="2" t="n">
        <v>7608.674907563026</v>
      </c>
      <c r="BW38" s="2" t="n">
        <v>40592.0360979832</v>
      </c>
      <c r="BX38" s="2" t="n">
        <v>42287.00999999999</v>
      </c>
      <c r="BY38" s="2" t="n">
        <v>2652.63</v>
      </c>
      <c r="BZ38" s="2" t="n">
        <v>12798.27</v>
      </c>
      <c r="CA38" s="2" t="n">
        <v>44939.63999999999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1204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8507.309999999999</v>
      </c>
      <c r="L39" s="2" t="n">
        <v>708.1547861111111</v>
      </c>
      <c r="M39" s="2" t="n">
        <v>7877.138888888888</v>
      </c>
      <c r="N39" s="2" t="n">
        <v>914.8099999999999</v>
      </c>
      <c r="O39" s="2" t="n">
        <v>7091.1</v>
      </c>
      <c r="P39" s="2" t="n">
        <v>501.4</v>
      </c>
      <c r="Q39" s="2" t="n">
        <v>18916.58</v>
      </c>
      <c r="R39" s="2" t="n">
        <v>1600</v>
      </c>
      <c r="S39" s="2" t="n">
        <v>17515.35185185185</v>
      </c>
      <c r="T39" s="2" t="n">
        <v>1787.2</v>
      </c>
      <c r="U39" s="2" t="n">
        <v>16584.69</v>
      </c>
      <c r="V39" s="2" t="n">
        <v>544.6900000000001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8583.84</v>
      </c>
      <c r="AP39" s="2" t="n">
        <v>627.8920000000001</v>
      </c>
      <c r="AQ39" s="2" t="n">
        <v>7948</v>
      </c>
      <c r="AR39" s="2" t="n">
        <v>1155.31</v>
      </c>
      <c r="AS39" s="2" t="n">
        <v>7231.02</v>
      </c>
      <c r="AT39" s="2" t="n">
        <v>197.51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36007.73</v>
      </c>
      <c r="BB39" s="2" t="n">
        <v>32150.41</v>
      </c>
      <c r="BC39" s="2">
        <f>F39+L39+R39+X39+AD39+AJ39+AP39+AV39+IF(BE39="",0,BE39)</f>
        <v/>
      </c>
      <c r="BD39" s="2" t="n">
        <v>495.116314</v>
      </c>
      <c r="BE39" s="2" t="n"/>
      <c r="BF39" s="2" t="n">
        <v>33340.49074074074</v>
      </c>
      <c r="BG39" s="2" t="n">
        <v>652.9399999999999</v>
      </c>
      <c r="BH39" s="2" t="n">
        <v>82</v>
      </c>
      <c r="BI39" s="2" t="n">
        <v>32273.79</v>
      </c>
      <c r="BJ39" s="2" t="n">
        <v>77.88605042016808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434.030535</v>
      </c>
      <c r="BQ39" s="2" t="n">
        <v>0</v>
      </c>
      <c r="BR39" s="2" t="n">
        <v>33545.64658542017</v>
      </c>
      <c r="BS39" s="2" t="n">
        <v>944.4497478991597</v>
      </c>
      <c r="BT39" s="2" t="n">
        <v>0</v>
      </c>
      <c r="BU39" s="2" t="n">
        <v>6811.213159663866</v>
      </c>
      <c r="BV39" s="2" t="n">
        <v>7755.662907563026</v>
      </c>
      <c r="BW39" s="2" t="n">
        <v>41301.30949298319</v>
      </c>
      <c r="BX39" s="2" t="n">
        <v>30906.81</v>
      </c>
      <c r="BY39" s="2" t="n">
        <v>1243.6</v>
      </c>
      <c r="BZ39" s="2" t="n">
        <v>3857.32</v>
      </c>
      <c r="CA39" s="2" t="n">
        <v>32150.41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1205</v>
      </c>
      <c r="B40" t="inlineStr">
        <is>
          <t>WROCLAW</t>
        </is>
      </c>
      <c r="C40" t="inlineStr">
        <is>
          <t>Ciechocinek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0.17</v>
      </c>
      <c r="AP40" s="2" t="n">
        <v>0</v>
      </c>
      <c r="AQ40" s="2" t="n">
        <v>0.1574074074074074</v>
      </c>
      <c r="AR40" s="2" t="n">
        <v>0</v>
      </c>
      <c r="AS40" s="2" t="n">
        <v>0.17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0.17</v>
      </c>
      <c r="BB40" s="2" t="n">
        <v>0.17</v>
      </c>
      <c r="BC40" s="2">
        <f>F40+L40+R40+X40+AD40+AJ40+AP40+AV40+IF(BE40="",0,BE40)</f>
        <v/>
      </c>
      <c r="BD40" s="2" t="n">
        <v>0.002618</v>
      </c>
      <c r="BE40" s="2" t="n"/>
      <c r="BF40" s="2" t="n">
        <v>0.1574074074074074</v>
      </c>
      <c r="BG40" s="2" t="n">
        <v>652.9399999999999</v>
      </c>
      <c r="BH40" s="2" t="n">
        <v>82</v>
      </c>
      <c r="BI40" s="2" t="n">
        <v>32273.79</v>
      </c>
      <c r="BJ40" s="2" t="n">
        <v>77.88605042016808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0.002295</v>
      </c>
      <c r="BQ40" s="2" t="n">
        <v>0</v>
      </c>
      <c r="BR40" s="2" t="n">
        <v>33111.61834542017</v>
      </c>
      <c r="BS40" s="2" t="n">
        <v>944.4497478991597</v>
      </c>
      <c r="BT40" s="2" t="n">
        <v>0</v>
      </c>
      <c r="BU40" s="2" t="n">
        <v>6811.213159663866</v>
      </c>
      <c r="BV40" s="2" t="n">
        <v>7755.662907563026</v>
      </c>
      <c r="BW40" s="2" t="n">
        <v>40867.28125298319</v>
      </c>
      <c r="BX40" s="2" t="n">
        <v>0.17</v>
      </c>
      <c r="BY40" s="2" t="n">
        <v>0</v>
      </c>
      <c r="BZ40" s="2" t="n">
        <v>0</v>
      </c>
      <c r="CA40" s="2" t="n">
        <v>0.17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1206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16628.61</v>
      </c>
      <c r="L41" s="2" t="n">
        <v>1384.177813888889</v>
      </c>
      <c r="M41" s="2" t="n">
        <v>15396.86111111111</v>
      </c>
      <c r="N41" s="2" t="n">
        <v>3297.22</v>
      </c>
      <c r="O41" s="2" t="n">
        <v>12761.89</v>
      </c>
      <c r="P41" s="2" t="n">
        <v>569.5</v>
      </c>
      <c r="Q41" s="2" t="n">
        <v>39709.83</v>
      </c>
      <c r="R41" s="2" t="n">
        <v>1600</v>
      </c>
      <c r="S41" s="2" t="n">
        <v>36768.36111111111</v>
      </c>
      <c r="T41" s="2" t="n">
        <v>5805.37</v>
      </c>
      <c r="U41" s="2" t="n">
        <v>32610.67</v>
      </c>
      <c r="V41" s="2" t="n">
        <v>1293.79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10262.97</v>
      </c>
      <c r="AP41" s="2" t="n">
        <v>750.71725</v>
      </c>
      <c r="AQ41" s="2" t="n">
        <v>9502.75</v>
      </c>
      <c r="AR41" s="2" t="n">
        <v>1945.65</v>
      </c>
      <c r="AS41" s="2" t="n">
        <v>7913.28</v>
      </c>
      <c r="AT41" s="2" t="n">
        <v>404.04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66601.41</v>
      </c>
      <c r="BB41" s="2" t="n">
        <v>55553.17</v>
      </c>
      <c r="BC41" s="2">
        <f>F41+L41+R41+X41+AD41+AJ41+AP41+AV41+IF(BE41="",0,BE41)</f>
        <v/>
      </c>
      <c r="BD41" s="2" t="n">
        <v>855.518818</v>
      </c>
      <c r="BE41" s="2" t="n"/>
      <c r="BF41" s="2" t="n">
        <v>61667.97222222222</v>
      </c>
      <c r="BG41" s="2" t="n">
        <v>652.9399999999999</v>
      </c>
      <c r="BH41" s="2" t="n">
        <v>82</v>
      </c>
      <c r="BI41" s="2" t="n">
        <v>32273.79</v>
      </c>
      <c r="BJ41" s="2" t="n">
        <v>77.88605042016808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749.9677949999999</v>
      </c>
      <c r="BQ41" s="2" t="n">
        <v>0</v>
      </c>
      <c r="BR41" s="2" t="n">
        <v>33861.58384542017</v>
      </c>
      <c r="BS41" s="2" t="n">
        <v>944.4497478991597</v>
      </c>
      <c r="BT41" s="2" t="n">
        <v>0</v>
      </c>
      <c r="BU41" s="2" t="n">
        <v>6811.213159663866</v>
      </c>
      <c r="BV41" s="2" t="n">
        <v>7755.662907563026</v>
      </c>
      <c r="BW41" s="2" t="n">
        <v>41617.24675298319</v>
      </c>
      <c r="BX41" s="2" t="n">
        <v>53285.84</v>
      </c>
      <c r="BY41" s="2" t="n">
        <v>2267.33</v>
      </c>
      <c r="BZ41" s="2" t="n">
        <v>11048.24</v>
      </c>
      <c r="CA41" s="2" t="n">
        <v>55553.17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1207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14487.95</v>
      </c>
      <c r="L42" s="2" t="n">
        <v>1205.987689814815</v>
      </c>
      <c r="M42" s="2" t="n">
        <v>13414.76851851852</v>
      </c>
      <c r="N42" s="2" t="n">
        <v>3904.55</v>
      </c>
      <c r="O42" s="2" t="n">
        <v>9728.959999999999</v>
      </c>
      <c r="P42" s="2" t="n">
        <v>854.4400000000001</v>
      </c>
      <c r="Q42" s="2" t="n">
        <v>33403</v>
      </c>
      <c r="R42" s="2" t="n">
        <v>1600</v>
      </c>
      <c r="S42" s="2" t="n">
        <v>30928.7037037037</v>
      </c>
      <c r="T42" s="2" t="n">
        <v>6687.21</v>
      </c>
      <c r="U42" s="2" t="n">
        <v>25818.97</v>
      </c>
      <c r="V42" s="2" t="n">
        <v>896.8200000000001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8254.120000000001</v>
      </c>
      <c r="AP42" s="2" t="n">
        <v>603.7735925925926</v>
      </c>
      <c r="AQ42" s="2" t="n">
        <v>7642.703703703704</v>
      </c>
      <c r="AR42" s="2" t="n">
        <v>2110.16</v>
      </c>
      <c r="AS42" s="2" t="n">
        <v>5815.68</v>
      </c>
      <c r="AT42" s="2" t="n">
        <v>328.28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56145.07</v>
      </c>
      <c r="BB42" s="2" t="n">
        <v>43443.15</v>
      </c>
      <c r="BC42" s="2">
        <f>F42+L42+R42+X42+AD42+AJ42+AP42+AV42+IF(BE42="",0,BE42)</f>
        <v/>
      </c>
      <c r="BD42" s="2" t="n">
        <v>669.0245100000001</v>
      </c>
      <c r="BE42" s="2" t="n"/>
      <c r="BF42" s="2" t="n">
        <v>51986.17592592593</v>
      </c>
      <c r="BG42" s="2" t="n">
        <v>652.9399999999999</v>
      </c>
      <c r="BH42" s="2" t="n">
        <v>82</v>
      </c>
      <c r="BI42" s="2" t="n">
        <v>32273.79</v>
      </c>
      <c r="BJ42" s="2" t="n">
        <v>77.88605042016808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586.482525</v>
      </c>
      <c r="BQ42" s="2" t="n">
        <v>0</v>
      </c>
      <c r="BR42" s="2" t="n">
        <v>33698.09857542017</v>
      </c>
      <c r="BS42" s="2" t="n">
        <v>944.4497478991597</v>
      </c>
      <c r="BT42" s="2" t="n">
        <v>0</v>
      </c>
      <c r="BU42" s="2" t="n">
        <v>6811.213159663866</v>
      </c>
      <c r="BV42" s="2" t="n">
        <v>7755.662907563026</v>
      </c>
      <c r="BW42" s="2" t="n">
        <v>41453.76148298319</v>
      </c>
      <c r="BX42" s="2" t="n">
        <v>41363.61</v>
      </c>
      <c r="BY42" s="2" t="n">
        <v>2079.54</v>
      </c>
      <c r="BZ42" s="2" t="n">
        <v>12701.92</v>
      </c>
      <c r="CA42" s="2" t="n">
        <v>43443.15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1208</v>
      </c>
      <c r="B43" t="inlineStr">
        <is>
          <t>Piłsudskiego 105, 50-085 Wrocław</t>
        </is>
      </c>
      <c r="C43" t="inlineStr">
        <is>
          <t>Wrocław Główny</t>
        </is>
      </c>
      <c r="D43" t="inlineStr">
        <is>
          <t>FAA2000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7328.55</v>
      </c>
      <c r="L43" s="2" t="n">
        <v>610.0339305555556</v>
      </c>
      <c r="M43" s="2" t="n">
        <v>6785.694444444444</v>
      </c>
      <c r="N43" s="2" t="n">
        <v>1533.16</v>
      </c>
      <c r="O43" s="2" t="n">
        <v>5299.17</v>
      </c>
      <c r="P43" s="2" t="n">
        <v>496.22</v>
      </c>
      <c r="Q43" s="2" t="n">
        <v>18334.97</v>
      </c>
      <c r="R43" s="2" t="n">
        <v>1600</v>
      </c>
      <c r="S43" s="2" t="n">
        <v>16976.82407407407</v>
      </c>
      <c r="T43" s="2" t="n">
        <v>3077.83</v>
      </c>
      <c r="U43" s="2" t="n">
        <v>14107.93</v>
      </c>
      <c r="V43" s="2" t="n">
        <v>1149.21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6579.48</v>
      </c>
      <c r="AP43" s="2" t="n">
        <v>481.2767777777778</v>
      </c>
      <c r="AQ43" s="2" t="n">
        <v>6092.111111111111</v>
      </c>
      <c r="AR43" s="2" t="n">
        <v>1188.22</v>
      </c>
      <c r="AS43" s="2" t="n">
        <v>5187.93</v>
      </c>
      <c r="AT43" s="2" t="n">
        <v>203.33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32243</v>
      </c>
      <c r="BB43" s="2" t="n">
        <v>26443.79</v>
      </c>
      <c r="BC43" s="2">
        <f>F43+L43+R43+X43+AD43+AJ43+AP43+AV43+IF(BE43="",0,BE43)</f>
        <v/>
      </c>
      <c r="BD43" s="2" t="n">
        <v>407.234366</v>
      </c>
      <c r="BE43" s="2" t="n"/>
      <c r="BF43" s="2" t="n">
        <v>29854.62962962963</v>
      </c>
      <c r="BG43" s="2" t="n">
        <v>652.9399999999999</v>
      </c>
      <c r="BH43" s="2" t="n">
        <v>82</v>
      </c>
      <c r="BI43" s="2" t="n">
        <v>32273.79</v>
      </c>
      <c r="BJ43" s="2" t="n">
        <v>77.88605042016808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356.991165</v>
      </c>
      <c r="BQ43" s="2" t="n">
        <v>0</v>
      </c>
      <c r="BR43" s="2" t="n">
        <v>33468.60721542017</v>
      </c>
      <c r="BS43" s="2" t="n">
        <v>944.4497478991597</v>
      </c>
      <c r="BT43" s="2" t="n">
        <v>0</v>
      </c>
      <c r="BU43" s="2" t="n">
        <v>6811.213159663866</v>
      </c>
      <c r="BV43" s="2" t="n">
        <v>7755.662907563026</v>
      </c>
      <c r="BW43" s="2" t="n">
        <v>41224.27012298319</v>
      </c>
      <c r="BX43" s="2" t="n">
        <v>24595.03</v>
      </c>
      <c r="BY43" s="2" t="n">
        <v>1848.76</v>
      </c>
      <c r="BZ43" s="2" t="n">
        <v>5799.21</v>
      </c>
      <c r="CA43" s="2" t="n">
        <v>26443.79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1210</v>
      </c>
      <c r="B44" t="inlineStr">
        <is>
          <t>Piłsudskiego 105, 50-085 Wrocław</t>
        </is>
      </c>
      <c r="C44" t="inlineStr">
        <is>
          <t>Wrocław Główny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26712.69</v>
      </c>
      <c r="L44" s="2" t="n">
        <v>2223.584102777778</v>
      </c>
      <c r="M44" s="2" t="n">
        <v>24733.97222222222</v>
      </c>
      <c r="N44" s="2" t="n">
        <v>481.98</v>
      </c>
      <c r="O44" s="2" t="n">
        <v>23955.84</v>
      </c>
      <c r="P44" s="2" t="n">
        <v>2274.87</v>
      </c>
      <c r="Q44" s="2" t="n">
        <v>21302.65</v>
      </c>
      <c r="R44" s="2" t="n">
        <v>1600</v>
      </c>
      <c r="S44" s="2" t="n">
        <v>19724.67592592593</v>
      </c>
      <c r="T44" s="2" t="n">
        <v>1053.41</v>
      </c>
      <c r="U44" s="2" t="n">
        <v>18571.33</v>
      </c>
      <c r="V44" s="2" t="n">
        <v>1677.91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12464.24</v>
      </c>
      <c r="AP44" s="2" t="n">
        <v>911.7360740740742</v>
      </c>
      <c r="AQ44" s="2" t="n">
        <v>11540.96296296296</v>
      </c>
      <c r="AR44" s="2" t="n">
        <v>492.17</v>
      </c>
      <c r="AS44" s="2" t="n">
        <v>11320.29</v>
      </c>
      <c r="AT44" s="2" t="n">
        <v>651.78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60479.58</v>
      </c>
      <c r="BB44" s="2" t="n">
        <v>58452.02</v>
      </c>
      <c r="BC44" s="2">
        <f>F44+L44+R44+X44+AD44+AJ44+AP44+AV44+IF(BE44="",0,BE44)</f>
        <v/>
      </c>
      <c r="BD44" s="2" t="n">
        <v>900.161108</v>
      </c>
      <c r="BE44" s="2" t="n"/>
      <c r="BF44" s="2" t="n">
        <v>55999.61111111111</v>
      </c>
      <c r="BG44" s="2" t="n">
        <v>760.5599999999999</v>
      </c>
      <c r="BH44" s="2" t="n">
        <v>260</v>
      </c>
      <c r="BI44" s="2" t="n">
        <v>32273.79</v>
      </c>
      <c r="BJ44" s="2" t="n">
        <v>77.88605042016808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789.1022700000001</v>
      </c>
      <c r="BQ44" s="2" t="n">
        <v>0</v>
      </c>
      <c r="BR44" s="2" t="n">
        <v>34186.33832042017</v>
      </c>
      <c r="BS44" s="2" t="n">
        <v>944.4497478991597</v>
      </c>
      <c r="BT44" s="2" t="n">
        <v>0</v>
      </c>
      <c r="BU44" s="2" t="n">
        <v>6868.337159663867</v>
      </c>
      <c r="BV44" s="2" t="n">
        <v>7812.786907563027</v>
      </c>
      <c r="BW44" s="2" t="n">
        <v>41999.1252279832</v>
      </c>
      <c r="BX44" s="2" t="n">
        <v>53847.46</v>
      </c>
      <c r="BY44" s="2" t="n">
        <v>4604.559999999999</v>
      </c>
      <c r="BZ44" s="2" t="n">
        <v>2027.56</v>
      </c>
      <c r="CA44" s="2" t="n">
        <v>58452.02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1211</v>
      </c>
      <c r="B45" t="inlineStr">
        <is>
          <t>Kolejowa, 59-300 Lubin</t>
        </is>
      </c>
      <c r="C45" t="inlineStr">
        <is>
          <t>Lubin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25957.95</v>
      </c>
      <c r="R45" s="2" t="n">
        <v>1600</v>
      </c>
      <c r="S45" s="2" t="n">
        <v>24035.13888888888</v>
      </c>
      <c r="T45" s="2" t="n">
        <v>11085.39</v>
      </c>
      <c r="U45" s="2" t="n">
        <v>13971.8</v>
      </c>
      <c r="V45" s="2" t="n">
        <v>900.76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25957.95</v>
      </c>
      <c r="BB45" s="2" t="n">
        <v>14872.56</v>
      </c>
      <c r="BC45" s="2">
        <f>F45+L45+R45+X45+AD45+AJ45+AP45+AV45+IF(BE45="",0,BE45)</f>
        <v/>
      </c>
      <c r="BD45" s="2" t="n">
        <v>229.037424</v>
      </c>
      <c r="BE45" s="2" t="n"/>
      <c r="BF45" s="2" t="n">
        <v>24035.13888888888</v>
      </c>
      <c r="BG45" s="2" t="n">
        <v>0</v>
      </c>
      <c r="BH45" s="2" t="n">
        <v>0</v>
      </c>
      <c r="BI45" s="2" t="n">
        <v>32273.79</v>
      </c>
      <c r="BJ45" s="2" t="n">
        <v>77.88605042016808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200.77956</v>
      </c>
      <c r="BQ45" s="2" t="n">
        <v>0</v>
      </c>
      <c r="BR45" s="2" t="n">
        <v>32577.45561042017</v>
      </c>
      <c r="BS45" s="2" t="n">
        <v>944.4497478991597</v>
      </c>
      <c r="BT45" s="2" t="n">
        <v>0</v>
      </c>
      <c r="BU45" s="2" t="n">
        <v>6664.225159663866</v>
      </c>
      <c r="BV45" s="2" t="n">
        <v>7608.674907563026</v>
      </c>
      <c r="BW45" s="2" t="n">
        <v>40186.1305179832</v>
      </c>
      <c r="BX45" s="2" t="n">
        <v>13971.8</v>
      </c>
      <c r="BY45" s="2" t="n">
        <v>900.76</v>
      </c>
      <c r="BZ45" s="2" t="n">
        <v>11085.39</v>
      </c>
      <c r="CA45" s="2" t="n">
        <v>14872.56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1212</v>
      </c>
      <c r="B46" t="inlineStr">
        <is>
          <t>Armii Krajowej 26C, 58-302 Wałbrzych</t>
        </is>
      </c>
      <c r="C46" t="inlineStr">
        <is>
          <t>Wałbrzych Miasto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1315.03</v>
      </c>
      <c r="L46" s="2" t="n">
        <v>109.4640712962963</v>
      </c>
      <c r="M46" s="2" t="n">
        <v>1217.62037037037</v>
      </c>
      <c r="N46" s="2" t="n">
        <v>285.45</v>
      </c>
      <c r="O46" s="2" t="n">
        <v>816.66</v>
      </c>
      <c r="P46" s="2" t="n">
        <v>212.92</v>
      </c>
      <c r="Q46" s="2" t="n">
        <v>8998.09</v>
      </c>
      <c r="R46" s="2" t="n">
        <v>1600</v>
      </c>
      <c r="S46" s="2" t="n">
        <v>8331.564814814814</v>
      </c>
      <c r="T46" s="2" t="n">
        <v>1952.54</v>
      </c>
      <c r="U46" s="2" t="n">
        <v>6861.28</v>
      </c>
      <c r="V46" s="2" t="n">
        <v>184.27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300.99</v>
      </c>
      <c r="AP46" s="2" t="n">
        <v>22.01686111111111</v>
      </c>
      <c r="AQ46" s="2" t="n">
        <v>278.6944444444445</v>
      </c>
      <c r="AR46" s="2" t="n">
        <v>58.5</v>
      </c>
      <c r="AS46" s="2" t="n">
        <v>236.27</v>
      </c>
      <c r="AT46" s="2" t="n">
        <v>6.22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10614.11</v>
      </c>
      <c r="BB46" s="2" t="n">
        <v>8317.620000000001</v>
      </c>
      <c r="BC46" s="2">
        <f>F46+L46+R46+X46+AD46+AJ46+AP46+AV46+IF(BE46="",0,BE46)</f>
        <v/>
      </c>
      <c r="BD46" s="2" t="n">
        <v>128.091348</v>
      </c>
      <c r="BE46" s="2" t="n"/>
      <c r="BF46" s="2" t="n">
        <v>9827.87962962963</v>
      </c>
      <c r="BG46" s="2" t="n">
        <v>573.92</v>
      </c>
      <c r="BH46" s="2" t="n">
        <v>108.9</v>
      </c>
      <c r="BI46" s="2" t="n">
        <v>32273.79</v>
      </c>
      <c r="BJ46" s="2" t="n">
        <v>77.88605042016808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112.28787</v>
      </c>
      <c r="BQ46" s="2" t="n">
        <v>0</v>
      </c>
      <c r="BR46" s="2" t="n">
        <v>33171.78392042017</v>
      </c>
      <c r="BS46" s="2" t="n">
        <v>944.4497478991597</v>
      </c>
      <c r="BT46" s="2" t="n">
        <v>0</v>
      </c>
      <c r="BU46" s="2" t="n">
        <v>6800.789159663866</v>
      </c>
      <c r="BV46" s="2" t="n">
        <v>7745.238907563025</v>
      </c>
      <c r="BW46" s="2" t="n">
        <v>40917.02282798319</v>
      </c>
      <c r="BX46" s="2" t="n">
        <v>7914.21</v>
      </c>
      <c r="BY46" s="2" t="n">
        <v>403.41</v>
      </c>
      <c r="BZ46" s="2" t="n">
        <v>2296.49</v>
      </c>
      <c r="CA46" s="2" t="n">
        <v>8317.620000000001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1213</v>
      </c>
      <c r="B47" t="inlineStr">
        <is>
          <t>Plac 1000-Lecia 1, 67-200 Głogów</t>
        </is>
      </c>
      <c r="C47" t="inlineStr">
        <is>
          <t>Głogów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5974.570000000001</v>
      </c>
      <c r="L47" s="2" t="n">
        <v>497.3276324074075</v>
      </c>
      <c r="M47" s="2" t="n">
        <v>5532.009259259259</v>
      </c>
      <c r="N47" s="2" t="n">
        <v>2059.94</v>
      </c>
      <c r="O47" s="2" t="n">
        <v>3748.36</v>
      </c>
      <c r="P47" s="2" t="n">
        <v>166.27</v>
      </c>
      <c r="Q47" s="2" t="n">
        <v>23466.89</v>
      </c>
      <c r="R47" s="2" t="n">
        <v>1600</v>
      </c>
      <c r="S47" s="2" t="n">
        <v>21728.60185185185</v>
      </c>
      <c r="T47" s="2" t="n">
        <v>8464.41</v>
      </c>
      <c r="U47" s="2" t="n">
        <v>14534.39</v>
      </c>
      <c r="V47" s="2" t="n">
        <v>468.09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4603.58</v>
      </c>
      <c r="AP47" s="2" t="n">
        <v>336.7433518518519</v>
      </c>
      <c r="AQ47" s="2" t="n">
        <v>4262.574074074074</v>
      </c>
      <c r="AR47" s="2" t="n">
        <v>2067.93</v>
      </c>
      <c r="AS47" s="2" t="n">
        <v>2341.16</v>
      </c>
      <c r="AT47" s="2" t="n">
        <v>194.49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34045.04</v>
      </c>
      <c r="BB47" s="2" t="n">
        <v>21452.76</v>
      </c>
      <c r="BC47" s="2">
        <f>F47+L47+R47+X47+AD47+AJ47+AP47+AV47+IF(BE47="",0,BE47)</f>
        <v/>
      </c>
      <c r="BD47" s="2" t="n">
        <v>330.372504</v>
      </c>
      <c r="BE47" s="2" t="n"/>
      <c r="BF47" s="2" t="n">
        <v>31523.18518518518</v>
      </c>
      <c r="BG47" s="2" t="n">
        <v>573.92</v>
      </c>
      <c r="BH47" s="2" t="n">
        <v>115.2</v>
      </c>
      <c r="BI47" s="2" t="n">
        <v>27068.34</v>
      </c>
      <c r="BJ47" s="2" t="n">
        <v>77.88605042016808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289.61226</v>
      </c>
      <c r="BQ47" s="2" t="n">
        <v>0</v>
      </c>
      <c r="BR47" s="2" t="n">
        <v>28149.95831042017</v>
      </c>
      <c r="BS47" s="2" t="n">
        <v>944.4497478991597</v>
      </c>
      <c r="BT47" s="2" t="n">
        <v>0</v>
      </c>
      <c r="BU47" s="2" t="n">
        <v>5760.959159663866</v>
      </c>
      <c r="BV47" s="2" t="n">
        <v>6705.408907563025</v>
      </c>
      <c r="BW47" s="2" t="n">
        <v>34855.36721798319</v>
      </c>
      <c r="BX47" s="2" t="n">
        <v>20623.91</v>
      </c>
      <c r="BY47" s="2" t="n">
        <v>828.85</v>
      </c>
      <c r="BZ47" s="2" t="n">
        <v>12592.28</v>
      </c>
      <c r="CA47" s="2" t="n">
        <v>21452.76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1214</v>
      </c>
      <c r="B48" t="inlineStr">
        <is>
          <t>Dworcowa 72A, 69-110 Rzepin</t>
        </is>
      </c>
      <c r="C48" t="inlineStr">
        <is>
          <t>Rzepin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4945.62</v>
      </c>
      <c r="L48" s="2" t="n">
        <v>411.6770722222222</v>
      </c>
      <c r="M48" s="2" t="n">
        <v>4579.277777777777</v>
      </c>
      <c r="N48" s="2" t="n">
        <v>1486.43</v>
      </c>
      <c r="O48" s="2" t="n">
        <v>3432.19</v>
      </c>
      <c r="P48" s="2" t="n">
        <v>27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4945.62</v>
      </c>
      <c r="BB48" s="2" t="n">
        <v>3459.19</v>
      </c>
      <c r="BC48" s="2">
        <f>F48+L48+R48+X48+AD48+AJ48+AP48+AV48+IF(BE48="",0,BE48)</f>
        <v/>
      </c>
      <c r="BD48" s="2" t="n">
        <v>53.271526</v>
      </c>
      <c r="BE48" s="2" t="n"/>
      <c r="BF48" s="2" t="n">
        <v>4579.277777777777</v>
      </c>
      <c r="BG48" s="2" t="n">
        <v>430.45</v>
      </c>
      <c r="BH48" s="2" t="n">
        <v>0</v>
      </c>
      <c r="BI48" s="2" t="n">
        <v>32273.79</v>
      </c>
      <c r="BJ48" s="2" t="n">
        <v>77.88605042016808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46.699065</v>
      </c>
      <c r="BQ48" s="2" t="n">
        <v>0</v>
      </c>
      <c r="BR48" s="2" t="n">
        <v>32853.82511542017</v>
      </c>
      <c r="BS48" s="2" t="n">
        <v>944.4497478991597</v>
      </c>
      <c r="BT48" s="2" t="n">
        <v>0</v>
      </c>
      <c r="BU48" s="2" t="n">
        <v>6750.315159663867</v>
      </c>
      <c r="BV48" s="2" t="n">
        <v>7694.764907563027</v>
      </c>
      <c r="BW48" s="2" t="n">
        <v>40548.5900229832</v>
      </c>
      <c r="BX48" s="2" t="n">
        <v>3432.19</v>
      </c>
      <c r="BY48" s="2" t="n">
        <v>27</v>
      </c>
      <c r="BZ48" s="2" t="n">
        <v>1486.43</v>
      </c>
      <c r="CA48" s="2" t="n">
        <v>3459.19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1217</v>
      </c>
      <c r="B49" t="inlineStr">
        <is>
          <t>pl. Marii i Lecha Kaczyńskiego 2, 40-098 Katowice</t>
        </is>
      </c>
      <c r="C49" t="inlineStr">
        <is>
          <t>Katowice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15154.99</v>
      </c>
      <c r="L49" s="2" t="n">
        <v>1261.512593518519</v>
      </c>
      <c r="M49" s="2" t="n">
        <v>14032.39814814815</v>
      </c>
      <c r="N49" s="2" t="n">
        <v>3313.4</v>
      </c>
      <c r="O49" s="2" t="n">
        <v>11330.5</v>
      </c>
      <c r="P49" s="2" t="n">
        <v>511.09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10597.88</v>
      </c>
      <c r="AP49" s="2" t="n">
        <v>775.2152962962962</v>
      </c>
      <c r="AQ49" s="2" t="n">
        <v>9812.85185185185</v>
      </c>
      <c r="AR49" s="2" t="n">
        <v>1598.37</v>
      </c>
      <c r="AS49" s="2" t="n">
        <v>8748.450000000001</v>
      </c>
      <c r="AT49" s="2" t="n">
        <v>251.06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25752.87</v>
      </c>
      <c r="BB49" s="2" t="n">
        <v>20841.1</v>
      </c>
      <c r="BC49" s="2">
        <f>F49+L49+R49+X49+AD49+AJ49+AP49+AV49+IF(BE49="",0,BE49)</f>
        <v/>
      </c>
      <c r="BD49" s="2" t="n">
        <v>320.95294</v>
      </c>
      <c r="BE49" s="2" t="n"/>
      <c r="BF49" s="2" t="n">
        <v>23845.25</v>
      </c>
      <c r="BG49" s="2" t="n">
        <v>775</v>
      </c>
      <c r="BH49" s="2" t="n">
        <v>540</v>
      </c>
      <c r="BI49" s="2" t="n">
        <v>16657.44</v>
      </c>
      <c r="BJ49" s="2" t="n">
        <v>77.88605042016808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281.35485</v>
      </c>
      <c r="BQ49" s="2" t="n">
        <v>0</v>
      </c>
      <c r="BR49" s="2" t="n">
        <v>18356.68090042017</v>
      </c>
      <c r="BS49" s="2" t="n">
        <v>944.4497478991597</v>
      </c>
      <c r="BT49" s="2" t="n">
        <v>0</v>
      </c>
      <c r="BU49" s="2" t="n">
        <v>3803.955159663865</v>
      </c>
      <c r="BV49" s="2" t="n">
        <v>4748.404907563025</v>
      </c>
      <c r="BW49" s="2" t="n">
        <v>23105.08580798319</v>
      </c>
      <c r="BX49" s="2" t="n">
        <v>20078.95</v>
      </c>
      <c r="BY49" s="2" t="n">
        <v>762.15</v>
      </c>
      <c r="BZ49" s="2" t="n">
        <v>4911.77</v>
      </c>
      <c r="CA49" s="2" t="n">
        <v>20841.1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1219</v>
      </c>
      <c r="B50" t="inlineStr">
        <is>
          <t>Armii Krajowej 3, 75-200 Koszalin</t>
        </is>
      </c>
      <c r="C50" t="inlineStr">
        <is>
          <t>Koszalin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3598.309999999999</v>
      </c>
      <c r="L50" s="2" t="n">
        <v>299.5259898148147</v>
      </c>
      <c r="M50" s="2" t="n">
        <v>3331.768518518518</v>
      </c>
      <c r="N50" s="2" t="n">
        <v>790.7</v>
      </c>
      <c r="O50" s="2" t="n">
        <v>2614.41</v>
      </c>
      <c r="P50" s="2" t="n">
        <v>193.2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5597.73</v>
      </c>
      <c r="AP50" s="2" t="n">
        <v>409.4635833333333</v>
      </c>
      <c r="AQ50" s="2" t="n">
        <v>5183.083333333333</v>
      </c>
      <c r="AR50" s="2" t="n">
        <v>1293.05</v>
      </c>
      <c r="AS50" s="2" t="n">
        <v>3988.76</v>
      </c>
      <c r="AT50" s="2" t="n">
        <v>315.92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9196.040000000001</v>
      </c>
      <c r="BB50" s="2" t="n">
        <v>7112.29</v>
      </c>
      <c r="BC50" s="2">
        <f>F50+L50+R50+X50+AD50+AJ50+AP50+AV50+IF(BE50="",0,BE50)</f>
        <v/>
      </c>
      <c r="BD50" s="2" t="n">
        <v>109.529266</v>
      </c>
      <c r="BE50" s="2" t="n"/>
      <c r="BF50" s="2" t="n">
        <v>8514.85185185185</v>
      </c>
      <c r="BG50" s="2" t="n">
        <v>0</v>
      </c>
      <c r="BH50" s="2" t="n">
        <v>0</v>
      </c>
      <c r="BI50" s="2" t="n">
        <v>32273.79</v>
      </c>
      <c r="BJ50" s="2" t="n">
        <v>77.88605042016808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96.01591499999999</v>
      </c>
      <c r="BQ50" s="2" t="n">
        <v>0</v>
      </c>
      <c r="BR50" s="2" t="n">
        <v>32472.69196542017</v>
      </c>
      <c r="BS50" s="2" t="n">
        <v>944.4497478991597</v>
      </c>
      <c r="BT50" s="2" t="n">
        <v>0</v>
      </c>
      <c r="BU50" s="2" t="n">
        <v>6664.225159663866</v>
      </c>
      <c r="BV50" s="2" t="n">
        <v>7608.674907563026</v>
      </c>
      <c r="BW50" s="2" t="n">
        <v>40081.3668729832</v>
      </c>
      <c r="BX50" s="2" t="n">
        <v>6603.17</v>
      </c>
      <c r="BY50" s="2" t="n">
        <v>509.12</v>
      </c>
      <c r="BZ50" s="2" t="n">
        <v>2083.75</v>
      </c>
      <c r="CA50" s="2" t="n">
        <v>7112.29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1220</v>
      </c>
      <c r="B51" t="inlineStr">
        <is>
          <t>Kotłątaja 32, 76-200 Słupsk</t>
        </is>
      </c>
      <c r="C51" t="inlineStr">
        <is>
          <t>Słupsk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3347.16</v>
      </c>
      <c r="L51" s="2" t="n">
        <v>278.6200777777777</v>
      </c>
      <c r="M51" s="2" t="n">
        <v>3099.222222222222</v>
      </c>
      <c r="N51" s="2" t="n">
        <v>1572.84</v>
      </c>
      <c r="O51" s="2" t="n">
        <v>1556.07</v>
      </c>
      <c r="P51" s="2" t="n">
        <v>218.25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5645.98</v>
      </c>
      <c r="AP51" s="2" t="n">
        <v>4144</v>
      </c>
      <c r="AQ51" s="2" t="n">
        <v>5227.759259259258</v>
      </c>
      <c r="AR51" s="2" t="n">
        <v>3289.69</v>
      </c>
      <c r="AS51" s="2" t="n">
        <v>1933.13</v>
      </c>
      <c r="AT51" s="2" t="n">
        <v>423.16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8993.139999999999</v>
      </c>
      <c r="BB51" s="2" t="n">
        <v>4130.61</v>
      </c>
      <c r="BC51" s="2">
        <f>F51+L51+R51+X51+AD51+AJ51+AP51+AV51+IF(BE51="",0,BE51)</f>
        <v/>
      </c>
      <c r="BD51" s="2" t="n">
        <v>63.611394</v>
      </c>
      <c r="BE51" s="2" t="n"/>
      <c r="BF51" s="2" t="n">
        <v>8326.98148148148</v>
      </c>
      <c r="BG51" s="2" t="n">
        <v>0</v>
      </c>
      <c r="BH51" s="2" t="n">
        <v>0</v>
      </c>
      <c r="BI51" s="2" t="n">
        <v>32273.79</v>
      </c>
      <c r="BJ51" s="2" t="n">
        <v>77.88605042016808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55.76323499999999</v>
      </c>
      <c r="BQ51" s="2" t="n">
        <v>0</v>
      </c>
      <c r="BR51" s="2" t="n">
        <v>32432.43928542017</v>
      </c>
      <c r="BS51" s="2" t="n">
        <v>944.4497478991597</v>
      </c>
      <c r="BT51" s="2" t="n">
        <v>0</v>
      </c>
      <c r="BU51" s="2" t="n">
        <v>6664.225159663866</v>
      </c>
      <c r="BV51" s="2" t="n">
        <v>7608.674907563026</v>
      </c>
      <c r="BW51" s="2" t="n">
        <v>40041.11419298319</v>
      </c>
      <c r="BX51" s="2" t="n">
        <v>3489.2</v>
      </c>
      <c r="BY51" s="2" t="n">
        <v>641.4100000000001</v>
      </c>
      <c r="BZ51" s="2" t="n">
        <v>4862.53</v>
      </c>
      <c r="CA51" s="2" t="n">
        <v>4130.61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1221</v>
      </c>
      <c r="B52" t="inlineStr">
        <is>
          <t>Dworcowa 2, 58-100 Świdnica</t>
        </is>
      </c>
      <c r="C52" t="inlineStr">
        <is>
          <t>Świdnica</t>
        </is>
      </c>
      <c r="D52" t="inlineStr">
        <is>
          <t>ST|40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30925.69</v>
      </c>
      <c r="R52" s="2" t="n">
        <v>1600</v>
      </c>
      <c r="S52" s="2" t="n">
        <v>28634.89814814815</v>
      </c>
      <c r="T52" s="2" t="n">
        <v>8847.52</v>
      </c>
      <c r="U52" s="2" t="n">
        <v>21152.59</v>
      </c>
      <c r="V52" s="2" t="n">
        <v>925.58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30925.69</v>
      </c>
      <c r="BB52" s="2" t="n">
        <v>22078.17</v>
      </c>
      <c r="BC52" s="2">
        <f>F52+L52+R52+X52+AD52+AJ52+AP52+AV52+IF(BE52="",0,BE52)</f>
        <v/>
      </c>
      <c r="BD52" s="2" t="n">
        <v>340.003818</v>
      </c>
      <c r="BE52" s="2" t="n"/>
      <c r="BF52" s="2" t="n">
        <v>28634.89814814815</v>
      </c>
      <c r="BG52" s="2" t="n">
        <v>200</v>
      </c>
      <c r="BH52" s="2" t="n">
        <v>0</v>
      </c>
      <c r="BI52" s="2" t="n">
        <v>22903.98</v>
      </c>
      <c r="BJ52" s="2" t="n">
        <v>77.88605042016808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298.055295</v>
      </c>
      <c r="BQ52" s="2" t="n">
        <v>0</v>
      </c>
      <c r="BR52" s="2" t="n">
        <v>23504.92134542017</v>
      </c>
      <c r="BS52" s="2" t="n">
        <v>944.4497478991597</v>
      </c>
      <c r="BT52" s="2" t="n">
        <v>0</v>
      </c>
      <c r="BU52" s="2" t="n">
        <v>4830.263159663866</v>
      </c>
      <c r="BV52" s="2" t="n">
        <v>5774.712907563026</v>
      </c>
      <c r="BW52" s="2" t="n">
        <v>29279.63425298319</v>
      </c>
      <c r="BX52" s="2" t="n">
        <v>21152.59</v>
      </c>
      <c r="BY52" s="2" t="n">
        <v>925.58</v>
      </c>
      <c r="BZ52" s="2" t="n">
        <v>8847.52</v>
      </c>
      <c r="CA52" s="2" t="n">
        <v>22078.17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1222</v>
      </c>
      <c r="B53" t="inlineStr">
        <is>
          <t>Dworcowa 33, 83-400 Kościerzyna</t>
        </is>
      </c>
      <c r="C53" t="inlineStr">
        <is>
          <t>Kościerzyna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758.88</v>
      </c>
      <c r="AP53" s="2" t="n">
        <v>4050</v>
      </c>
      <c r="AQ53" s="2" t="n">
        <v>702.6666666666666</v>
      </c>
      <c r="AR53" s="2" t="n">
        <v>0</v>
      </c>
      <c r="AS53" s="2" t="n">
        <v>707.88</v>
      </c>
      <c r="AT53" s="2" t="n">
        <v>51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758.88</v>
      </c>
      <c r="BB53" s="2" t="n">
        <v>758.88</v>
      </c>
      <c r="BC53" s="2">
        <f>F53+L53+R53+X53+AD53+AJ53+AP53+AV53+IF(BE53="",0,BE53)</f>
        <v/>
      </c>
      <c r="BD53" s="2" t="n">
        <v>11.686752</v>
      </c>
      <c r="BE53" s="2" t="n"/>
      <c r="BF53" s="2" t="n">
        <v>702.6666666666666</v>
      </c>
      <c r="BG53" s="2" t="n">
        <v>1380</v>
      </c>
      <c r="BH53" s="2" t="n">
        <v>0</v>
      </c>
      <c r="BI53" s="2" t="n">
        <v>32273.79</v>
      </c>
      <c r="BJ53" s="2" t="n">
        <v>77.88605042016808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10.24488</v>
      </c>
      <c r="BQ53" s="2" t="n">
        <v>0</v>
      </c>
      <c r="BR53" s="2" t="n">
        <v>33766.92093042016</v>
      </c>
      <c r="BS53" s="2" t="n">
        <v>944.4497478991597</v>
      </c>
      <c r="BT53" s="2" t="n">
        <v>0</v>
      </c>
      <c r="BU53" s="2" t="n">
        <v>6940.225159663866</v>
      </c>
      <c r="BV53" s="2" t="n">
        <v>7884.674907563026</v>
      </c>
      <c r="BW53" s="2" t="n">
        <v>41651.59583798319</v>
      </c>
      <c r="BX53" s="2" t="n">
        <v>707.88</v>
      </c>
      <c r="BY53" s="2" t="n">
        <v>51</v>
      </c>
      <c r="BZ53" s="2" t="n">
        <v>0</v>
      </c>
      <c r="CA53" s="2" t="n">
        <v>758.88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1223</v>
      </c>
      <c r="B54" t="inlineStr">
        <is>
          <t>Dworcowa 17, 82-200 Malbork</t>
        </is>
      </c>
      <c r="C54" t="inlineStr">
        <is>
          <t>Malbork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10476.49</v>
      </c>
      <c r="L54" s="2" t="n">
        <v>872.070787962963</v>
      </c>
      <c r="M54" s="2" t="n">
        <v>9700.453703703703</v>
      </c>
      <c r="N54" s="2" t="n">
        <v>1180.27</v>
      </c>
      <c r="O54" s="2" t="n">
        <v>9024.49</v>
      </c>
      <c r="P54" s="2" t="n">
        <v>271.73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18604.21</v>
      </c>
      <c r="AP54" s="2" t="n">
        <v>1360.863509259259</v>
      </c>
      <c r="AQ54" s="2" t="n">
        <v>17226.12037037037</v>
      </c>
      <c r="AR54" s="2" t="n">
        <v>6620.99</v>
      </c>
      <c r="AS54" s="2" t="n">
        <v>10989.57</v>
      </c>
      <c r="AT54" s="2" t="n">
        <v>993.65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29080.7</v>
      </c>
      <c r="BB54" s="2" t="n">
        <v>21279.44</v>
      </c>
      <c r="BC54" s="2">
        <f>F54+L54+R54+X54+AD54+AJ54+AP54+AV54+IF(BE54="",0,BE54)</f>
        <v/>
      </c>
      <c r="BD54" s="2" t="n">
        <v>327.703376</v>
      </c>
      <c r="BE54" s="2" t="n"/>
      <c r="BF54" s="2" t="n">
        <v>26926.57407407407</v>
      </c>
      <c r="BG54" s="2" t="n">
        <v>1380</v>
      </c>
      <c r="BH54" s="2" t="n">
        <v>107</v>
      </c>
      <c r="BI54" s="2" t="n">
        <v>32273.79</v>
      </c>
      <c r="BJ54" s="2" t="n">
        <v>77.88605042016808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287.27244</v>
      </c>
      <c r="BQ54" s="2" t="n">
        <v>0</v>
      </c>
      <c r="BR54" s="2" t="n">
        <v>34150.94849042017</v>
      </c>
      <c r="BS54" s="2" t="n">
        <v>944.4497478991597</v>
      </c>
      <c r="BT54" s="2" t="n">
        <v>0</v>
      </c>
      <c r="BU54" s="2" t="n">
        <v>6961.625159663866</v>
      </c>
      <c r="BV54" s="2" t="n">
        <v>7906.074907563026</v>
      </c>
      <c r="BW54" s="2" t="n">
        <v>42057.02339798319</v>
      </c>
      <c r="BX54" s="2" t="n">
        <v>20014.06</v>
      </c>
      <c r="BY54" s="2" t="n">
        <v>1265.38</v>
      </c>
      <c r="BZ54" s="2" t="n">
        <v>7801.26</v>
      </c>
      <c r="CA54" s="2" t="n">
        <v>21279.44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1224</v>
      </c>
      <c r="B55" t="inlineStr">
        <is>
          <t>Kuznica</t>
        </is>
      </c>
      <c r="C55" t="inlineStr">
        <is>
          <t>Kuźnica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1217.53</v>
      </c>
      <c r="AP55" s="2" t="n">
        <v>4052</v>
      </c>
      <c r="AQ55" s="2" t="n">
        <v>1127.342592592592</v>
      </c>
      <c r="AR55" s="2" t="n">
        <v>0</v>
      </c>
      <c r="AS55" s="2" t="n">
        <v>1111.23</v>
      </c>
      <c r="AT55" s="2" t="n">
        <v>106.3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1217.53</v>
      </c>
      <c r="BB55" s="2" t="n">
        <v>1217.53</v>
      </c>
      <c r="BC55" s="2">
        <f>F55+L55+R55+X55+AD55+AJ55+AP55+AV55+IF(BE55="",0,BE55)</f>
        <v/>
      </c>
      <c r="BD55" s="2" t="n">
        <v>18.749962</v>
      </c>
      <c r="BE55" s="2" t="n"/>
      <c r="BF55" s="2" t="n">
        <v>1127.342592592592</v>
      </c>
      <c r="BG55" s="2" t="n">
        <v>456.34</v>
      </c>
      <c r="BH55" s="2" t="n">
        <v>123</v>
      </c>
      <c r="BI55" s="2" t="n">
        <v>32273.79</v>
      </c>
      <c r="BJ55" s="2" t="n">
        <v>77.88605042016808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16.436655</v>
      </c>
      <c r="BQ55" s="2" t="n">
        <v>0</v>
      </c>
      <c r="BR55" s="2" t="n">
        <v>32972.45270542016</v>
      </c>
      <c r="BS55" s="2" t="n">
        <v>944.4497478991597</v>
      </c>
      <c r="BT55" s="2" t="n">
        <v>0</v>
      </c>
      <c r="BU55" s="2" t="n">
        <v>6780.093159663867</v>
      </c>
      <c r="BV55" s="2" t="n">
        <v>7724.542907563026</v>
      </c>
      <c r="BW55" s="2" t="n">
        <v>40696.99561298318</v>
      </c>
      <c r="BX55" s="2" t="n">
        <v>1111.23</v>
      </c>
      <c r="BY55" s="2" t="n">
        <v>106.3</v>
      </c>
      <c r="BZ55" s="2" t="n">
        <v>0</v>
      </c>
      <c r="CA55" s="2" t="n">
        <v>1217.53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1225</v>
      </c>
      <c r="B56" t="inlineStr">
        <is>
          <t>Plac Legionów 2, 37-700 Przemyśl</t>
        </is>
      </c>
      <c r="C56" t="inlineStr">
        <is>
          <t>Przemyśl</t>
        </is>
      </c>
      <c r="D56" t="inlineStr">
        <is>
          <t>FAA2000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20481.82</v>
      </c>
      <c r="L56" s="2" t="n">
        <v>1704.921868518519</v>
      </c>
      <c r="M56" s="2" t="n">
        <v>18964.64814814815</v>
      </c>
      <c r="N56" s="2" t="n">
        <v>1233.32</v>
      </c>
      <c r="O56" s="2" t="n">
        <v>19102.5</v>
      </c>
      <c r="P56" s="2" t="n">
        <v>146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6753.77</v>
      </c>
      <c r="AP56" s="2" t="n">
        <v>494.0257685185185</v>
      </c>
      <c r="AQ56" s="2" t="n">
        <v>6253.490740740741</v>
      </c>
      <c r="AR56" s="2" t="n">
        <v>1323.55</v>
      </c>
      <c r="AS56" s="2" t="n">
        <v>5377.68</v>
      </c>
      <c r="AT56" s="2" t="n">
        <v>52.54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27235.59</v>
      </c>
      <c r="BB56" s="2" t="n">
        <v>24678.72</v>
      </c>
      <c r="BC56" s="2">
        <f>F56+L56+R56+X56+AD56+AJ56+AP56+AV56+IF(BE56="",0,BE56)</f>
        <v/>
      </c>
      <c r="BD56" s="2" t="n">
        <v>380.052288</v>
      </c>
      <c r="BE56" s="2" t="n"/>
      <c r="BF56" s="2" t="n">
        <v>25218.13888888889</v>
      </c>
      <c r="BG56" s="2" t="n">
        <v>456.34</v>
      </c>
      <c r="BH56" s="2" t="n">
        <v>129</v>
      </c>
      <c r="BI56" s="2" t="n">
        <v>32273.79</v>
      </c>
      <c r="BJ56" s="2" t="n">
        <v>77.88605042016808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333.16272</v>
      </c>
      <c r="BQ56" s="2" t="n">
        <v>0</v>
      </c>
      <c r="BR56" s="2" t="n">
        <v>33295.17877042016</v>
      </c>
      <c r="BS56" s="2" t="n">
        <v>944.4497478991597</v>
      </c>
      <c r="BT56" s="2" t="n">
        <v>0</v>
      </c>
      <c r="BU56" s="2" t="n">
        <v>6781.293159663866</v>
      </c>
      <c r="BV56" s="2" t="n">
        <v>7725.742907563026</v>
      </c>
      <c r="BW56" s="2" t="n">
        <v>41020.92167798319</v>
      </c>
      <c r="BX56" s="2" t="n">
        <v>24480.18</v>
      </c>
      <c r="BY56" s="2" t="n">
        <v>198.54</v>
      </c>
      <c r="BZ56" s="2" t="n">
        <v>2556.87</v>
      </c>
      <c r="CA56" s="2" t="n">
        <v>24678.72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1226</v>
      </c>
      <c r="B57" t="inlineStr">
        <is>
          <t>Plac Dworcowy 3, 33-100 Tarnów</t>
        </is>
      </c>
      <c r="C57" t="inlineStr">
        <is>
          <t>Tarnów</t>
        </is>
      </c>
      <c r="D57" t="inlineStr">
        <is>
          <t>FAA2000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6538</v>
      </c>
      <c r="L57" s="2" t="n">
        <v>544.227962962963</v>
      </c>
      <c r="M57" s="2" t="n">
        <v>6053.703703703703</v>
      </c>
      <c r="N57" s="2" t="n">
        <v>1018.01</v>
      </c>
      <c r="O57" s="2" t="n">
        <v>5275.23</v>
      </c>
      <c r="P57" s="2" t="n">
        <v>244.76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8191.88</v>
      </c>
      <c r="AP57" s="2" t="n">
        <v>599.2208518518519</v>
      </c>
      <c r="AQ57" s="2" t="n">
        <v>7585.074074074074</v>
      </c>
      <c r="AR57" s="2" t="n">
        <v>1860.59</v>
      </c>
      <c r="AS57" s="2" t="n">
        <v>6174.31</v>
      </c>
      <c r="AT57" s="2" t="n">
        <v>156.98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14729.88</v>
      </c>
      <c r="BB57" s="2" t="n">
        <v>11851.28</v>
      </c>
      <c r="BC57" s="2">
        <f>F57+L57+R57+X57+AD57+AJ57+AP57+AV57+IF(BE57="",0,BE57)</f>
        <v/>
      </c>
      <c r="BD57" s="2" t="n">
        <v>182.509712</v>
      </c>
      <c r="BE57" s="2" t="n"/>
      <c r="BF57" s="2" t="n">
        <v>13638.77777777778</v>
      </c>
      <c r="BG57" s="2" t="n">
        <v>456.34</v>
      </c>
      <c r="BH57" s="2" t="n">
        <v>131</v>
      </c>
      <c r="BI57" s="2" t="n">
        <v>32273.79</v>
      </c>
      <c r="BJ57" s="2" t="n">
        <v>77.88605042016808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159.99228</v>
      </c>
      <c r="BQ57" s="2" t="n">
        <v>0</v>
      </c>
      <c r="BR57" s="2" t="n">
        <v>33124.00833042016</v>
      </c>
      <c r="BS57" s="2" t="n">
        <v>944.4497478991597</v>
      </c>
      <c r="BT57" s="2" t="n">
        <v>0</v>
      </c>
      <c r="BU57" s="2" t="n">
        <v>6781.693159663867</v>
      </c>
      <c r="BV57" s="2" t="n">
        <v>7726.142907563027</v>
      </c>
      <c r="BW57" s="2" t="n">
        <v>40850.15123798319</v>
      </c>
      <c r="BX57" s="2" t="n">
        <v>11449.54</v>
      </c>
      <c r="BY57" s="2" t="n">
        <v>401.74</v>
      </c>
      <c r="BZ57" s="2" t="n">
        <v>2878.6</v>
      </c>
      <c r="CA57" s="2" t="n">
        <v>11851.28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1227</v>
      </c>
      <c r="B58" t="inlineStr">
        <is>
          <t>Bochnia</t>
        </is>
      </c>
      <c r="C58" t="inlineStr"/>
      <c r="D58" t="inlineStr"/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1768.21</v>
      </c>
      <c r="L58" s="2" t="n">
        <v>147.1871101851852</v>
      </c>
      <c r="M58" s="2" t="n">
        <v>1637.231481481482</v>
      </c>
      <c r="N58" s="2" t="n">
        <v>367.36</v>
      </c>
      <c r="O58" s="2" t="n">
        <v>1317.88</v>
      </c>
      <c r="P58" s="2" t="n">
        <v>82.97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1931.01</v>
      </c>
      <c r="X58" s="2" t="n">
        <v>350</v>
      </c>
      <c r="Y58" s="2" t="n">
        <v>1787.972222222222</v>
      </c>
      <c r="Z58" s="2" t="n">
        <v>394.61</v>
      </c>
      <c r="AA58" s="2" t="n">
        <v>1477.69</v>
      </c>
      <c r="AB58" s="2" t="n">
        <v>58.71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1285.84</v>
      </c>
      <c r="AP58" s="2" t="n">
        <v>94.0568148148148</v>
      </c>
      <c r="AQ58" s="2" t="n">
        <v>1190.592592592592</v>
      </c>
      <c r="AR58" s="2" t="n">
        <v>138.7</v>
      </c>
      <c r="AS58" s="2" t="n">
        <v>1110.58</v>
      </c>
      <c r="AT58" s="2" t="n">
        <v>36.56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4985.06</v>
      </c>
      <c r="BB58" s="2" t="n">
        <v>4084.39</v>
      </c>
      <c r="BC58" s="2">
        <f>F58+L58+R58+X58+AD58+AJ58+AP58+AV58+IF(BE58="",0,BE58)</f>
        <v/>
      </c>
      <c r="BD58" s="2" t="n">
        <v>59.980446</v>
      </c>
      <c r="BE58" s="2" t="n"/>
      <c r="BF58" s="2" t="n">
        <v>4615.796296296297</v>
      </c>
      <c r="BG58" s="2" t="n">
        <v>456.34</v>
      </c>
      <c r="BH58" s="2" t="n">
        <v>182.09</v>
      </c>
      <c r="BI58" s="2" t="n">
        <v>32273.79</v>
      </c>
      <c r="BJ58" s="2" t="n">
        <v>77.88605042016808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55.13926500000001</v>
      </c>
      <c r="BQ58" s="2" t="n">
        <v>0</v>
      </c>
      <c r="BR58" s="2" t="n">
        <v>33070.24531542016</v>
      </c>
      <c r="BS58" s="2" t="n">
        <v>944.4497478991597</v>
      </c>
      <c r="BT58" s="2" t="n">
        <v>0</v>
      </c>
      <c r="BU58" s="2" t="n">
        <v>6791.911159663866</v>
      </c>
      <c r="BV58" s="2" t="n">
        <v>7736.360907563026</v>
      </c>
      <c r="BW58" s="2" t="n">
        <v>40806.60622298319</v>
      </c>
      <c r="BX58" s="2" t="n">
        <v>3906.15</v>
      </c>
      <c r="BY58" s="2" t="n">
        <v>178.24</v>
      </c>
      <c r="BZ58" s="2" t="n">
        <v>900.6700000000001</v>
      </c>
      <c r="CA58" s="2" t="n">
        <v>4084.39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1230</v>
      </c>
      <c r="B59" t="inlineStr">
        <is>
          <t>Bohaterów Getta Warszawskiego 12, 44-100 Gliwice</t>
        </is>
      </c>
      <c r="C59" t="inlineStr">
        <is>
          <t>Gliwice</t>
        </is>
      </c>
      <c r="D59" t="inlineStr">
        <is>
          <t>ST|40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7969.75</v>
      </c>
      <c r="L59" s="2" t="n">
        <v>663.4078935185186</v>
      </c>
      <c r="M59" s="2" t="n">
        <v>7379.398148148148</v>
      </c>
      <c r="N59" s="2" t="n">
        <v>1907.58</v>
      </c>
      <c r="O59" s="2" t="n">
        <v>5639.21</v>
      </c>
      <c r="P59" s="2" t="n">
        <v>422.96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7969.75</v>
      </c>
      <c r="BB59" s="2" t="n">
        <v>6062.17</v>
      </c>
      <c r="BC59" s="2">
        <f>F59+L59+R59+X59+AD59+AJ59+AP59+AV59+IF(BE59="",0,BE59)</f>
        <v/>
      </c>
      <c r="BD59" s="2" t="n">
        <v>93.35741800000001</v>
      </c>
      <c r="BE59" s="2" t="n"/>
      <c r="BF59" s="2" t="n">
        <v>7379.398148148148</v>
      </c>
      <c r="BG59" s="2" t="n">
        <v>500</v>
      </c>
      <c r="BH59" s="2" t="n">
        <v>109.6</v>
      </c>
      <c r="BI59" s="2" t="n">
        <v>32273.79</v>
      </c>
      <c r="BJ59" s="2" t="n">
        <v>77.88605042016808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81.83929500000001</v>
      </c>
      <c r="BQ59" s="2" t="n">
        <v>0</v>
      </c>
      <c r="BR59" s="2" t="n">
        <v>33068.11534542016</v>
      </c>
      <c r="BS59" s="2" t="n">
        <v>944.4497478991597</v>
      </c>
      <c r="BT59" s="2" t="n">
        <v>0</v>
      </c>
      <c r="BU59" s="2" t="n">
        <v>6786.145159663867</v>
      </c>
      <c r="BV59" s="2" t="n">
        <v>7730.594907563027</v>
      </c>
      <c r="BW59" s="2" t="n">
        <v>40798.71025298319</v>
      </c>
      <c r="BX59" s="2" t="n">
        <v>5639.21</v>
      </c>
      <c r="BY59" s="2" t="n">
        <v>422.96</v>
      </c>
      <c r="BZ59" s="2" t="n">
        <v>1907.58</v>
      </c>
      <c r="CA59" s="2" t="n">
        <v>6062.17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1232</v>
      </c>
      <c r="B60" t="inlineStr">
        <is>
          <t>Bielsko Biala</t>
        </is>
      </c>
      <c r="C60" t="inlineStr">
        <is>
          <t>Oława Zachodnia</t>
        </is>
      </c>
      <c r="D60" t="inlineStr">
        <is>
          <t>ST|40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4664.04</v>
      </c>
      <c r="L60" s="2" t="n">
        <v>388.2381444444445</v>
      </c>
      <c r="M60" s="2" t="n">
        <v>4318.555555555556</v>
      </c>
      <c r="N60" s="2" t="n">
        <v>1762.66</v>
      </c>
      <c r="O60" s="2" t="n">
        <v>2604.38</v>
      </c>
      <c r="P60" s="2" t="n">
        <v>297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4664.04</v>
      </c>
      <c r="BB60" s="2" t="n">
        <v>2901.38</v>
      </c>
      <c r="BC60" s="2">
        <f>F60+L60+R60+X60+AD60+AJ60+AP60+AV60+IF(BE60="",0,BE60)</f>
        <v/>
      </c>
      <c r="BD60" s="2" t="n">
        <v>44.681252</v>
      </c>
      <c r="BE60" s="2" t="n"/>
      <c r="BF60" s="2" t="n">
        <v>4318.555555555556</v>
      </c>
      <c r="BG60" s="2" t="n">
        <v>596.39</v>
      </c>
      <c r="BH60" s="2" t="n">
        <v>27.6</v>
      </c>
      <c r="BI60" s="2" t="n">
        <v>32273.79</v>
      </c>
      <c r="BJ60" s="2" t="n">
        <v>77.88605042016808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39.16863</v>
      </c>
      <c r="BQ60" s="2" t="n">
        <v>0</v>
      </c>
      <c r="BR60" s="2" t="n">
        <v>33039.83468042016</v>
      </c>
      <c r="BS60" s="2" t="n">
        <v>944.4497478991597</v>
      </c>
      <c r="BT60" s="2" t="n">
        <v>0</v>
      </c>
      <c r="BU60" s="2" t="n">
        <v>6789.023159663867</v>
      </c>
      <c r="BV60" s="2" t="n">
        <v>7733.472907563027</v>
      </c>
      <c r="BW60" s="2" t="n">
        <v>40773.30758798319</v>
      </c>
      <c r="BX60" s="2" t="n">
        <v>2604.38</v>
      </c>
      <c r="BY60" s="2" t="n">
        <v>297</v>
      </c>
      <c r="BZ60" s="2" t="n">
        <v>1762.66</v>
      </c>
      <c r="CA60" s="2" t="n">
        <v>2901.38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1234</v>
      </c>
      <c r="B61" t="inlineStr">
        <is>
          <t>Kolejowa 88, 68-100 Żagań</t>
        </is>
      </c>
      <c r="C61" t="inlineStr">
        <is>
          <t>Żagań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484.14</v>
      </c>
      <c r="L61" s="2" t="n">
        <v>40.30017222222222</v>
      </c>
      <c r="M61" s="2" t="n">
        <v>448.2777777777777</v>
      </c>
      <c r="N61" s="2" t="n">
        <v>34</v>
      </c>
      <c r="O61" s="2" t="n">
        <v>436.19</v>
      </c>
      <c r="P61" s="2" t="n">
        <v>13.95</v>
      </c>
      <c r="Q61" s="2" t="n">
        <v>4568.610000000001</v>
      </c>
      <c r="R61" s="2" t="n">
        <v>1600</v>
      </c>
      <c r="S61" s="2" t="n">
        <v>4230.194444444444</v>
      </c>
      <c r="T61" s="2" t="n">
        <v>1368.66</v>
      </c>
      <c r="U61" s="2" t="n">
        <v>2957.4</v>
      </c>
      <c r="V61" s="2" t="n">
        <v>242.55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3762.48</v>
      </c>
      <c r="AP61" s="2" t="n">
        <v>275.2184444444444</v>
      </c>
      <c r="AQ61" s="2" t="n">
        <v>3483.777777777777</v>
      </c>
      <c r="AR61" s="2" t="n">
        <v>844.92</v>
      </c>
      <c r="AS61" s="2" t="n">
        <v>2744.49</v>
      </c>
      <c r="AT61" s="2" t="n">
        <v>173.07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8815.230000000001</v>
      </c>
      <c r="BB61" s="2" t="n">
        <v>6567.65</v>
      </c>
      <c r="BC61" s="2">
        <f>F61+L61+R61+X61+AD61+AJ61+AP61+AV61+IF(BE61="",0,BE61)</f>
        <v/>
      </c>
      <c r="BD61" s="2" t="n">
        <v>101.14181</v>
      </c>
      <c r="BE61" s="2" t="n"/>
      <c r="BF61" s="2" t="n">
        <v>8162.249999999999</v>
      </c>
      <c r="BG61" s="2" t="n">
        <v>594.14</v>
      </c>
      <c r="BH61" s="2" t="n">
        <v>219</v>
      </c>
      <c r="BI61" s="2" t="n">
        <v>32273.79</v>
      </c>
      <c r="BJ61" s="2" t="n">
        <v>77.88605042016808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88.663275</v>
      </c>
      <c r="BQ61" s="2" t="n">
        <v>0</v>
      </c>
      <c r="BR61" s="2" t="n">
        <v>33278.47932542016</v>
      </c>
      <c r="BS61" s="2" t="n">
        <v>944.4497478991597</v>
      </c>
      <c r="BT61" s="2" t="n">
        <v>0</v>
      </c>
      <c r="BU61" s="2" t="n">
        <v>6826.853159663866</v>
      </c>
      <c r="BV61" s="2" t="n">
        <v>7771.302907563026</v>
      </c>
      <c r="BW61" s="2" t="n">
        <v>41049.78223298319</v>
      </c>
      <c r="BX61" s="2" t="n">
        <v>6138.08</v>
      </c>
      <c r="BY61" s="2" t="n">
        <v>429.57</v>
      </c>
      <c r="BZ61" s="2" t="n">
        <v>2247.58</v>
      </c>
      <c r="CA61" s="2" t="n">
        <v>6567.65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1235</v>
      </c>
      <c r="B62" t="inlineStr">
        <is>
          <t>Dworcowa 2, 61-801 Poznań</t>
        </is>
      </c>
      <c r="C62" t="inlineStr">
        <is>
          <t>Poznań Główny, Dworzec Zachodni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8358</v>
      </c>
      <c r="L62" s="2" t="n">
        <v>695.7261111111112</v>
      </c>
      <c r="M62" s="2" t="n">
        <v>7738.888888888889</v>
      </c>
      <c r="N62" s="2" t="n">
        <v>2072.44</v>
      </c>
      <c r="O62" s="2" t="n">
        <v>6285.56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16237.02</v>
      </c>
      <c r="AD62" s="2" t="n">
        <v>1037.365166666667</v>
      </c>
      <c r="AE62" s="2" t="n">
        <v>15034.27777777778</v>
      </c>
      <c r="AF62" s="2" t="n">
        <v>3627.65</v>
      </c>
      <c r="AG62" s="2" t="n">
        <v>12609.37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6761.12</v>
      </c>
      <c r="AP62" s="2" t="n">
        <v>494.5634074074073</v>
      </c>
      <c r="AQ62" s="2" t="n">
        <v>6260.296296296296</v>
      </c>
      <c r="AR62" s="2" t="n">
        <v>1248.74</v>
      </c>
      <c r="AS62" s="2" t="n">
        <v>5512.38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31356.14</v>
      </c>
      <c r="BB62" s="2" t="n">
        <v>24407.31</v>
      </c>
      <c r="BC62" s="2">
        <f>F62+L62+R62+X62+AD62+AJ62+AP62+AV62+IF(BE62="",0,BE62)</f>
        <v/>
      </c>
      <c r="BD62" s="2" t="n">
        <v>375.872574</v>
      </c>
      <c r="BE62" s="2" t="n"/>
      <c r="BF62" s="2" t="n">
        <v>29033.46296296296</v>
      </c>
      <c r="BG62" s="2" t="n">
        <v>458.58</v>
      </c>
      <c r="BH62" s="2" t="n">
        <v>0</v>
      </c>
      <c r="BI62" s="2" t="n">
        <v>32273.79</v>
      </c>
      <c r="BJ62" s="2" t="n">
        <v>77.88605042016808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329.498685</v>
      </c>
      <c r="BQ62" s="2" t="n">
        <v>0</v>
      </c>
      <c r="BR62" s="2" t="n">
        <v>33164.75473542017</v>
      </c>
      <c r="BS62" s="2" t="n">
        <v>944.4497478991597</v>
      </c>
      <c r="BT62" s="2" t="n">
        <v>0</v>
      </c>
      <c r="BU62" s="2" t="n">
        <v>6755.941159663867</v>
      </c>
      <c r="BV62" s="2" t="n">
        <v>7700.390907563026</v>
      </c>
      <c r="BW62" s="2" t="n">
        <v>40865.1456429832</v>
      </c>
      <c r="BX62" s="2" t="n">
        <v>24407.31</v>
      </c>
      <c r="BY62" s="2" t="n">
        <v>0</v>
      </c>
      <c r="BZ62" s="2" t="n">
        <v>6948.83</v>
      </c>
      <c r="CA62" s="2" t="n">
        <v>24407.31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1236</v>
      </c>
      <c r="B63" t="inlineStr">
        <is>
          <t>Pelplin</t>
        </is>
      </c>
      <c r="C63" t="inlineStr">
        <is>
          <t>Pelplin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1781.05</v>
      </c>
      <c r="AP63" s="2" t="n">
        <v>3900</v>
      </c>
      <c r="AQ63" s="2" t="n">
        <v>1649.12037037037</v>
      </c>
      <c r="AR63" s="2" t="n">
        <v>0</v>
      </c>
      <c r="AS63" s="2" t="n">
        <v>1572.68</v>
      </c>
      <c r="AT63" s="2" t="n">
        <v>208.37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1781.05</v>
      </c>
      <c r="BB63" s="2" t="n">
        <v>1781.05</v>
      </c>
      <c r="BC63" s="2">
        <f>F63+L63+R63+X63+AD63+AJ63+AP63+AV63+IF(BE63="",0,BE63)</f>
        <v/>
      </c>
      <c r="BD63" s="2" t="n">
        <v>27.42817000000001</v>
      </c>
      <c r="BE63" s="2" t="n"/>
      <c r="BF63" s="2" t="n">
        <v>1649.12037037037</v>
      </c>
      <c r="BG63" s="2" t="n">
        <v>458.58</v>
      </c>
      <c r="BH63" s="2" t="n">
        <v>0</v>
      </c>
      <c r="BI63" s="2" t="n">
        <v>32273.79</v>
      </c>
      <c r="BJ63" s="2" t="n">
        <v>77.88605042016808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24.044175</v>
      </c>
      <c r="BQ63" s="2" t="n">
        <v>0</v>
      </c>
      <c r="BR63" s="2" t="n">
        <v>32859.30022542017</v>
      </c>
      <c r="BS63" s="2" t="n">
        <v>944.4497478991597</v>
      </c>
      <c r="BT63" s="2" t="n">
        <v>0</v>
      </c>
      <c r="BU63" s="2" t="n">
        <v>6755.941159663867</v>
      </c>
      <c r="BV63" s="2" t="n">
        <v>7700.390907563026</v>
      </c>
      <c r="BW63" s="2" t="n">
        <v>40559.6911329832</v>
      </c>
      <c r="BX63" s="2" t="n">
        <v>1572.68</v>
      </c>
      <c r="BY63" s="2" t="n">
        <v>208.37</v>
      </c>
      <c r="BZ63" s="2" t="n">
        <v>0</v>
      </c>
      <c r="CA63" s="2" t="n">
        <v>1781.05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1237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13976.82</v>
      </c>
      <c r="L64" s="2" t="n">
        <v>1163.44085</v>
      </c>
      <c r="M64" s="2" t="n">
        <v>12941.5</v>
      </c>
      <c r="N64" s="2" t="n">
        <v>2892.4</v>
      </c>
      <c r="O64" s="2" t="n">
        <v>9427.35</v>
      </c>
      <c r="P64" s="2" t="n">
        <v>1657.07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21450.1</v>
      </c>
      <c r="AD64" s="2" t="n">
        <v>1370.423055555556</v>
      </c>
      <c r="AE64" s="2" t="n">
        <v>19861.2037037037</v>
      </c>
      <c r="AF64" s="2" t="n">
        <v>3321.9</v>
      </c>
      <c r="AG64" s="2" t="n">
        <v>17110.63</v>
      </c>
      <c r="AH64" s="2" t="n">
        <v>1017.57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7999.580000000001</v>
      </c>
      <c r="AP64" s="2" t="n">
        <v>585.1544629629631</v>
      </c>
      <c r="AQ64" s="2" t="n">
        <v>7407.018518518519</v>
      </c>
      <c r="AR64" s="2" t="n">
        <v>1328.1</v>
      </c>
      <c r="AS64" s="2" t="n">
        <v>6141.76</v>
      </c>
      <c r="AT64" s="2" t="n">
        <v>529.72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43426.5</v>
      </c>
      <c r="BB64" s="2" t="n">
        <v>35884.10000000001</v>
      </c>
      <c r="BC64" s="2">
        <f>F64+L64+R64+X64+AD64+AJ64+AP64+AV64+IF(BE64="",0,BE64)</f>
        <v/>
      </c>
      <c r="BD64" s="2" t="n">
        <v>552.6151400000001</v>
      </c>
      <c r="BE64" s="2" t="n"/>
      <c r="BF64" s="2" t="n">
        <v>40209.72222222222</v>
      </c>
      <c r="BG64" s="2" t="n">
        <v>458.58</v>
      </c>
      <c r="BH64" s="2" t="n">
        <v>0</v>
      </c>
      <c r="BI64" s="2" t="n">
        <v>28109.43</v>
      </c>
      <c r="BJ64" s="2" t="n">
        <v>77.88605042016808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484.43535</v>
      </c>
      <c r="BQ64" s="2" t="n">
        <v>0</v>
      </c>
      <c r="BR64" s="2" t="n">
        <v>29155.33140042017</v>
      </c>
      <c r="BS64" s="2" t="n">
        <v>944.4497478991597</v>
      </c>
      <c r="BT64" s="2" t="n">
        <v>0</v>
      </c>
      <c r="BU64" s="2" t="n">
        <v>5923.069159663866</v>
      </c>
      <c r="BV64" s="2" t="n">
        <v>6867.518907563026</v>
      </c>
      <c r="BW64" s="2" t="n">
        <v>36022.8503079832</v>
      </c>
      <c r="BX64" s="2" t="n">
        <v>32679.74000000001</v>
      </c>
      <c r="BY64" s="2" t="n">
        <v>3204.36</v>
      </c>
      <c r="BZ64" s="2" t="n">
        <v>7542.4</v>
      </c>
      <c r="CA64" s="2" t="n">
        <v>35884.10000000001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1238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7708.56</v>
      </c>
      <c r="L65" s="2" t="n">
        <v>641.6662444444445</v>
      </c>
      <c r="M65" s="2" t="n">
        <v>7137.555555555556</v>
      </c>
      <c r="N65" s="2" t="n">
        <v>848.5700000000001</v>
      </c>
      <c r="O65" s="2" t="n">
        <v>6158.56</v>
      </c>
      <c r="P65" s="2" t="n">
        <v>701.4299999999999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15280.33</v>
      </c>
      <c r="AD65" s="2" t="n">
        <v>976.2433055555557</v>
      </c>
      <c r="AE65" s="2" t="n">
        <v>14148.4537037037</v>
      </c>
      <c r="AF65" s="2" t="n">
        <v>2013.87</v>
      </c>
      <c r="AG65" s="2" t="n">
        <v>12367.78</v>
      </c>
      <c r="AH65" s="2" t="n">
        <v>898.6799999999999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4649.91</v>
      </c>
      <c r="AP65" s="2" t="n">
        <v>340.1323055555555</v>
      </c>
      <c r="AQ65" s="2" t="n">
        <v>4305.472222222222</v>
      </c>
      <c r="AR65" s="2" t="n">
        <v>782.33</v>
      </c>
      <c r="AS65" s="2" t="n">
        <v>3531.75</v>
      </c>
      <c r="AT65" s="2" t="n">
        <v>335.83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27638.8</v>
      </c>
      <c r="BB65" s="2" t="n">
        <v>23994.03</v>
      </c>
      <c r="BC65" s="2">
        <f>F65+L65+R65+X65+AD65+AJ65+AP65+AV65+IF(BE65="",0,BE65)</f>
        <v/>
      </c>
      <c r="BD65" s="2" t="n">
        <v>369.508062</v>
      </c>
      <c r="BE65" s="2" t="n"/>
      <c r="BF65" s="2" t="n">
        <v>25591.48148148148</v>
      </c>
      <c r="BG65" s="2" t="n">
        <v>458.58</v>
      </c>
      <c r="BH65" s="2" t="n">
        <v>0</v>
      </c>
      <c r="BI65" s="2" t="n">
        <v>32273.79</v>
      </c>
      <c r="BJ65" s="2" t="n">
        <v>77.88605042016808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323.919405</v>
      </c>
      <c r="BQ65" s="2" t="n">
        <v>0</v>
      </c>
      <c r="BR65" s="2" t="n">
        <v>33159.17545542017</v>
      </c>
      <c r="BS65" s="2" t="n">
        <v>944.4497478991597</v>
      </c>
      <c r="BT65" s="2" t="n">
        <v>0</v>
      </c>
      <c r="BU65" s="2" t="n">
        <v>6755.941159663867</v>
      </c>
      <c r="BV65" s="2" t="n">
        <v>7700.390907563026</v>
      </c>
      <c r="BW65" s="2" t="n">
        <v>40859.5663629832</v>
      </c>
      <c r="BX65" s="2" t="n">
        <v>22058.09</v>
      </c>
      <c r="BY65" s="2" t="n">
        <v>1935.94</v>
      </c>
      <c r="BZ65" s="2" t="n">
        <v>3644.77</v>
      </c>
      <c r="CA65" s="2" t="n">
        <v>23994.03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1239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25246.18</v>
      </c>
      <c r="L66" s="2" t="n">
        <v>2101.510724074074</v>
      </c>
      <c r="M66" s="2" t="n">
        <v>23376.09259259259</v>
      </c>
      <c r="N66" s="2" t="n">
        <v>4488.23</v>
      </c>
      <c r="O66" s="2" t="n">
        <v>19868.82</v>
      </c>
      <c r="P66" s="2" t="n">
        <v>889.13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49235.48</v>
      </c>
      <c r="AD66" s="2" t="n">
        <v>3145.600111111111</v>
      </c>
      <c r="AE66" s="2" t="n">
        <v>45588.4074074074</v>
      </c>
      <c r="AF66" s="2" t="n">
        <v>8423.91</v>
      </c>
      <c r="AG66" s="2" t="n">
        <v>38406.37</v>
      </c>
      <c r="AH66" s="2" t="n">
        <v>2405.2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14046.94</v>
      </c>
      <c r="AP66" s="2" t="n">
        <v>1027.507648148148</v>
      </c>
      <c r="AQ66" s="2" t="n">
        <v>13006.42592592593</v>
      </c>
      <c r="AR66" s="2" t="n">
        <v>2213.89</v>
      </c>
      <c r="AS66" s="2" t="n">
        <v>11227.7</v>
      </c>
      <c r="AT66" s="2" t="n">
        <v>605.35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88528.60000000001</v>
      </c>
      <c r="BB66" s="2" t="n">
        <v>73402.57000000001</v>
      </c>
      <c r="BC66" s="2">
        <f>F66+L66+R66+X66+AD66+AJ66+AP66+AV66+IF(BE66="",0,BE66)</f>
        <v/>
      </c>
      <c r="BD66" s="2" t="n">
        <v>1130.399578</v>
      </c>
      <c r="BE66" s="2" t="n"/>
      <c r="BF66" s="2" t="n">
        <v>81970.92592592593</v>
      </c>
      <c r="BG66" s="2" t="n">
        <v>458.58</v>
      </c>
      <c r="BH66" s="2" t="n">
        <v>0</v>
      </c>
      <c r="BI66" s="2" t="n">
        <v>32273.79</v>
      </c>
      <c r="BJ66" s="2" t="n">
        <v>77.88605042016808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990.9346949999999</v>
      </c>
      <c r="BQ66" s="2" t="n">
        <v>0</v>
      </c>
      <c r="BR66" s="2" t="n">
        <v>33826.19074542017</v>
      </c>
      <c r="BS66" s="2" t="n">
        <v>944.4497478991597</v>
      </c>
      <c r="BT66" s="2" t="n">
        <v>0</v>
      </c>
      <c r="BU66" s="2" t="n">
        <v>6755.941159663867</v>
      </c>
      <c r="BV66" s="2" t="n">
        <v>7700.390907563026</v>
      </c>
      <c r="BW66" s="2" t="n">
        <v>41526.5816529832</v>
      </c>
      <c r="BX66" s="2" t="n">
        <v>69502.89</v>
      </c>
      <c r="BY66" s="2" t="n">
        <v>3899.68</v>
      </c>
      <c r="BZ66" s="2" t="n">
        <v>15126.03</v>
      </c>
      <c r="CA66" s="2" t="n">
        <v>73402.56999999999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1240</v>
      </c>
      <c r="B67" t="inlineStr">
        <is>
          <t>Dworcowa 2, 61-801 Poznań</t>
        </is>
      </c>
      <c r="C67" t="inlineStr">
        <is>
          <t>Poznań Główny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30292.1</v>
      </c>
      <c r="L67" s="2" t="n">
        <v>2521.536842592593</v>
      </c>
      <c r="M67" s="2" t="n">
        <v>28048.24074074074</v>
      </c>
      <c r="N67" s="2" t="n">
        <v>4844.57</v>
      </c>
      <c r="O67" s="2" t="n">
        <v>24044.02</v>
      </c>
      <c r="P67" s="2" t="n">
        <v>1403.51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56376.97</v>
      </c>
      <c r="AD67" s="2" t="n">
        <v>3601.861972222222</v>
      </c>
      <c r="AE67" s="2" t="n">
        <v>52200.89814814815</v>
      </c>
      <c r="AF67" s="2" t="n">
        <v>9295.450000000001</v>
      </c>
      <c r="AG67" s="2" t="n">
        <v>43886.71</v>
      </c>
      <c r="AH67" s="2" t="n">
        <v>3194.81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18003.81</v>
      </c>
      <c r="AP67" s="2" t="n">
        <v>1316.945361111111</v>
      </c>
      <c r="AQ67" s="2" t="n">
        <v>16670.19444444444</v>
      </c>
      <c r="AR67" s="2" t="n">
        <v>3810.45</v>
      </c>
      <c r="AS67" s="2" t="n">
        <v>13133.03</v>
      </c>
      <c r="AT67" s="2" t="n">
        <v>1060.33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104672.88</v>
      </c>
      <c r="BB67" s="2" t="n">
        <v>86722.40999999999</v>
      </c>
      <c r="BC67" s="2">
        <f>F67+L67+R67+X67+AD67+AJ67+AP67+AV67+IF(BE67="",0,BE67)</f>
        <v/>
      </c>
      <c r="BD67" s="2" t="n">
        <v>1335.525114</v>
      </c>
      <c r="BE67" s="2" t="n"/>
      <c r="BF67" s="2" t="n">
        <v>96919.33333333331</v>
      </c>
      <c r="BG67" s="2" t="n">
        <v>458.58</v>
      </c>
      <c r="BH67" s="2" t="n">
        <v>0</v>
      </c>
      <c r="BI67" s="2" t="n">
        <v>32273.79</v>
      </c>
      <c r="BJ67" s="2" t="n">
        <v>77.88605042016808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1170.752535</v>
      </c>
      <c r="BQ67" s="2" t="n">
        <v>0</v>
      </c>
      <c r="BR67" s="2" t="n">
        <v>34006.00858542017</v>
      </c>
      <c r="BS67" s="2" t="n">
        <v>944.4497478991597</v>
      </c>
      <c r="BT67" s="2" t="n">
        <v>0</v>
      </c>
      <c r="BU67" s="2" t="n">
        <v>6755.941159663867</v>
      </c>
      <c r="BV67" s="2" t="n">
        <v>7700.390907563026</v>
      </c>
      <c r="BW67" s="2" t="n">
        <v>41706.3994929832</v>
      </c>
      <c r="BX67" s="2" t="n">
        <v>81063.75999999999</v>
      </c>
      <c r="BY67" s="2" t="n">
        <v>5658.65</v>
      </c>
      <c r="BZ67" s="2" t="n">
        <v>17950.47</v>
      </c>
      <c r="CA67" s="2" t="n">
        <v>86722.40999999999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1241</v>
      </c>
      <c r="B68" t="inlineStr">
        <is>
          <t>Kolejowa 1, 62-510 Konin</t>
        </is>
      </c>
      <c r="C68" t="inlineStr">
        <is>
          <t>Konin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3179.8</v>
      </c>
      <c r="L68" s="2" t="n">
        <v>264.6889074074074</v>
      </c>
      <c r="M68" s="2" t="n">
        <v>2944.259259259259</v>
      </c>
      <c r="N68" s="2" t="n">
        <v>532.61</v>
      </c>
      <c r="O68" s="2" t="n">
        <v>2497.49</v>
      </c>
      <c r="P68" s="2" t="n">
        <v>149.7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5689.68</v>
      </c>
      <c r="AD68" s="2" t="n">
        <v>363.5073333333333</v>
      </c>
      <c r="AE68" s="2" t="n">
        <v>5268.222222222222</v>
      </c>
      <c r="AF68" s="2" t="n">
        <v>1173.03</v>
      </c>
      <c r="AG68" s="2" t="n">
        <v>4320.3</v>
      </c>
      <c r="AH68" s="2" t="n">
        <v>196.35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3.05</v>
      </c>
      <c r="AP68" s="2" t="n">
        <v>0.2231018518518518</v>
      </c>
      <c r="AQ68" s="2" t="n">
        <v>2.824074074074074</v>
      </c>
      <c r="AR68" s="2" t="n">
        <v>0</v>
      </c>
      <c r="AS68" s="2" t="n">
        <v>3.05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8872.529999999999</v>
      </c>
      <c r="BB68" s="2" t="n">
        <v>7166.89</v>
      </c>
      <c r="BC68" s="2">
        <f>F68+L68+R68+X68+AD68+AJ68+AP68+AV68+IF(BE68="",0,BE68)</f>
        <v/>
      </c>
      <c r="BD68" s="2" t="n">
        <v>110.370106</v>
      </c>
      <c r="BE68" s="2" t="n"/>
      <c r="BF68" s="2" t="n">
        <v>8215.305555555555</v>
      </c>
      <c r="BG68" s="2" t="n">
        <v>420</v>
      </c>
      <c r="BH68" s="2" t="n">
        <v>187</v>
      </c>
      <c r="BI68" s="2" t="n">
        <v>32273.79</v>
      </c>
      <c r="BJ68" s="2" t="n">
        <v>77.88605042016808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96.75301499999999</v>
      </c>
      <c r="BQ68" s="2" t="n">
        <v>0</v>
      </c>
      <c r="BR68" s="2" t="n">
        <v>33080.42906542017</v>
      </c>
      <c r="BS68" s="2" t="n">
        <v>944.4497478991597</v>
      </c>
      <c r="BT68" s="2" t="n">
        <v>0</v>
      </c>
      <c r="BU68" s="2" t="n">
        <v>6785.625159663866</v>
      </c>
      <c r="BV68" s="2" t="n">
        <v>7730.074907563026</v>
      </c>
      <c r="BW68" s="2" t="n">
        <v>40810.50397298319</v>
      </c>
      <c r="BX68" s="2" t="n">
        <v>6820.84</v>
      </c>
      <c r="BY68" s="2" t="n">
        <v>346.05</v>
      </c>
      <c r="BZ68" s="2" t="n">
        <v>1705.64</v>
      </c>
      <c r="CA68" s="2" t="n">
        <v>7166.89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1242</v>
      </c>
      <c r="B69" t="inlineStr">
        <is>
          <t>Dworcowa 1, 62-800 Kalisz</t>
        </is>
      </c>
      <c r="C69" t="inlineStr">
        <is>
          <t>Kalisz</t>
        </is>
      </c>
      <c r="D69" t="inlineStr">
        <is>
          <t>ST|40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10059.92</v>
      </c>
      <c r="L69" s="2" t="n">
        <v>837.3951925925927</v>
      </c>
      <c r="M69" s="2" t="n">
        <v>9314.740740740741</v>
      </c>
      <c r="N69" s="2" t="n">
        <v>4361.71</v>
      </c>
      <c r="O69" s="2" t="n">
        <v>5078.21</v>
      </c>
      <c r="P69" s="2" t="n">
        <v>620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3049.53</v>
      </c>
      <c r="AD69" s="2" t="n">
        <v>194.8310833333333</v>
      </c>
      <c r="AE69" s="2" t="n">
        <v>2823.638888888889</v>
      </c>
      <c r="AF69" s="2" t="n">
        <v>1141.5</v>
      </c>
      <c r="AG69" s="2" t="n">
        <v>1553.75</v>
      </c>
      <c r="AH69" s="2" t="n">
        <v>354.28</v>
      </c>
      <c r="AI69" s="2" t="n">
        <v>8.4</v>
      </c>
      <c r="AJ69" s="2" t="n">
        <v>0.5833333333333333</v>
      </c>
      <c r="AK69" s="2" t="n">
        <v>7.777777777777778</v>
      </c>
      <c r="AL69" s="2" t="n">
        <v>0</v>
      </c>
      <c r="AM69" s="2" t="n">
        <v>8.4</v>
      </c>
      <c r="AN69" s="2" t="n">
        <v>0</v>
      </c>
      <c r="AO69" s="2" t="n">
        <v>6880.81</v>
      </c>
      <c r="AP69" s="2" t="n">
        <v>503.3185092592593</v>
      </c>
      <c r="AQ69" s="2" t="n">
        <v>6371.12037037037</v>
      </c>
      <c r="AR69" s="2" t="n">
        <v>2640.71</v>
      </c>
      <c r="AS69" s="2" t="n">
        <v>3945.73</v>
      </c>
      <c r="AT69" s="2" t="n">
        <v>294.37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19998.66</v>
      </c>
      <c r="BB69" s="2" t="n">
        <v>11854.74</v>
      </c>
      <c r="BC69" s="2">
        <f>F69+L69+R69+X69+AD69+AJ69+AP69+AV69+IF(BE69="",0,BE69)</f>
        <v/>
      </c>
      <c r="BD69" s="2" t="n">
        <v>182.562996</v>
      </c>
      <c r="BE69" s="2" t="n"/>
      <c r="BF69" s="2" t="n">
        <v>18517.27777777778</v>
      </c>
      <c r="BG69" s="2" t="n">
        <v>550.4299999999999</v>
      </c>
      <c r="BH69" s="2" t="n">
        <v>213</v>
      </c>
      <c r="BI69" s="2" t="n">
        <v>32273.79</v>
      </c>
      <c r="BJ69" s="2" t="n">
        <v>77.88605042016808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160.03899</v>
      </c>
      <c r="BQ69" s="2" t="n">
        <v>0</v>
      </c>
      <c r="BR69" s="2" t="n">
        <v>33300.14504042017</v>
      </c>
      <c r="BS69" s="2" t="n">
        <v>944.4497478991597</v>
      </c>
      <c r="BT69" s="2" t="n">
        <v>0</v>
      </c>
      <c r="BU69" s="2" t="n">
        <v>6816.911159663866</v>
      </c>
      <c r="BV69" s="2" t="n">
        <v>7761.360907563026</v>
      </c>
      <c r="BW69" s="2" t="n">
        <v>41061.50594798319</v>
      </c>
      <c r="BX69" s="2" t="n">
        <v>10586.09</v>
      </c>
      <c r="BY69" s="2" t="n">
        <v>1268.65</v>
      </c>
      <c r="BZ69" s="2" t="n">
        <v>8143.92</v>
      </c>
      <c r="CA69" s="2" t="n">
        <v>11854.74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1243</v>
      </c>
      <c r="B70" t="inlineStr">
        <is>
          <t>Garbary 89, 61-757 Poznań</t>
        </is>
      </c>
      <c r="C70" t="inlineStr">
        <is>
          <t>Poznań Garbary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13.3</v>
      </c>
      <c r="L70" s="2" t="n">
        <v>1.107101851851852</v>
      </c>
      <c r="M70" s="2" t="n">
        <v>12.31481481481481</v>
      </c>
      <c r="N70" s="2" t="n">
        <v>0</v>
      </c>
      <c r="O70" s="2" t="n">
        <v>13.3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15383.19</v>
      </c>
      <c r="AD70" s="2" t="n">
        <v>982.8149166666666</v>
      </c>
      <c r="AE70" s="2" t="n">
        <v>14243.69444444444</v>
      </c>
      <c r="AF70" s="2" t="n">
        <v>2125.81</v>
      </c>
      <c r="AG70" s="2" t="n">
        <v>12366.39</v>
      </c>
      <c r="AH70" s="2" t="n">
        <v>890.99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2382.14</v>
      </c>
      <c r="AP70" s="2" t="n">
        <v>174.2491296296296</v>
      </c>
      <c r="AQ70" s="2" t="n">
        <v>2205.685185185185</v>
      </c>
      <c r="AR70" s="2" t="n">
        <v>613.37</v>
      </c>
      <c r="AS70" s="2" t="n">
        <v>1562.36</v>
      </c>
      <c r="AT70" s="2" t="n">
        <v>206.41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17778.63</v>
      </c>
      <c r="BB70" s="2" t="n">
        <v>15039.45</v>
      </c>
      <c r="BC70" s="2">
        <f>F70+L70+R70+X70+AD70+AJ70+AP70+AV70+IF(BE70="",0,BE70)</f>
        <v/>
      </c>
      <c r="BD70" s="2" t="n">
        <v>231.60753</v>
      </c>
      <c r="BE70" s="2" t="n"/>
      <c r="BF70" s="2" t="n">
        <v>16461.69444444444</v>
      </c>
      <c r="BG70" s="2" t="n">
        <v>587.13</v>
      </c>
      <c r="BH70" s="2" t="n">
        <v>187</v>
      </c>
      <c r="BI70" s="2" t="n">
        <v>32273.79</v>
      </c>
      <c r="BJ70" s="2" t="n">
        <v>77.88605042016808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203.032575</v>
      </c>
      <c r="BQ70" s="2" t="n">
        <v>0</v>
      </c>
      <c r="BR70" s="2" t="n">
        <v>33353.83862542016</v>
      </c>
      <c r="BS70" s="2" t="n">
        <v>944.4497478991597</v>
      </c>
      <c r="BT70" s="2" t="n">
        <v>0</v>
      </c>
      <c r="BU70" s="2" t="n">
        <v>6819.051159663867</v>
      </c>
      <c r="BV70" s="2" t="n">
        <v>7763.500907563027</v>
      </c>
      <c r="BW70" s="2" t="n">
        <v>41117.33953298319</v>
      </c>
      <c r="BX70" s="2" t="n">
        <v>13942.05</v>
      </c>
      <c r="BY70" s="2" t="n">
        <v>1097.4</v>
      </c>
      <c r="BZ70" s="2" t="n">
        <v>2739.18</v>
      </c>
      <c r="CA70" s="2" t="n">
        <v>15039.45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1244</v>
      </c>
      <c r="B71" t="inlineStr">
        <is>
          <t>Dworcowa 7, 62-200 Gniezno</t>
        </is>
      </c>
      <c r="C71" t="inlineStr">
        <is>
          <t>Gniezno</t>
        </is>
      </c>
      <c r="D71" t="inlineStr">
        <is>
          <t>FAA2000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13208.65</v>
      </c>
      <c r="L71" s="2" t="n">
        <v>1099.497810185185</v>
      </c>
      <c r="M71" s="2" t="n">
        <v>12230.23148148148</v>
      </c>
      <c r="N71" s="2" t="n">
        <v>2386.93</v>
      </c>
      <c r="O71" s="2" t="n">
        <v>9844.08</v>
      </c>
      <c r="P71" s="2" t="n">
        <v>977.64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13818.9</v>
      </c>
      <c r="AD71" s="2" t="n">
        <v>882.8741666666668</v>
      </c>
      <c r="AE71" s="2" t="n">
        <v>12795.27777777778</v>
      </c>
      <c r="AF71" s="2" t="n">
        <v>4145.84</v>
      </c>
      <c r="AG71" s="2" t="n">
        <v>8626.190000000001</v>
      </c>
      <c r="AH71" s="2" t="n">
        <v>1046.87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5836.35</v>
      </c>
      <c r="AP71" s="2" t="n">
        <v>426.9181944444444</v>
      </c>
      <c r="AQ71" s="2" t="n">
        <v>5404.027777777777</v>
      </c>
      <c r="AR71" s="2" t="n">
        <v>1489.01</v>
      </c>
      <c r="AS71" s="2" t="n">
        <v>4069.92</v>
      </c>
      <c r="AT71" s="2" t="n">
        <v>277.42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32863.9</v>
      </c>
      <c r="BB71" s="2" t="n">
        <v>24842.12</v>
      </c>
      <c r="BC71" s="2">
        <f>F71+L71+R71+X71+AD71+AJ71+AP71+AV71+IF(BE71="",0,BE71)</f>
        <v/>
      </c>
      <c r="BD71" s="2" t="n">
        <v>382.5686480000001</v>
      </c>
      <c r="BE71" s="2" t="n"/>
      <c r="BF71" s="2" t="n">
        <v>30429.53703703704</v>
      </c>
      <c r="BG71" s="2" t="n">
        <v>0</v>
      </c>
      <c r="BH71" s="2" t="n">
        <v>0</v>
      </c>
      <c r="BI71" s="2" t="n">
        <v>32273.79</v>
      </c>
      <c r="BJ71" s="2" t="n">
        <v>77.88605042016808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335.36862</v>
      </c>
      <c r="BQ71" s="2" t="n">
        <v>0</v>
      </c>
      <c r="BR71" s="2" t="n">
        <v>32712.04467042017</v>
      </c>
      <c r="BS71" s="2" t="n">
        <v>944.4497478991597</v>
      </c>
      <c r="BT71" s="2" t="n">
        <v>0</v>
      </c>
      <c r="BU71" s="2" t="n">
        <v>6664.225159663866</v>
      </c>
      <c r="BV71" s="2" t="n">
        <v>7608.674907563026</v>
      </c>
      <c r="BW71" s="2" t="n">
        <v>40320.7195779832</v>
      </c>
      <c r="BX71" s="2" t="n">
        <v>22540.19</v>
      </c>
      <c r="BY71" s="2" t="n">
        <v>2301.93</v>
      </c>
      <c r="BZ71" s="2" t="n">
        <v>8021.780000000001</v>
      </c>
      <c r="CA71" s="2" t="n">
        <v>24842.12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1245</v>
      </c>
      <c r="B72" t="inlineStr">
        <is>
          <t>Plac Dworcowy 1, 80-321 Gdańsk</t>
        </is>
      </c>
      <c r="C72" t="inlineStr">
        <is>
          <t>Gdańsk Oliwa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4741.71</v>
      </c>
      <c r="L72" s="2" t="n">
        <v>394.7034527777778</v>
      </c>
      <c r="M72" s="2" t="n">
        <v>4390.472222222222</v>
      </c>
      <c r="N72" s="2" t="n">
        <v>1504.78</v>
      </c>
      <c r="O72" s="2" t="n">
        <v>2916.12</v>
      </c>
      <c r="P72" s="2" t="n">
        <v>320.81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4230.63</v>
      </c>
      <c r="AP72" s="2" t="n">
        <v>309.46275</v>
      </c>
      <c r="AQ72" s="2" t="n">
        <v>3917.25</v>
      </c>
      <c r="AR72" s="2" t="n">
        <v>1675.27</v>
      </c>
      <c r="AS72" s="2" t="n">
        <v>2421.14</v>
      </c>
      <c r="AT72" s="2" t="n">
        <v>134.22</v>
      </c>
      <c r="AU72" s="2" t="n">
        <v>2272</v>
      </c>
      <c r="AV72" s="2" t="n">
        <v>90.45925925925924</v>
      </c>
      <c r="AW72" s="2" t="n">
        <v>2103.703703703703</v>
      </c>
      <c r="AX72" s="2" t="n">
        <v>610.05</v>
      </c>
      <c r="AY72" s="2" t="n">
        <v>1590.15</v>
      </c>
      <c r="AZ72" s="2" t="n">
        <v>71.8</v>
      </c>
      <c r="BA72" s="2" t="n">
        <v>11244.34</v>
      </c>
      <c r="BB72" s="2" t="n">
        <v>7454.239999999999</v>
      </c>
      <c r="BC72" s="2">
        <f>F72+L72+R72+X72+AD72+AJ72+AP72+AV72+IF(BE72="",0,BE72)</f>
        <v/>
      </c>
      <c r="BD72" s="2" t="n">
        <v>114.795296</v>
      </c>
      <c r="BE72" s="2" t="n"/>
      <c r="BF72" s="2" t="n">
        <v>10411.42592592593</v>
      </c>
      <c r="BG72" s="2" t="n">
        <v>0</v>
      </c>
      <c r="BH72" s="2" t="n">
        <v>0</v>
      </c>
      <c r="BI72" s="2" t="n">
        <v>32273.79</v>
      </c>
      <c r="BJ72" s="2" t="n">
        <v>77.88605042016808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100.63224</v>
      </c>
      <c r="BQ72" s="2" t="n">
        <v>0</v>
      </c>
      <c r="BR72" s="2" t="n">
        <v>32477.30829042017</v>
      </c>
      <c r="BS72" s="2" t="n">
        <v>944.4497478991597</v>
      </c>
      <c r="BT72" s="2" t="n">
        <v>0</v>
      </c>
      <c r="BU72" s="2" t="n">
        <v>6664.225159663866</v>
      </c>
      <c r="BV72" s="2" t="n">
        <v>7608.674907563026</v>
      </c>
      <c r="BW72" s="2" t="n">
        <v>40085.98319798319</v>
      </c>
      <c r="BX72" s="2" t="n">
        <v>6927.41</v>
      </c>
      <c r="BY72" s="2" t="n">
        <v>526.8299999999999</v>
      </c>
      <c r="BZ72" s="2" t="n">
        <v>3790.1</v>
      </c>
      <c r="CA72" s="2" t="n">
        <v>7454.24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1246</v>
      </c>
      <c r="B73" t="inlineStr">
        <is>
          <t>Dworcowa 1, 63-400 Ostrów Wlkp.</t>
        </is>
      </c>
      <c r="C73" t="inlineStr">
        <is>
          <t>Ostrów Wielkopolski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4655.03</v>
      </c>
      <c r="L73" s="2" t="n">
        <v>387.4881453703704</v>
      </c>
      <c r="M73" s="2" t="n">
        <v>4310.212962962963</v>
      </c>
      <c r="N73" s="2" t="n">
        <v>1843.03</v>
      </c>
      <c r="O73" s="2" t="n">
        <v>2781.12</v>
      </c>
      <c r="P73" s="2" t="n">
        <v>30.88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8052.719999999999</v>
      </c>
      <c r="AD73" s="2" t="n">
        <v>514.4793333333333</v>
      </c>
      <c r="AE73" s="2" t="n">
        <v>7456.222222222221</v>
      </c>
      <c r="AF73" s="2" t="n">
        <v>2390.51</v>
      </c>
      <c r="AG73" s="2" t="n">
        <v>5402.73</v>
      </c>
      <c r="AH73" s="2" t="n">
        <v>259.48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8120.570000000001</v>
      </c>
      <c r="AP73" s="2" t="n">
        <v>594.0046574074074</v>
      </c>
      <c r="AQ73" s="2" t="n">
        <v>7519.046296296297</v>
      </c>
      <c r="AR73" s="2" t="n">
        <v>2294.69</v>
      </c>
      <c r="AS73" s="2" t="n">
        <v>5175.5</v>
      </c>
      <c r="AT73" s="2" t="n">
        <v>650.38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20828.32</v>
      </c>
      <c r="BB73" s="2" t="n">
        <v>14300.09</v>
      </c>
      <c r="BC73" s="2">
        <f>F73+L73+R73+X73+AD73+AJ73+AP73+AV73+IF(BE73="",0,BE73)</f>
        <v/>
      </c>
      <c r="BD73" s="2" t="n">
        <v>220.221386</v>
      </c>
      <c r="BE73" s="2" t="n"/>
      <c r="BF73" s="2" t="n">
        <v>19285.48148148148</v>
      </c>
      <c r="BG73" s="2" t="n">
        <v>0</v>
      </c>
      <c r="BH73" s="2" t="n">
        <v>113.4</v>
      </c>
      <c r="BI73" s="2" t="n">
        <v>32273.79</v>
      </c>
      <c r="BJ73" s="2" t="n">
        <v>77.88605042016808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193.051215</v>
      </c>
      <c r="BQ73" s="2" t="n">
        <v>0</v>
      </c>
      <c r="BR73" s="2" t="n">
        <v>32683.12726542017</v>
      </c>
      <c r="BS73" s="2" t="n">
        <v>944.4497478991597</v>
      </c>
      <c r="BT73" s="2" t="n">
        <v>0</v>
      </c>
      <c r="BU73" s="2" t="n">
        <v>6686.905159663866</v>
      </c>
      <c r="BV73" s="2" t="n">
        <v>7631.354907563026</v>
      </c>
      <c r="BW73" s="2" t="n">
        <v>40314.4821729832</v>
      </c>
      <c r="BX73" s="2" t="n">
        <v>13359.35</v>
      </c>
      <c r="BY73" s="2" t="n">
        <v>940.74</v>
      </c>
      <c r="BZ73" s="2" t="n">
        <v>6528.23</v>
      </c>
      <c r="CA73" s="2" t="n">
        <v>14300.09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1247</v>
      </c>
      <c r="B74" t="inlineStr">
        <is>
          <t>Kujawska 1, 87-100 Toruń</t>
        </is>
      </c>
      <c r="C74" t="inlineStr">
        <is>
          <t>Toruń</t>
        </is>
      </c>
      <c r="D74" t="inlineStr">
        <is>
          <t>FAA2000</t>
        </is>
      </c>
      <c r="E74" s="2" t="n">
        <v>1243.84</v>
      </c>
      <c r="F74" s="2" t="n">
        <v>1000</v>
      </c>
      <c r="G74" s="2" t="n">
        <v>1151.703703703703</v>
      </c>
      <c r="H74" s="2" t="n">
        <v>379.34</v>
      </c>
      <c r="I74" s="2" t="n">
        <v>864.5</v>
      </c>
      <c r="J74" s="2" t="n">
        <v>0</v>
      </c>
      <c r="K74" s="2" t="n">
        <v>5545.14</v>
      </c>
      <c r="L74" s="2" t="n">
        <v>461.5815611111111</v>
      </c>
      <c r="M74" s="2" t="n">
        <v>5134.388888888889</v>
      </c>
      <c r="N74" s="2" t="n">
        <v>1207</v>
      </c>
      <c r="O74" s="2" t="n">
        <v>4338.14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7871.47</v>
      </c>
      <c r="AP74" s="2" t="n">
        <v>575.7834537037037</v>
      </c>
      <c r="AQ74" s="2" t="n">
        <v>7288.398148148148</v>
      </c>
      <c r="AR74" s="2" t="n">
        <v>2674.3</v>
      </c>
      <c r="AS74" s="2" t="n">
        <v>5197.17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14660.45</v>
      </c>
      <c r="BB74" s="2" t="n">
        <v>10399.81</v>
      </c>
      <c r="BC74" s="2">
        <f>F74+L74+R74+X74+AD74+AJ74+AP74+AV74+IF(BE74="",0,BE74)</f>
        <v/>
      </c>
      <c r="BD74" s="2" t="n">
        <v>160.157074</v>
      </c>
      <c r="BE74" s="2" t="n"/>
      <c r="BF74" s="2" t="n">
        <v>13574.49074074074</v>
      </c>
      <c r="BG74" s="2" t="n">
        <v>0</v>
      </c>
      <c r="BH74" s="2" t="n">
        <v>0</v>
      </c>
      <c r="BI74" s="2" t="n">
        <v>32273.79</v>
      </c>
      <c r="BJ74" s="2" t="n">
        <v>77.88605042016808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140.397435</v>
      </c>
      <c r="BQ74" s="2" t="n">
        <v>0</v>
      </c>
      <c r="BR74" s="2" t="n">
        <v>32517.07348542017</v>
      </c>
      <c r="BS74" s="2" t="n">
        <v>944.4497478991597</v>
      </c>
      <c r="BT74" s="2" t="n">
        <v>0</v>
      </c>
      <c r="BU74" s="2" t="n">
        <v>6664.225159663866</v>
      </c>
      <c r="BV74" s="2" t="n">
        <v>7608.674907563026</v>
      </c>
      <c r="BW74" s="2" t="n">
        <v>40125.74839298319</v>
      </c>
      <c r="BX74" s="2" t="n">
        <v>10399.81</v>
      </c>
      <c r="BY74" s="2" t="n">
        <v>0</v>
      </c>
      <c r="BZ74" s="2" t="n">
        <v>4260.64</v>
      </c>
      <c r="CA74" s="2" t="n">
        <v>10399.81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1249</v>
      </c>
      <c r="B75" t="inlineStr">
        <is>
          <t>Stefana Okrzei 65, 87-810 Włocławek</t>
        </is>
      </c>
      <c r="C75" t="inlineStr">
        <is>
          <t>Włocławek</t>
        </is>
      </c>
      <c r="D75" t="inlineStr">
        <is>
          <t>FAA2000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1510.21</v>
      </c>
      <c r="L75" s="2" t="n">
        <v>125.7109990740741</v>
      </c>
      <c r="M75" s="2" t="n">
        <v>1398.342592592593</v>
      </c>
      <c r="N75" s="2" t="n">
        <v>329.35</v>
      </c>
      <c r="O75" s="2" t="n">
        <v>1052.3</v>
      </c>
      <c r="P75" s="2" t="n">
        <v>128.56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4603.13</v>
      </c>
      <c r="AP75" s="2" t="n">
        <v>336.7104351851851</v>
      </c>
      <c r="AQ75" s="2" t="n">
        <v>4262.157407407407</v>
      </c>
      <c r="AR75" s="2" t="n">
        <v>1292.23</v>
      </c>
      <c r="AS75" s="2" t="n">
        <v>3128.6</v>
      </c>
      <c r="AT75" s="2" t="n">
        <v>182.3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6113.34</v>
      </c>
      <c r="BB75" s="2" t="n">
        <v>4491.76</v>
      </c>
      <c r="BC75" s="2">
        <f>F75+L75+R75+X75+AD75+AJ75+AP75+AV75+IF(BE75="",0,BE75)</f>
        <v/>
      </c>
      <c r="BD75" s="2" t="n">
        <v>69.173104</v>
      </c>
      <c r="BE75" s="2" t="n"/>
      <c r="BF75" s="2" t="n">
        <v>5660.5</v>
      </c>
      <c r="BG75" s="2" t="n">
        <v>694.6900000000001</v>
      </c>
      <c r="BH75" s="2" t="n">
        <v>106</v>
      </c>
      <c r="BI75" s="2" t="n">
        <v>32273.79</v>
      </c>
      <c r="BJ75" s="2" t="n">
        <v>77.88605042016808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60.63876</v>
      </c>
      <c r="BQ75" s="2" t="n">
        <v>0</v>
      </c>
      <c r="BR75" s="2" t="n">
        <v>33238.00481042017</v>
      </c>
      <c r="BS75" s="2" t="n">
        <v>944.4497478991597</v>
      </c>
      <c r="BT75" s="2" t="n">
        <v>0</v>
      </c>
      <c r="BU75" s="2" t="n">
        <v>6824.363159663866</v>
      </c>
      <c r="BV75" s="2" t="n">
        <v>7768.812907563026</v>
      </c>
      <c r="BW75" s="2" t="n">
        <v>41006.8177179832</v>
      </c>
      <c r="BX75" s="2" t="n">
        <v>4180.9</v>
      </c>
      <c r="BY75" s="2" t="n">
        <v>310.86</v>
      </c>
      <c r="BZ75" s="2" t="n">
        <v>1621.58</v>
      </c>
      <c r="CA75" s="2" t="n">
        <v>4491.759999999999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1250</v>
      </c>
      <c r="B76" t="inlineStr">
        <is>
          <t>Kolejowa 3, 58-540 Karpacz</t>
        </is>
      </c>
      <c r="C76" t="inlineStr">
        <is>
          <t>Karpacz</t>
        </is>
      </c>
      <c r="D76" t="inlineStr">
        <is>
          <t>ST|40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12707.94</v>
      </c>
      <c r="R76" s="2" t="n">
        <v>2500</v>
      </c>
      <c r="S76" s="2" t="n">
        <v>11766.61111111111</v>
      </c>
      <c r="T76" s="2" t="n">
        <v>0</v>
      </c>
      <c r="U76" s="2" t="n">
        <v>11283.5</v>
      </c>
      <c r="V76" s="2" t="n">
        <v>1424.44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12707.94</v>
      </c>
      <c r="BB76" s="2" t="n">
        <v>12707.94</v>
      </c>
      <c r="BC76" s="2">
        <f>F76+L76+R76+X76+AD76+AJ76+AP76+AV76+IF(BE76="",0,BE76)</f>
        <v/>
      </c>
      <c r="BD76" s="2" t="n">
        <v>195.702276</v>
      </c>
      <c r="BE76" s="2" t="n"/>
      <c r="BF76" s="2" t="n">
        <v>11766.61111111111</v>
      </c>
      <c r="BG76" s="2" t="n">
        <v>0</v>
      </c>
      <c r="BH76" s="2" t="n">
        <v>0</v>
      </c>
      <c r="BI76" s="2" t="n">
        <v>32273.79</v>
      </c>
      <c r="BJ76" s="2" t="n">
        <v>77.88605042016808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171.55719</v>
      </c>
      <c r="BQ76" s="2" t="n">
        <v>0</v>
      </c>
      <c r="BR76" s="2" t="n">
        <v>32548.23324042017</v>
      </c>
      <c r="BS76" s="2" t="n">
        <v>944.4497478991597</v>
      </c>
      <c r="BT76" s="2" t="n">
        <v>0</v>
      </c>
      <c r="BU76" s="2" t="n">
        <v>6664.225159663866</v>
      </c>
      <c r="BV76" s="2" t="n">
        <v>7608.674907563026</v>
      </c>
      <c r="BW76" s="2" t="n">
        <v>40156.90814798319</v>
      </c>
      <c r="BX76" s="2" t="n">
        <v>11283.5</v>
      </c>
      <c r="BY76" s="2" t="n">
        <v>1424.44</v>
      </c>
      <c r="BZ76" s="2" t="n">
        <v>0</v>
      </c>
      <c r="CA76" s="2" t="n">
        <v>12707.94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8696.98</v>
      </c>
      <c r="L77" s="2" t="n">
        <v>723.9430574074074</v>
      </c>
      <c r="M77" s="2" t="n">
        <v>8052.759259259258</v>
      </c>
      <c r="N77" s="2" t="n">
        <v>2790.12</v>
      </c>
      <c r="O77" s="2" t="n">
        <v>5906.86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14796.26</v>
      </c>
      <c r="AP77" s="2" t="n">
        <v>1082.319018518519</v>
      </c>
      <c r="AQ77" s="2" t="n">
        <v>13700.24074074074</v>
      </c>
      <c r="AR77" s="2" t="n">
        <v>4584.85</v>
      </c>
      <c r="AS77" s="2" t="n">
        <v>10211.41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23493.24</v>
      </c>
      <c r="BB77" s="2" t="n">
        <v>16118.27</v>
      </c>
      <c r="BC77" s="2">
        <f>F77+L77+R77+X77+AD77+AJ77+AP77+AV77+IF(BE77="",0,BE77)</f>
        <v/>
      </c>
      <c r="BD77" s="2" t="n">
        <v>248.221358</v>
      </c>
      <c r="BE77" s="2" t="n"/>
      <c r="BF77" s="2" t="n">
        <v>21753</v>
      </c>
      <c r="BG77" s="2" t="n">
        <v>0</v>
      </c>
      <c r="BH77" s="2" t="n">
        <v>0</v>
      </c>
      <c r="BI77" s="2" t="n">
        <v>32273.79</v>
      </c>
      <c r="BJ77" s="2" t="n">
        <v>77.88605042016808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217.596645</v>
      </c>
      <c r="BQ77" s="2" t="n">
        <v>0</v>
      </c>
      <c r="BR77" s="2" t="n">
        <v>32594.27269542017</v>
      </c>
      <c r="BS77" s="2" t="n">
        <v>944.4497478991597</v>
      </c>
      <c r="BT77" s="2" t="n">
        <v>0</v>
      </c>
      <c r="BU77" s="2" t="n">
        <v>6664.225159663866</v>
      </c>
      <c r="BV77" s="2" t="n">
        <v>7608.674907563026</v>
      </c>
      <c r="BW77" s="2" t="n">
        <v>40202.9476029832</v>
      </c>
      <c r="BX77" s="2" t="n">
        <v>16118.27</v>
      </c>
      <c r="BY77" s="2" t="n">
        <v>0</v>
      </c>
      <c r="BZ77" s="2" t="n">
        <v>7374.97</v>
      </c>
      <c r="CA77" s="2" t="n">
        <v>16118.27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1254</v>
      </c>
      <c r="B78" t="inlineStr">
        <is>
          <t>Stacyjna 5, 53-600 Wrocław</t>
        </is>
      </c>
      <c r="C78" t="inlineStr">
        <is>
          <t>Wrocław Mikołajów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3971.3</v>
      </c>
      <c r="L78" s="2" t="n">
        <v>330.5739537037038</v>
      </c>
      <c r="M78" s="2" t="n">
        <v>3677.12962962963</v>
      </c>
      <c r="N78" s="2" t="n">
        <v>1082.05</v>
      </c>
      <c r="O78" s="2" t="n">
        <v>2811.25</v>
      </c>
      <c r="P78" s="2" t="n">
        <v>78</v>
      </c>
      <c r="Q78" s="2" t="n">
        <v>11135.04</v>
      </c>
      <c r="R78" s="2" t="n">
        <v>1600</v>
      </c>
      <c r="S78" s="2" t="n">
        <v>10310.22222222222</v>
      </c>
      <c r="T78" s="2" t="n">
        <v>1869.91</v>
      </c>
      <c r="U78" s="2" t="n">
        <v>9004.85</v>
      </c>
      <c r="V78" s="2" t="n">
        <v>260.28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8455.459999999999</v>
      </c>
      <c r="AP78" s="2" t="n">
        <v>618.5012407407406</v>
      </c>
      <c r="AQ78" s="2" t="n">
        <v>7829.129629629629</v>
      </c>
      <c r="AR78" s="2" t="n">
        <v>1774.05</v>
      </c>
      <c r="AS78" s="2" t="n">
        <v>6380.9</v>
      </c>
      <c r="AT78" s="2" t="n">
        <v>300.51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23561.8</v>
      </c>
      <c r="BB78" s="2" t="n">
        <v>18835.79</v>
      </c>
      <c r="BC78" s="2">
        <f>F78+L78+R78+X78+AD78+AJ78+AP78+AV78+IF(BE78="",0,BE78)</f>
        <v/>
      </c>
      <c r="BD78" s="2" t="n">
        <v>290.071166</v>
      </c>
      <c r="BE78" s="2" t="n"/>
      <c r="BF78" s="2" t="n">
        <v>21816.48148148148</v>
      </c>
      <c r="BG78" s="2" t="n">
        <v>0</v>
      </c>
      <c r="BH78" s="2" t="n">
        <v>0</v>
      </c>
      <c r="BI78" s="2" t="n">
        <v>32273.79</v>
      </c>
      <c r="BJ78" s="2" t="n">
        <v>77.88605042016808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254.283165</v>
      </c>
      <c r="BQ78" s="2" t="n">
        <v>0</v>
      </c>
      <c r="BR78" s="2" t="n">
        <v>32630.95921542017</v>
      </c>
      <c r="BS78" s="2" t="n">
        <v>944.4497478991597</v>
      </c>
      <c r="BT78" s="2" t="n">
        <v>0</v>
      </c>
      <c r="BU78" s="2" t="n">
        <v>6664.225159663866</v>
      </c>
      <c r="BV78" s="2" t="n">
        <v>7608.674907563026</v>
      </c>
      <c r="BW78" s="2" t="n">
        <v>40239.6341229832</v>
      </c>
      <c r="BX78" s="2" t="n">
        <v>18197</v>
      </c>
      <c r="BY78" s="2" t="n">
        <v>638.79</v>
      </c>
      <c r="BZ78" s="2" t="n">
        <v>4726.01</v>
      </c>
      <c r="CA78" s="2" t="n">
        <v>18835.79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1256</v>
      </c>
      <c r="B79" t="inlineStr">
        <is>
          <t>Dworcowa 2, 61-801 Poznań</t>
        </is>
      </c>
      <c r="C79" t="inlineStr">
        <is>
          <t>Poznań Główny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2548.95</v>
      </c>
      <c r="L79" s="2" t="n">
        <v>212.1764861111111</v>
      </c>
      <c r="M79" s="2" t="n">
        <v>2360.138888888889</v>
      </c>
      <c r="N79" s="2" t="n">
        <v>434.57</v>
      </c>
      <c r="O79" s="2" t="n">
        <v>1868.36</v>
      </c>
      <c r="P79" s="2" t="n">
        <v>246.02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3774.66</v>
      </c>
      <c r="AD79" s="2" t="n">
        <v>241.1588333333333</v>
      </c>
      <c r="AE79" s="2" t="n">
        <v>3495.055555555556</v>
      </c>
      <c r="AF79" s="2" t="n">
        <v>725.34</v>
      </c>
      <c r="AG79" s="2" t="n">
        <v>2800.27</v>
      </c>
      <c r="AH79" s="2" t="n">
        <v>249.05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1266.97</v>
      </c>
      <c r="AP79" s="2" t="n">
        <v>92.67650925925925</v>
      </c>
      <c r="AQ79" s="2" t="n">
        <v>1173.12037037037</v>
      </c>
      <c r="AR79" s="2" t="n">
        <v>306.29</v>
      </c>
      <c r="AS79" s="2" t="n">
        <v>933.0599999999999</v>
      </c>
      <c r="AT79" s="2" t="n">
        <v>27.62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7590.58</v>
      </c>
      <c r="BB79" s="2" t="n">
        <v>6124.380000000001</v>
      </c>
      <c r="BC79" s="2">
        <f>F79+L79+R79+X79+AD79+AJ79+AP79+AV79+IF(BE79="",0,BE79)</f>
        <v/>
      </c>
      <c r="BD79" s="2" t="n">
        <v>94.31545200000001</v>
      </c>
      <c r="BE79" s="2" t="n"/>
      <c r="BF79" s="2" t="n">
        <v>7028.314814814815</v>
      </c>
      <c r="BG79" s="2" t="n">
        <v>458.58</v>
      </c>
      <c r="BH79" s="2" t="n">
        <v>0</v>
      </c>
      <c r="BI79" s="2" t="n">
        <v>28109.43</v>
      </c>
      <c r="BJ79" s="2" t="n">
        <v>77.88605042016808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82.67913</v>
      </c>
      <c r="BQ79" s="2" t="n">
        <v>0</v>
      </c>
      <c r="BR79" s="2" t="n">
        <v>28753.57518042018</v>
      </c>
      <c r="BS79" s="2" t="n">
        <v>944.4497478991597</v>
      </c>
      <c r="BT79" s="2" t="n">
        <v>0</v>
      </c>
      <c r="BU79" s="2" t="n">
        <v>5923.069159663866</v>
      </c>
      <c r="BV79" s="2" t="n">
        <v>6867.518907563026</v>
      </c>
      <c r="BW79" s="2" t="n">
        <v>35621.09408798321</v>
      </c>
      <c r="BX79" s="2" t="n">
        <v>5601.690000000001</v>
      </c>
      <c r="BY79" s="2" t="n">
        <v>522.6900000000001</v>
      </c>
      <c r="BZ79" s="2" t="n">
        <v>1466.2</v>
      </c>
      <c r="CA79" s="2" t="n">
        <v>6124.380000000001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1257</v>
      </c>
      <c r="B80" t="inlineStr">
        <is>
          <t>Dworcowa 2, 61-801 Poznań</t>
        </is>
      </c>
      <c r="C80" t="inlineStr">
        <is>
          <t>Poznań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4160.929999999999</v>
      </c>
      <c r="L80" s="2" t="n">
        <v>346.3588953703703</v>
      </c>
      <c r="M80" s="2" t="n">
        <v>3852.712962962962</v>
      </c>
      <c r="N80" s="2" t="n">
        <v>841.4299999999999</v>
      </c>
      <c r="O80" s="2" t="n">
        <v>3181.7</v>
      </c>
      <c r="P80" s="2" t="n">
        <v>137.8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8067.44</v>
      </c>
      <c r="AD80" s="2" t="n">
        <v>515.4197777777778</v>
      </c>
      <c r="AE80" s="2" t="n">
        <v>7469.851851851851</v>
      </c>
      <c r="AF80" s="2" t="n">
        <v>1421.6</v>
      </c>
      <c r="AG80" s="2" t="n">
        <v>6433.14</v>
      </c>
      <c r="AH80" s="2" t="n">
        <v>212.7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2033.66</v>
      </c>
      <c r="AP80" s="2" t="n">
        <v>148.758462962963</v>
      </c>
      <c r="AQ80" s="2" t="n">
        <v>1883.018518518518</v>
      </c>
      <c r="AR80" s="2" t="n">
        <v>510.74</v>
      </c>
      <c r="AS80" s="2" t="n">
        <v>1431.45</v>
      </c>
      <c r="AT80" s="2" t="n">
        <v>91.47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14262.03</v>
      </c>
      <c r="BB80" s="2" t="n">
        <v>11488.26</v>
      </c>
      <c r="BC80" s="2">
        <f>F80+L80+R80+X80+AD80+AJ80+AP80+AV80+IF(BE80="",0,BE80)</f>
        <v/>
      </c>
      <c r="BD80" s="2" t="n">
        <v>176.919204</v>
      </c>
      <c r="BE80" s="2" t="n"/>
      <c r="BF80" s="2" t="n">
        <v>13205.58333333333</v>
      </c>
      <c r="BG80" s="2" t="n">
        <v>458.58</v>
      </c>
      <c r="BH80" s="2" t="n">
        <v>0</v>
      </c>
      <c r="BI80" s="2" t="n">
        <v>32273.79</v>
      </c>
      <c r="BJ80" s="2" t="n">
        <v>77.88605042016808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155.09151</v>
      </c>
      <c r="BQ80" s="2" t="n">
        <v>0</v>
      </c>
      <c r="BR80" s="2" t="n">
        <v>32990.34756042017</v>
      </c>
      <c r="BS80" s="2" t="n">
        <v>944.4497478991597</v>
      </c>
      <c r="BT80" s="2" t="n">
        <v>0</v>
      </c>
      <c r="BU80" s="2" t="n">
        <v>6755.941159663867</v>
      </c>
      <c r="BV80" s="2" t="n">
        <v>7700.390907563026</v>
      </c>
      <c r="BW80" s="2" t="n">
        <v>40690.7384679832</v>
      </c>
      <c r="BX80" s="2" t="n">
        <v>11046.29</v>
      </c>
      <c r="BY80" s="2" t="n">
        <v>441.97</v>
      </c>
      <c r="BZ80" s="2" t="n">
        <v>2773.77</v>
      </c>
      <c r="CA80" s="2" t="n">
        <v>11488.26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1259</v>
      </c>
      <c r="B81" t="inlineStr">
        <is>
          <t>Kolejowa 4, 64-020 Czempin</t>
        </is>
      </c>
      <c r="C81" t="inlineStr">
        <is>
          <t>Czempiń</t>
        </is>
      </c>
      <c r="D81" t="inlineStr">
        <is>
          <t>ST|40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3572.87</v>
      </c>
      <c r="AD81" s="2" t="n">
        <v>228.2666944444445</v>
      </c>
      <c r="AE81" s="2" t="n">
        <v>3308.212962962963</v>
      </c>
      <c r="AF81" s="2" t="n">
        <v>1698.96</v>
      </c>
      <c r="AG81" s="2" t="n">
        <v>1676.3</v>
      </c>
      <c r="AH81" s="2" t="n">
        <v>197.61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2310.36</v>
      </c>
      <c r="AP81" s="2" t="n">
        <v>168.9985555555556</v>
      </c>
      <c r="AQ81" s="2" t="n">
        <v>2139.222222222222</v>
      </c>
      <c r="AR81" s="2" t="n">
        <v>725.85</v>
      </c>
      <c r="AS81" s="2" t="n">
        <v>1536.69</v>
      </c>
      <c r="AT81" s="2" t="n">
        <v>47.82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5883.23</v>
      </c>
      <c r="BB81" s="2" t="n">
        <v>3458.42</v>
      </c>
      <c r="BC81" s="2">
        <f>F81+L81+R81+X81+AD81+AJ81+AP81+AV81+IF(BE81="",0,BE81)</f>
        <v/>
      </c>
      <c r="BD81" s="2" t="n">
        <v>53.259668</v>
      </c>
      <c r="BE81" s="2" t="n"/>
      <c r="BF81" s="2" t="n">
        <v>5447.435185185185</v>
      </c>
      <c r="BG81" s="2" t="n">
        <v>0</v>
      </c>
      <c r="BH81" s="2" t="n">
        <v>0</v>
      </c>
      <c r="BI81" s="2" t="n">
        <v>7287.63</v>
      </c>
      <c r="BJ81" s="2" t="n">
        <v>77.88605042016808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46.68867</v>
      </c>
      <c r="BQ81" s="2" t="n">
        <v>0</v>
      </c>
      <c r="BR81" s="2" t="n">
        <v>7437.204720420168</v>
      </c>
      <c r="BS81" s="2" t="n">
        <v>944.4497478991597</v>
      </c>
      <c r="BT81" s="2" t="n">
        <v>0</v>
      </c>
      <c r="BU81" s="2" t="n">
        <v>1666.993159663866</v>
      </c>
      <c r="BV81" s="2" t="n">
        <v>2611.442907563026</v>
      </c>
      <c r="BW81" s="2" t="n">
        <v>10048.64762798319</v>
      </c>
      <c r="BX81" s="2" t="n">
        <v>3212.99</v>
      </c>
      <c r="BY81" s="2" t="n">
        <v>245.43</v>
      </c>
      <c r="BZ81" s="2" t="n">
        <v>2424.81</v>
      </c>
      <c r="CA81" s="2" t="n">
        <v>3458.42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1261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13647.04</v>
      </c>
      <c r="L82" s="2" t="n">
        <v>1135.989718518518</v>
      </c>
      <c r="M82" s="2" t="n">
        <v>12636.14814814815</v>
      </c>
      <c r="N82" s="2" t="n">
        <v>2057.21</v>
      </c>
      <c r="O82" s="2" t="n">
        <v>11416.39</v>
      </c>
      <c r="P82" s="2" t="n">
        <v>173.44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20099.22</v>
      </c>
      <c r="X82" s="2" t="n">
        <v>750</v>
      </c>
      <c r="Y82" s="2" t="n">
        <v>18610.38888888889</v>
      </c>
      <c r="Z82" s="2" t="n">
        <v>2166.03</v>
      </c>
      <c r="AA82" s="2" t="n">
        <v>17802.99</v>
      </c>
      <c r="AB82" s="2" t="n">
        <v>130.2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6941.67</v>
      </c>
      <c r="AP82" s="2" t="n">
        <v>507.7703055555555</v>
      </c>
      <c r="AQ82" s="2" t="n">
        <v>6427.472222222222</v>
      </c>
      <c r="AR82" s="2" t="n">
        <v>1037.39</v>
      </c>
      <c r="AS82" s="2" t="n">
        <v>5759.5</v>
      </c>
      <c r="AT82" s="2" t="n">
        <v>144.78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40687.93</v>
      </c>
      <c r="BB82" s="2" t="n">
        <v>35427.3</v>
      </c>
      <c r="BC82" s="2">
        <f>F82+L82+R82+X82+AD82+AJ82+AP82+AV82+IF(BE82="",0,BE82)</f>
        <v/>
      </c>
      <c r="BD82" s="2" t="n">
        <v>511.507359</v>
      </c>
      <c r="BE82" s="2" t="n"/>
      <c r="BF82" s="2" t="n">
        <v>37674.00925925926</v>
      </c>
      <c r="BG82" s="2" t="n">
        <v>1380</v>
      </c>
      <c r="BH82" s="2" t="n">
        <v>0</v>
      </c>
      <c r="BI82" s="2" t="n">
        <v>32273.79</v>
      </c>
      <c r="BJ82" s="2" t="n">
        <v>77.88605042016808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478.2685500000001</v>
      </c>
      <c r="BQ82" s="2" t="n">
        <v>0</v>
      </c>
      <c r="BR82" s="2" t="n">
        <v>34234.94460042017</v>
      </c>
      <c r="BS82" s="2" t="n">
        <v>944.4497478991597</v>
      </c>
      <c r="BT82" s="2" t="n">
        <v>0</v>
      </c>
      <c r="BU82" s="2" t="n">
        <v>6940.225159663866</v>
      </c>
      <c r="BV82" s="2" t="n">
        <v>7884.674907563026</v>
      </c>
      <c r="BW82" s="2" t="n">
        <v>42119.6195079832</v>
      </c>
      <c r="BX82" s="2" t="n">
        <v>34978.88</v>
      </c>
      <c r="BY82" s="2" t="n">
        <v>448.42</v>
      </c>
      <c r="BZ82" s="2" t="n">
        <v>5260.63</v>
      </c>
      <c r="CA82" s="2" t="n">
        <v>35427.3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1262</v>
      </c>
      <c r="B83" t="inlineStr">
        <is>
          <t>Pawia 5a, 31-154 Kraków</t>
        </is>
      </c>
      <c r="C83" t="inlineStr">
        <is>
          <t>Kraków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11500.96</v>
      </c>
      <c r="L83" s="2" t="n">
        <v>957.3484296296295</v>
      </c>
      <c r="M83" s="2" t="n">
        <v>10649.03703703703</v>
      </c>
      <c r="N83" s="2" t="n">
        <v>2264.46</v>
      </c>
      <c r="O83" s="2" t="n">
        <v>8931.700000000001</v>
      </c>
      <c r="P83" s="2" t="n">
        <v>304.8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14859.31</v>
      </c>
      <c r="X83" s="2" t="n">
        <v>750</v>
      </c>
      <c r="Y83" s="2" t="n">
        <v>13758.62037037037</v>
      </c>
      <c r="Z83" s="2" t="n">
        <v>1467.82</v>
      </c>
      <c r="AA83" s="2" t="n">
        <v>13110.74</v>
      </c>
      <c r="AB83" s="2" t="n">
        <v>280.75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6847.02</v>
      </c>
      <c r="AP83" s="2" t="n">
        <v>500.8468333333333</v>
      </c>
      <c r="AQ83" s="2" t="n">
        <v>6339.833333333333</v>
      </c>
      <c r="AR83" s="2" t="n">
        <v>1048.39</v>
      </c>
      <c r="AS83" s="2" t="n">
        <v>5504.49</v>
      </c>
      <c r="AT83" s="2" t="n">
        <v>294.14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33207.28999999999</v>
      </c>
      <c r="BB83" s="2" t="n">
        <v>28426.62</v>
      </c>
      <c r="BC83" s="2">
        <f>F83+L83+R83+X83+AD83+AJ83+AP83+AV83+IF(BE83="",0,BE83)</f>
        <v/>
      </c>
      <c r="BD83" s="2" t="n">
        <v>412.326117</v>
      </c>
      <c r="BE83" s="2" t="n"/>
      <c r="BF83" s="2" t="n">
        <v>30747.49074074073</v>
      </c>
      <c r="BG83" s="2" t="n">
        <v>1380</v>
      </c>
      <c r="BH83" s="2" t="n">
        <v>0</v>
      </c>
      <c r="BI83" s="2" t="n">
        <v>32273.79</v>
      </c>
      <c r="BJ83" s="2" t="n">
        <v>77.88605042016808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383.75937</v>
      </c>
      <c r="BQ83" s="2" t="n">
        <v>0</v>
      </c>
      <c r="BR83" s="2" t="n">
        <v>34140.43542042017</v>
      </c>
      <c r="BS83" s="2" t="n">
        <v>944.4497478991597</v>
      </c>
      <c r="BT83" s="2" t="n">
        <v>0</v>
      </c>
      <c r="BU83" s="2" t="n">
        <v>6940.225159663866</v>
      </c>
      <c r="BV83" s="2" t="n">
        <v>7884.674907563026</v>
      </c>
      <c r="BW83" s="2" t="n">
        <v>42025.1103279832</v>
      </c>
      <c r="BX83" s="2" t="n">
        <v>27546.93</v>
      </c>
      <c r="BY83" s="2" t="n">
        <v>879.6899999999999</v>
      </c>
      <c r="BZ83" s="2" t="n">
        <v>4780.67</v>
      </c>
      <c r="CA83" s="2" t="n">
        <v>28426.62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1263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37335.48</v>
      </c>
      <c r="L84" s="2" t="n">
        <v>3107.833011111111</v>
      </c>
      <c r="M84" s="2" t="n">
        <v>34569.88888888889</v>
      </c>
      <c r="N84" s="2" t="n">
        <v>4473.4</v>
      </c>
      <c r="O84" s="2" t="n">
        <v>32117.36</v>
      </c>
      <c r="P84" s="2" t="n">
        <v>744.72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69313.20000000001</v>
      </c>
      <c r="X84" s="2" t="n">
        <v>750</v>
      </c>
      <c r="Y84" s="2" t="n">
        <v>64178.8888888889</v>
      </c>
      <c r="Z84" s="2" t="n">
        <v>6271.24</v>
      </c>
      <c r="AA84" s="2" t="n">
        <v>62123.55</v>
      </c>
      <c r="AB84" s="2" t="n">
        <v>918.41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15415.23</v>
      </c>
      <c r="AP84" s="2" t="n">
        <v>1127.595527777778</v>
      </c>
      <c r="AQ84" s="2" t="n">
        <v>14273.36111111111</v>
      </c>
      <c r="AR84" s="2" t="n">
        <v>2171.34</v>
      </c>
      <c r="AS84" s="2" t="n">
        <v>12844.12</v>
      </c>
      <c r="AT84" s="2" t="n">
        <v>399.77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122063.91</v>
      </c>
      <c r="BB84" s="2" t="n">
        <v>109147.93</v>
      </c>
      <c r="BC84" s="2">
        <f>F84+L84+R84+X84+AD84+AJ84+AP84+AV84+IF(BE84="",0,BE84)</f>
        <v/>
      </c>
      <c r="BD84" s="2" t="n">
        <v>1561.098398</v>
      </c>
      <c r="BE84" s="2" t="n"/>
      <c r="BF84" s="2" t="n">
        <v>113022.1388888889</v>
      </c>
      <c r="BG84" s="2" t="n">
        <v>1380</v>
      </c>
      <c r="BH84" s="2" t="n">
        <v>0</v>
      </c>
      <c r="BI84" s="2" t="n">
        <v>32273.79</v>
      </c>
      <c r="BJ84" s="2" t="n">
        <v>77.88605042016808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1473.497055</v>
      </c>
      <c r="BQ84" s="2" t="n">
        <v>0</v>
      </c>
      <c r="BR84" s="2" t="n">
        <v>35230.17310542017</v>
      </c>
      <c r="BS84" s="2" t="n">
        <v>944.4497478991597</v>
      </c>
      <c r="BT84" s="2" t="n">
        <v>0</v>
      </c>
      <c r="BU84" s="2" t="n">
        <v>6940.225159663866</v>
      </c>
      <c r="BV84" s="2" t="n">
        <v>7884.674907563026</v>
      </c>
      <c r="BW84" s="2" t="n">
        <v>43114.8480129832</v>
      </c>
      <c r="BX84" s="2" t="n">
        <v>107085.03</v>
      </c>
      <c r="BY84" s="2" t="n">
        <v>2062.9</v>
      </c>
      <c r="BZ84" s="2" t="n">
        <v>12915.98</v>
      </c>
      <c r="CA84" s="2" t="n">
        <v>109147.93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1264</v>
      </c>
      <c r="B85" t="inlineStr">
        <is>
          <t>Dworcowa 1, 66-400 Gorzów Wlkp</t>
        </is>
      </c>
      <c r="C85" t="inlineStr">
        <is>
          <t>Gorzów Wielkopolski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1149.64</v>
      </c>
      <c r="L85" s="2" t="n">
        <v>95.69688518518518</v>
      </c>
      <c r="M85" s="2" t="n">
        <v>1064.481481481481</v>
      </c>
      <c r="N85" s="2" t="n">
        <v>214.01</v>
      </c>
      <c r="O85" s="2" t="n">
        <v>928.63</v>
      </c>
      <c r="P85" s="2" t="n">
        <v>7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11048.98</v>
      </c>
      <c r="AP85" s="2" t="n">
        <v>808.2124259259259</v>
      </c>
      <c r="AQ85" s="2" t="n">
        <v>10230.53703703704</v>
      </c>
      <c r="AR85" s="2" t="n">
        <v>3243.78</v>
      </c>
      <c r="AS85" s="2" t="n">
        <v>7402.38</v>
      </c>
      <c r="AT85" s="2" t="n">
        <v>402.82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12198.62</v>
      </c>
      <c r="BB85" s="2" t="n">
        <v>8740.83</v>
      </c>
      <c r="BC85" s="2">
        <f>F85+L85+R85+X85+AD85+AJ85+AP85+AV85+IF(BE85="",0,BE85)</f>
        <v/>
      </c>
      <c r="BD85" s="2" t="n">
        <v>134.608782</v>
      </c>
      <c r="BE85" s="2" t="n"/>
      <c r="BF85" s="2" t="n">
        <v>11295.01851851852</v>
      </c>
      <c r="BG85" s="2" t="n">
        <v>366.96</v>
      </c>
      <c r="BH85" s="2" t="n">
        <v>261</v>
      </c>
      <c r="BI85" s="2" t="n">
        <v>7287.63</v>
      </c>
      <c r="BJ85" s="2" t="n">
        <v>77.88605042016808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118.001205</v>
      </c>
      <c r="BQ85" s="2" t="n">
        <v>0</v>
      </c>
      <c r="BR85" s="2" t="n">
        <v>8136.477255420168</v>
      </c>
      <c r="BS85" s="2" t="n">
        <v>944.4497478991597</v>
      </c>
      <c r="BT85" s="2" t="n">
        <v>0</v>
      </c>
      <c r="BU85" s="2" t="n">
        <v>1792.585159663866</v>
      </c>
      <c r="BV85" s="2" t="n">
        <v>2737.034907563025</v>
      </c>
      <c r="BW85" s="2" t="n">
        <v>10873.51216298319</v>
      </c>
      <c r="BX85" s="2" t="n">
        <v>8331.01</v>
      </c>
      <c r="BY85" s="2" t="n">
        <v>409.82</v>
      </c>
      <c r="BZ85" s="2" t="n">
        <v>3457.79</v>
      </c>
      <c r="CA85" s="2" t="n">
        <v>8740.83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1265</v>
      </c>
      <c r="B86" t="inlineStr">
        <is>
          <t>pl. Kolejarza 1, 65-024 Zielona Góra</t>
        </is>
      </c>
      <c r="C86" t="inlineStr">
        <is>
          <t>Zielona Góra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2914.57</v>
      </c>
      <c r="L86" s="2" t="n">
        <v>242.6109657407408</v>
      </c>
      <c r="M86" s="2" t="n">
        <v>2698.675925925926</v>
      </c>
      <c r="N86" s="2" t="n">
        <v>1555.14</v>
      </c>
      <c r="O86" s="2" t="n">
        <v>1022.47</v>
      </c>
      <c r="P86" s="2" t="n">
        <v>336.96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5803.58</v>
      </c>
      <c r="AP86" s="2" t="n">
        <v>424.5211296296296</v>
      </c>
      <c r="AQ86" s="2" t="n">
        <v>5373.685185185185</v>
      </c>
      <c r="AR86" s="2" t="n">
        <v>3350.21</v>
      </c>
      <c r="AS86" s="2" t="n">
        <v>1929.49</v>
      </c>
      <c r="AT86" s="2" t="n">
        <v>523.88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8718.15</v>
      </c>
      <c r="BB86" s="2" t="n">
        <v>3812.8</v>
      </c>
      <c r="BC86" s="2">
        <f>F86+L86+R86+X86+AD86+AJ86+AP86+AV86+IF(BE86="",0,BE86)</f>
        <v/>
      </c>
      <c r="BD86" s="2" t="n">
        <v>58.71712</v>
      </c>
      <c r="BE86" s="2" t="n"/>
      <c r="BF86" s="2" t="n">
        <v>8072.361111111111</v>
      </c>
      <c r="BG86" s="2" t="n">
        <v>366.96</v>
      </c>
      <c r="BH86" s="2" t="n">
        <v>159</v>
      </c>
      <c r="BI86" s="2" t="n">
        <v>32273.79</v>
      </c>
      <c r="BJ86" s="2" t="n">
        <v>77.88605042016808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51.4728</v>
      </c>
      <c r="BQ86" s="2" t="n">
        <v>0</v>
      </c>
      <c r="BR86" s="2" t="n">
        <v>32954.10885042017</v>
      </c>
      <c r="BS86" s="2" t="n">
        <v>944.4497478991597</v>
      </c>
      <c r="BT86" s="2" t="n">
        <v>0</v>
      </c>
      <c r="BU86" s="2" t="n">
        <v>6769.417159663866</v>
      </c>
      <c r="BV86" s="2" t="n">
        <v>7713.866907563026</v>
      </c>
      <c r="BW86" s="2" t="n">
        <v>40667.97575798319</v>
      </c>
      <c r="BX86" s="2" t="n">
        <v>2951.96</v>
      </c>
      <c r="BY86" s="2" t="n">
        <v>860.8399999999999</v>
      </c>
      <c r="BZ86" s="2" t="n">
        <v>4905.35</v>
      </c>
      <c r="CA86" s="2" t="n">
        <v>3812.8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1266</v>
      </c>
      <c r="B87" t="inlineStr">
        <is>
          <t>Dworcowa 1, 64-100 Leszno</t>
        </is>
      </c>
      <c r="C87" t="inlineStr">
        <is>
          <t>Leszno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7298.33</v>
      </c>
      <c r="L87" s="2" t="n">
        <v>607.5183953703704</v>
      </c>
      <c r="M87" s="2" t="n">
        <v>6757.712962962963</v>
      </c>
      <c r="N87" s="2" t="n">
        <v>145</v>
      </c>
      <c r="O87" s="2" t="n">
        <v>6085.88</v>
      </c>
      <c r="P87" s="2" t="n">
        <v>1067.45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5543.549999999999</v>
      </c>
      <c r="AD87" s="2" t="n">
        <v>354.17125</v>
      </c>
      <c r="AE87" s="2" t="n">
        <v>5132.916666666666</v>
      </c>
      <c r="AF87" s="2" t="n">
        <v>23.9</v>
      </c>
      <c r="AG87" s="2" t="n">
        <v>4858.67</v>
      </c>
      <c r="AH87" s="2" t="n">
        <v>660.98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4524.57</v>
      </c>
      <c r="AP87" s="2" t="n">
        <v>330.9639166666666</v>
      </c>
      <c r="AQ87" s="2" t="n">
        <v>4189.416666666666</v>
      </c>
      <c r="AR87" s="2" t="n">
        <v>0</v>
      </c>
      <c r="AS87" s="2" t="n">
        <v>3921.98</v>
      </c>
      <c r="AT87" s="2" t="n">
        <v>602.59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17366.45</v>
      </c>
      <c r="BB87" s="2" t="n">
        <v>17197.55</v>
      </c>
      <c r="BC87" s="2">
        <f>F87+L87+R87+X87+AD87+AJ87+AP87+AV87+IF(BE87="",0,BE87)</f>
        <v/>
      </c>
      <c r="BD87" s="2" t="n">
        <v>264.84227</v>
      </c>
      <c r="BE87" s="2" t="n"/>
      <c r="BF87" s="2" t="n">
        <v>16080.04629629629</v>
      </c>
      <c r="BG87" s="2" t="n">
        <v>0</v>
      </c>
      <c r="BH87" s="2" t="n">
        <v>121.8</v>
      </c>
      <c r="BI87" s="2" t="n">
        <v>32273.79</v>
      </c>
      <c r="BJ87" s="2" t="n">
        <v>77.88605042016808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232.166925</v>
      </c>
      <c r="BQ87" s="2" t="n">
        <v>0</v>
      </c>
      <c r="BR87" s="2" t="n">
        <v>32730.64297542017</v>
      </c>
      <c r="BS87" s="2" t="n">
        <v>944.4497478991597</v>
      </c>
      <c r="BT87" s="2" t="n">
        <v>0</v>
      </c>
      <c r="BU87" s="2" t="n">
        <v>6688.585159663867</v>
      </c>
      <c r="BV87" s="2" t="n">
        <v>7633.034907563027</v>
      </c>
      <c r="BW87" s="2" t="n">
        <v>40363.6778829832</v>
      </c>
      <c r="BX87" s="2" t="n">
        <v>14866.53</v>
      </c>
      <c r="BY87" s="2" t="n">
        <v>2331.02</v>
      </c>
      <c r="BZ87" s="2" t="n">
        <v>168.9</v>
      </c>
      <c r="CA87" s="2" t="n">
        <v>17197.55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1267</v>
      </c>
      <c r="B88" t="inlineStr">
        <is>
          <t>Pawia 5a, 31-154 Kraków</t>
        </is>
      </c>
      <c r="C88" t="inlineStr">
        <is>
          <t>Kraków Główny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13782.18</v>
      </c>
      <c r="L88" s="2" t="n">
        <v>1147.238872222222</v>
      </c>
      <c r="M88" s="2" t="n">
        <v>12761.27777777778</v>
      </c>
      <c r="N88" s="2" t="n">
        <v>3231.86</v>
      </c>
      <c r="O88" s="2" t="n">
        <v>9704.940000000001</v>
      </c>
      <c r="P88" s="2" t="n">
        <v>845.38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31718.13</v>
      </c>
      <c r="X88" s="2" t="n">
        <v>750</v>
      </c>
      <c r="Y88" s="2" t="n">
        <v>29368.63888888889</v>
      </c>
      <c r="Z88" s="2" t="n">
        <v>2919.31</v>
      </c>
      <c r="AA88" s="2" t="n">
        <v>28172.26</v>
      </c>
      <c r="AB88" s="2" t="n">
        <v>626.5599999999999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5512.509999999999</v>
      </c>
      <c r="AP88" s="2" t="n">
        <v>403.2298981481481</v>
      </c>
      <c r="AQ88" s="2" t="n">
        <v>5104.175925925925</v>
      </c>
      <c r="AR88" s="2" t="n">
        <v>992.28</v>
      </c>
      <c r="AS88" s="2" t="n">
        <v>4361.75</v>
      </c>
      <c r="AT88" s="2" t="n">
        <v>158.48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51012.82</v>
      </c>
      <c r="BB88" s="2" t="n">
        <v>43869.37</v>
      </c>
      <c r="BC88" s="2">
        <f>F88+L88+R88+X88+AD88+AJ88+AP88+AV88+IF(BE88="",0,BE88)</f>
        <v/>
      </c>
      <c r="BD88" s="2" t="n">
        <v>620.87054</v>
      </c>
      <c r="BE88" s="2" t="n"/>
      <c r="BF88" s="2" t="n">
        <v>47234.09259259259</v>
      </c>
      <c r="BG88" s="2" t="n">
        <v>1056.72</v>
      </c>
      <c r="BH88" s="2" t="n">
        <v>276</v>
      </c>
      <c r="BI88" s="2" t="n">
        <v>32273.79</v>
      </c>
      <c r="BJ88" s="2" t="n">
        <v>77.88605042016808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592.236495</v>
      </c>
      <c r="BQ88" s="2" t="n">
        <v>0</v>
      </c>
      <c r="BR88" s="2" t="n">
        <v>34301.63254542017</v>
      </c>
      <c r="BS88" s="2" t="n">
        <v>944.4497478991597</v>
      </c>
      <c r="BT88" s="2" t="n">
        <v>0</v>
      </c>
      <c r="BU88" s="2" t="n">
        <v>6930.769159663866</v>
      </c>
      <c r="BV88" s="2" t="n">
        <v>7875.218907563026</v>
      </c>
      <c r="BW88" s="2" t="n">
        <v>42176.85145298319</v>
      </c>
      <c r="BX88" s="2" t="n">
        <v>42238.95</v>
      </c>
      <c r="BY88" s="2" t="n">
        <v>1630.42</v>
      </c>
      <c r="BZ88" s="2" t="n">
        <v>7143.45</v>
      </c>
      <c r="CA88" s="2" t="n">
        <v>43869.37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1268</v>
      </c>
      <c r="B89" t="inlineStr">
        <is>
          <t>Kolejowa 5, 83-200 Starogard Gdański</t>
        </is>
      </c>
      <c r="C89" t="inlineStr">
        <is>
          <t>Starogard Gdański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21269.67</v>
      </c>
      <c r="AP89" s="2" t="n">
        <v>4177</v>
      </c>
      <c r="AQ89" s="2" t="n">
        <v>19694.13888888889</v>
      </c>
      <c r="AR89" s="2" t="n">
        <v>8759.450000000001</v>
      </c>
      <c r="AS89" s="2" t="n">
        <v>11458.31</v>
      </c>
      <c r="AT89" s="2" t="n">
        <v>1051.91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21269.67</v>
      </c>
      <c r="BB89" s="2" t="n">
        <v>12510.22</v>
      </c>
      <c r="BC89" s="2">
        <f>F89+L89+R89+X89+AD89+AJ89+AP89+AV89+IF(BE89="",0,BE89)</f>
        <v/>
      </c>
      <c r="BD89" s="2" t="n">
        <v>192.657388</v>
      </c>
      <c r="BE89" s="2" t="n"/>
      <c r="BF89" s="2" t="n">
        <v>19694.13888888889</v>
      </c>
      <c r="BG89" s="2" t="n">
        <v>0</v>
      </c>
      <c r="BH89" s="2" t="n">
        <v>0</v>
      </c>
      <c r="BI89" s="2" t="n">
        <v>32273.79</v>
      </c>
      <c r="BJ89" s="2" t="n">
        <v>77.88605042016808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168.88797</v>
      </c>
      <c r="BQ89" s="2" t="n">
        <v>0</v>
      </c>
      <c r="BR89" s="2" t="n">
        <v>32545.56402042017</v>
      </c>
      <c r="BS89" s="2" t="n">
        <v>944.4497478991597</v>
      </c>
      <c r="BT89" s="2" t="n">
        <v>0</v>
      </c>
      <c r="BU89" s="2" t="n">
        <v>6664.225159663866</v>
      </c>
      <c r="BV89" s="2" t="n">
        <v>7608.674907563026</v>
      </c>
      <c r="BW89" s="2" t="n">
        <v>40154.2389279832</v>
      </c>
      <c r="BX89" s="2" t="n">
        <v>11458.31</v>
      </c>
      <c r="BY89" s="2" t="n">
        <v>1051.91</v>
      </c>
      <c r="BZ89" s="2" t="n">
        <v>8759.450000000001</v>
      </c>
      <c r="CA89" s="2" t="n">
        <v>12510.22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1269</v>
      </c>
      <c r="B90" t="inlineStr">
        <is>
          <t>Podwale Grodzkie 1, 80-895 Gdańsk</t>
        </is>
      </c>
      <c r="C90" t="inlineStr">
        <is>
          <t>Gdańsk Główny</t>
        </is>
      </c>
      <c r="D90" t="inlineStr">
        <is>
          <t>ST|40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10738.98</v>
      </c>
      <c r="L90" s="2" t="n">
        <v>893.92065</v>
      </c>
      <c r="M90" s="2" t="n">
        <v>9943.5</v>
      </c>
      <c r="N90" s="2" t="n">
        <v>1016.11</v>
      </c>
      <c r="O90" s="2" t="n">
        <v>9175.42</v>
      </c>
      <c r="P90" s="2" t="n">
        <v>547.45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6713.280000000001</v>
      </c>
      <c r="AP90" s="2" t="n">
        <v>491.064</v>
      </c>
      <c r="AQ90" s="2" t="n">
        <v>6216</v>
      </c>
      <c r="AR90" s="2" t="n">
        <v>1353.34</v>
      </c>
      <c r="AS90" s="2" t="n">
        <v>4914.55</v>
      </c>
      <c r="AT90" s="2" t="n">
        <v>445.39</v>
      </c>
      <c r="AU90" s="2" t="n">
        <v>2103.05</v>
      </c>
      <c r="AV90" s="2" t="n">
        <v>83.73254629629629</v>
      </c>
      <c r="AW90" s="2" t="n">
        <v>1947.268518518518</v>
      </c>
      <c r="AX90" s="2" t="n">
        <v>431.55</v>
      </c>
      <c r="AY90" s="2" t="n">
        <v>1484.65</v>
      </c>
      <c r="AZ90" s="2" t="n">
        <v>186.85</v>
      </c>
      <c r="BA90" s="2" t="n">
        <v>19555.31</v>
      </c>
      <c r="BB90" s="2" t="n">
        <v>16754.31</v>
      </c>
      <c r="BC90" s="2">
        <f>F90+L90+R90+X90+AD90+AJ90+AP90+AV90+IF(BE90="",0,BE90)</f>
        <v/>
      </c>
      <c r="BD90" s="2" t="n">
        <v>258.016374</v>
      </c>
      <c r="BE90" s="2" t="n"/>
      <c r="BF90" s="2" t="n">
        <v>18106.76851851852</v>
      </c>
      <c r="BG90" s="2" t="n">
        <v>0</v>
      </c>
      <c r="BH90" s="2" t="n">
        <v>0</v>
      </c>
      <c r="BI90" s="2" t="n">
        <v>32273.79</v>
      </c>
      <c r="BJ90" s="2" t="n">
        <v>77.88605042016808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226.183185</v>
      </c>
      <c r="BQ90" s="2" t="n">
        <v>0</v>
      </c>
      <c r="BR90" s="2" t="n">
        <v>32602.85923542017</v>
      </c>
      <c r="BS90" s="2" t="n">
        <v>944.4497478991597</v>
      </c>
      <c r="BT90" s="2" t="n">
        <v>0</v>
      </c>
      <c r="BU90" s="2" t="n">
        <v>6664.225159663866</v>
      </c>
      <c r="BV90" s="2" t="n">
        <v>7608.674907563026</v>
      </c>
      <c r="BW90" s="2" t="n">
        <v>40211.5341429832</v>
      </c>
      <c r="BX90" s="2" t="n">
        <v>15574.62</v>
      </c>
      <c r="BY90" s="2" t="n">
        <v>1179.69</v>
      </c>
      <c r="BZ90" s="2" t="n">
        <v>2801</v>
      </c>
      <c r="CA90" s="2" t="n">
        <v>16754.31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1270</v>
      </c>
      <c r="B91" t="inlineStr">
        <is>
          <t>Marii Konopnickiej 10, 10-168 Olsztyn</t>
        </is>
      </c>
      <c r="C91" t="inlineStr">
        <is>
          <t>Olsztyn Zachodni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12379.92</v>
      </c>
      <c r="L91" s="2" t="n">
        <v>1030.513711111111</v>
      </c>
      <c r="M91" s="2" t="n">
        <v>11462.88888888889</v>
      </c>
      <c r="N91" s="2" t="n">
        <v>2397</v>
      </c>
      <c r="O91" s="2" t="n">
        <v>9514.34</v>
      </c>
      <c r="P91" s="2" t="n">
        <v>468.58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8590.65</v>
      </c>
      <c r="AP91" s="2" t="n">
        <v>628.3901388888888</v>
      </c>
      <c r="AQ91" s="2" t="n">
        <v>7954.305555555555</v>
      </c>
      <c r="AR91" s="2" t="n">
        <v>2466.53</v>
      </c>
      <c r="AS91" s="2" t="n">
        <v>5383.55</v>
      </c>
      <c r="AT91" s="2" t="n">
        <v>740.5700000000001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20970.57</v>
      </c>
      <c r="BB91" s="2" t="n">
        <v>16107.04</v>
      </c>
      <c r="BC91" s="2">
        <f>F91+L91+R91+X91+AD91+AJ91+AP91+AV91+IF(BE91="",0,BE91)</f>
        <v/>
      </c>
      <c r="BD91" s="2" t="n">
        <v>248.048416</v>
      </c>
      <c r="BE91" s="2" t="n"/>
      <c r="BF91" s="2" t="n">
        <v>19417.19444444445</v>
      </c>
      <c r="BG91" s="2" t="n">
        <v>343</v>
      </c>
      <c r="BH91" s="2" t="n">
        <v>0</v>
      </c>
      <c r="BI91" s="2" t="n">
        <v>32273.79</v>
      </c>
      <c r="BJ91" s="2" t="n">
        <v>77.88605042016808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217.44504</v>
      </c>
      <c r="BQ91" s="2" t="n">
        <v>0</v>
      </c>
      <c r="BR91" s="2" t="n">
        <v>32937.12109042017</v>
      </c>
      <c r="BS91" s="2" t="n">
        <v>944.4497478991597</v>
      </c>
      <c r="BT91" s="2" t="n">
        <v>0</v>
      </c>
      <c r="BU91" s="2" t="n">
        <v>6732.825159663866</v>
      </c>
      <c r="BV91" s="2" t="n">
        <v>7677.274907563025</v>
      </c>
      <c r="BW91" s="2" t="n">
        <v>40614.3959979832</v>
      </c>
      <c r="BX91" s="2" t="n">
        <v>14897.89</v>
      </c>
      <c r="BY91" s="2" t="n">
        <v>1209.15</v>
      </c>
      <c r="BZ91" s="2" t="n">
        <v>4863.530000000001</v>
      </c>
      <c r="CA91" s="2" t="n">
        <v>16107.04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1271</v>
      </c>
      <c r="B92" t="inlineStr">
        <is>
          <t>Zygmunta Augusta 7, 85-082 Bydgoszcz</t>
        </is>
      </c>
      <c r="C92" t="inlineStr">
        <is>
          <t>Bydgoszcz</t>
        </is>
      </c>
      <c r="D92" t="inlineStr">
        <is>
          <t>FAA2000</t>
        </is>
      </c>
      <c r="E92" s="2" t="n">
        <v>7572.690000000001</v>
      </c>
      <c r="F92" s="2" t="n">
        <v>1000</v>
      </c>
      <c r="G92" s="2" t="n">
        <v>7011.75</v>
      </c>
      <c r="H92" s="2" t="n">
        <v>1184.47</v>
      </c>
      <c r="I92" s="2" t="n">
        <v>5611.26</v>
      </c>
      <c r="J92" s="2" t="n">
        <v>776.96</v>
      </c>
      <c r="K92" s="2" t="n">
        <v>12117.79</v>
      </c>
      <c r="L92" s="2" t="n">
        <v>1008.693815740741</v>
      </c>
      <c r="M92" s="2" t="n">
        <v>11220.17592592593</v>
      </c>
      <c r="N92" s="2" t="n">
        <v>2304.84</v>
      </c>
      <c r="O92" s="2" t="n">
        <v>9129.559999999999</v>
      </c>
      <c r="P92" s="2" t="n">
        <v>683.39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16084.62</v>
      </c>
      <c r="AP92" s="2" t="n">
        <v>1176.560166666667</v>
      </c>
      <c r="AQ92" s="2" t="n">
        <v>14893.16666666667</v>
      </c>
      <c r="AR92" s="2" t="n">
        <v>2665.33</v>
      </c>
      <c r="AS92" s="2" t="n">
        <v>12051.43</v>
      </c>
      <c r="AT92" s="2" t="n">
        <v>1367.86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35775.1</v>
      </c>
      <c r="BB92" s="2" t="n">
        <v>29620.46</v>
      </c>
      <c r="BC92" s="2">
        <f>F92+L92+R92+X92+AD92+AJ92+AP92+AV92+IF(BE92="",0,BE92)</f>
        <v/>
      </c>
      <c r="BD92" s="2" t="n">
        <v>456.155084</v>
      </c>
      <c r="BE92" s="2" t="n"/>
      <c r="BF92" s="2" t="n">
        <v>33125.09259259259</v>
      </c>
      <c r="BG92" s="2" t="n">
        <v>131.78</v>
      </c>
      <c r="BH92" s="2" t="n">
        <v>119.07</v>
      </c>
      <c r="BI92" s="2" t="n">
        <v>32273.79</v>
      </c>
      <c r="BJ92" s="2" t="n">
        <v>77.88605042016808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399.87621</v>
      </c>
      <c r="BQ92" s="2" t="n">
        <v>0</v>
      </c>
      <c r="BR92" s="2" t="n">
        <v>33027.40226042017</v>
      </c>
      <c r="BS92" s="2" t="n">
        <v>944.4497478991597</v>
      </c>
      <c r="BT92" s="2" t="n">
        <v>0</v>
      </c>
      <c r="BU92" s="2" t="n">
        <v>6714.395159663865</v>
      </c>
      <c r="BV92" s="2" t="n">
        <v>7658.844907563025</v>
      </c>
      <c r="BW92" s="2" t="n">
        <v>40686.24716798319</v>
      </c>
      <c r="BX92" s="2" t="n">
        <v>26792.25</v>
      </c>
      <c r="BY92" s="2" t="n">
        <v>2828.21</v>
      </c>
      <c r="BZ92" s="2" t="n">
        <v>6154.64</v>
      </c>
      <c r="CA92" s="2" t="n">
        <v>29620.46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1272</v>
      </c>
      <c r="B93" t="inlineStr">
        <is>
          <t>Dworcowa 115, 88-110 Inowrocław</t>
        </is>
      </c>
      <c r="C93" t="inlineStr">
        <is>
          <t>Inowrocław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7873.12</v>
      </c>
      <c r="L93" s="2" t="n">
        <v>655.3643407407408</v>
      </c>
      <c r="M93" s="2" t="n">
        <v>7289.925925925925</v>
      </c>
      <c r="N93" s="2" t="n">
        <v>2678.64</v>
      </c>
      <c r="O93" s="2" t="n">
        <v>4803.67</v>
      </c>
      <c r="P93" s="2" t="n">
        <v>390.81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9222.799999999999</v>
      </c>
      <c r="AP93" s="2" t="n">
        <v>674.6307407407406</v>
      </c>
      <c r="AQ93" s="2" t="n">
        <v>8539.629629629628</v>
      </c>
      <c r="AR93" s="2" t="n">
        <v>3492.49</v>
      </c>
      <c r="AS93" s="2" t="n">
        <v>5311.98</v>
      </c>
      <c r="AT93" s="2" t="n">
        <v>418.33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17095.92</v>
      </c>
      <c r="BB93" s="2" t="n">
        <v>10924.79</v>
      </c>
      <c r="BC93" s="2">
        <f>F93+L93+R93+X93+AD93+AJ93+AP93+AV93+IF(BE93="",0,BE93)</f>
        <v/>
      </c>
      <c r="BD93" s="2" t="n">
        <v>168.241766</v>
      </c>
      <c r="BE93" s="2" t="n"/>
      <c r="BF93" s="2" t="n">
        <v>15829.55555555555</v>
      </c>
      <c r="BG93" s="2" t="n">
        <v>382</v>
      </c>
      <c r="BH93" s="2" t="n">
        <v>143</v>
      </c>
      <c r="BI93" s="2" t="n">
        <v>32273.79</v>
      </c>
      <c r="BJ93" s="2" t="n">
        <v>77.88605042016808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147.484665</v>
      </c>
      <c r="BQ93" s="2" t="n">
        <v>0</v>
      </c>
      <c r="BR93" s="2" t="n">
        <v>33049.16071542017</v>
      </c>
      <c r="BS93" s="2" t="n">
        <v>944.4497478991597</v>
      </c>
      <c r="BT93" s="2" t="n">
        <v>0</v>
      </c>
      <c r="BU93" s="2" t="n">
        <v>6769.225159663866</v>
      </c>
      <c r="BV93" s="2" t="n">
        <v>7713.674907563026</v>
      </c>
      <c r="BW93" s="2" t="n">
        <v>40762.8356229832</v>
      </c>
      <c r="BX93" s="2" t="n">
        <v>10115.65</v>
      </c>
      <c r="BY93" s="2" t="n">
        <v>809.14</v>
      </c>
      <c r="BZ93" s="2" t="n">
        <v>6171.129999999999</v>
      </c>
      <c r="CA93" s="2" t="n">
        <v>10924.79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1273</v>
      </c>
      <c r="B94" t="inlineStr">
        <is>
          <t>Towarowa 5, 84-120 Władysławowo</t>
        </is>
      </c>
      <c r="C94" t="inlineStr">
        <is>
          <t>Władysławowo</t>
        </is>
      </c>
      <c r="D94" t="inlineStr">
        <is>
          <t>ST|40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1211.83</v>
      </c>
      <c r="L94" s="2" t="n">
        <v>100.8736268518519</v>
      </c>
      <c r="M94" s="2" t="n">
        <v>1122.064814814815</v>
      </c>
      <c r="N94" s="2" t="n">
        <v>0</v>
      </c>
      <c r="O94" s="2" t="n">
        <v>975.63</v>
      </c>
      <c r="P94" s="2" t="n">
        <v>236.2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9287.389999999999</v>
      </c>
      <c r="AP94" s="2" t="n">
        <v>5475</v>
      </c>
      <c r="AQ94" s="2" t="n">
        <v>8599.435185185184</v>
      </c>
      <c r="AR94" s="2" t="n">
        <v>0</v>
      </c>
      <c r="AS94" s="2" t="n">
        <v>8237.059999999999</v>
      </c>
      <c r="AT94" s="2" t="n">
        <v>1050.33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10499.22</v>
      </c>
      <c r="BB94" s="2" t="n">
        <v>10499.22</v>
      </c>
      <c r="BC94" s="2">
        <f>F94+L94+R94+X94+AD94+AJ94+AP94+AV94+IF(BE94="",0,BE94)</f>
        <v/>
      </c>
      <c r="BD94" s="2" t="n">
        <v>161.687988</v>
      </c>
      <c r="BE94" s="2" t="n"/>
      <c r="BF94" s="2" t="n">
        <v>9721.5</v>
      </c>
      <c r="BG94" s="2" t="n">
        <v>0</v>
      </c>
      <c r="BH94" s="2" t="n">
        <v>0</v>
      </c>
      <c r="BI94" s="2" t="n">
        <v>32273.79</v>
      </c>
      <c r="BJ94" s="2" t="n">
        <v>77.88605042016808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141.73947</v>
      </c>
      <c r="BQ94" s="2" t="n">
        <v>0</v>
      </c>
      <c r="BR94" s="2" t="n">
        <v>32518.41552042017</v>
      </c>
      <c r="BS94" s="2" t="n">
        <v>944.4497478991597</v>
      </c>
      <c r="BT94" s="2" t="n">
        <v>0</v>
      </c>
      <c r="BU94" s="2" t="n">
        <v>6664.225159663866</v>
      </c>
      <c r="BV94" s="2" t="n">
        <v>7608.674907563026</v>
      </c>
      <c r="BW94" s="2" t="n">
        <v>40127.0904279832</v>
      </c>
      <c r="BX94" s="2" t="n">
        <v>9212.689999999999</v>
      </c>
      <c r="BY94" s="2" t="n">
        <v>1286.53</v>
      </c>
      <c r="BZ94" s="2" t="n">
        <v>0</v>
      </c>
      <c r="CA94" s="2" t="n">
        <v>10499.22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1274</v>
      </c>
      <c r="B95" t="inlineStr">
        <is>
          <t>Czersk</t>
        </is>
      </c>
      <c r="C95" t="inlineStr">
        <is>
          <t>Czersk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2354.71</v>
      </c>
      <c r="AP95" s="2" t="n">
        <v>3900</v>
      </c>
      <c r="AQ95" s="2" t="n">
        <v>2180.287037037037</v>
      </c>
      <c r="AR95" s="2" t="n">
        <v>0</v>
      </c>
      <c r="AS95" s="2" t="n">
        <v>1978.64</v>
      </c>
      <c r="AT95" s="2" t="n">
        <v>376.07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2354.71</v>
      </c>
      <c r="BB95" s="2" t="n">
        <v>2354.71</v>
      </c>
      <c r="BC95" s="2">
        <f>F95+L95+R95+X95+AD95+AJ95+AP95+AV95+IF(BE95="",0,BE95)</f>
        <v/>
      </c>
      <c r="BD95" s="2" t="n">
        <v>36.262534</v>
      </c>
      <c r="BE95" s="2" t="n"/>
      <c r="BF95" s="2" t="n">
        <v>2180.287037037037</v>
      </c>
      <c r="BG95" s="2" t="n">
        <v>0</v>
      </c>
      <c r="BH95" s="2" t="n">
        <v>0</v>
      </c>
      <c r="BI95" s="2" t="n">
        <v>32273.79</v>
      </c>
      <c r="BJ95" s="2" t="n">
        <v>77.88605042016808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31.788585</v>
      </c>
      <c r="BQ95" s="2" t="n">
        <v>0</v>
      </c>
      <c r="BR95" s="2" t="n">
        <v>32408.46463542017</v>
      </c>
      <c r="BS95" s="2" t="n">
        <v>944.4497478991597</v>
      </c>
      <c r="BT95" s="2" t="n">
        <v>0</v>
      </c>
      <c r="BU95" s="2" t="n">
        <v>6664.225159663866</v>
      </c>
      <c r="BV95" s="2" t="n">
        <v>7608.674907563026</v>
      </c>
      <c r="BW95" s="2" t="n">
        <v>40017.1395429832</v>
      </c>
      <c r="BX95" s="2" t="n">
        <v>1978.64</v>
      </c>
      <c r="BY95" s="2" t="n">
        <v>376.07</v>
      </c>
      <c r="BZ95" s="2" t="n">
        <v>0</v>
      </c>
      <c r="CA95" s="2" t="n">
        <v>2354.71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1275</v>
      </c>
      <c r="B96" t="inlineStr">
        <is>
          <t>POZN-D</t>
        </is>
      </c>
      <c r="C96" t="inlineStr">
        <is>
          <t>Poznań Dębiec</t>
        </is>
      </c>
      <c r="D96" t="inlineStr">
        <is>
          <t>FAA2000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393.96</v>
      </c>
      <c r="L96" s="2" t="n">
        <v>0</v>
      </c>
      <c r="M96" s="2" t="n">
        <v>364.7777777777777</v>
      </c>
      <c r="N96" s="2" t="n">
        <v>0</v>
      </c>
      <c r="O96" s="2" t="n">
        <v>393.96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393.96</v>
      </c>
      <c r="BB96" s="2" t="n">
        <v>393.96</v>
      </c>
      <c r="BC96" s="2">
        <f>F96+L96+R96+X96+AD96+AJ96+AP96+AV96+IF(BE96="",0,BE96)</f>
        <v/>
      </c>
      <c r="BD96" s="2" t="n">
        <v>6.066984</v>
      </c>
      <c r="BE96" s="2" t="n"/>
      <c r="BF96" s="2" t="n">
        <v>364.7777777777777</v>
      </c>
      <c r="BG96" s="2" t="n">
        <v>600</v>
      </c>
      <c r="BH96" s="2" t="n">
        <v>0</v>
      </c>
      <c r="BI96" s="2" t="n">
        <v>32273.79</v>
      </c>
      <c r="BJ96" s="2" t="n">
        <v>77.88605042016808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5.31846</v>
      </c>
      <c r="BQ96" s="2" t="n">
        <v>0</v>
      </c>
      <c r="BR96" s="2" t="n">
        <v>32981.99451042017</v>
      </c>
      <c r="BS96" s="2" t="n">
        <v>944.4497478991597</v>
      </c>
      <c r="BT96" s="2" t="n">
        <v>0</v>
      </c>
      <c r="BU96" s="2" t="n">
        <v>6784.225159663866</v>
      </c>
      <c r="BV96" s="2" t="n">
        <v>7728.674907563026</v>
      </c>
      <c r="BW96" s="2" t="n">
        <v>40710.6694179832</v>
      </c>
      <c r="BX96" s="2" t="n">
        <v>393.96</v>
      </c>
      <c r="BY96" s="2" t="n">
        <v>0</v>
      </c>
      <c r="BZ96" s="2" t="n">
        <v>0</v>
      </c>
      <c r="CA96" s="2" t="n">
        <v>393.96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1276</v>
      </c>
      <c r="B97" t="inlineStr">
        <is>
          <t>GDA-STR</t>
        </is>
      </c>
      <c r="C97" t="inlineStr">
        <is>
          <t>Gdańsk Strzyża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9865.700000000001</v>
      </c>
      <c r="AP97" s="2" t="n">
        <v>0</v>
      </c>
      <c r="AQ97" s="2" t="n">
        <v>9134.907407407407</v>
      </c>
      <c r="AR97" s="2" t="n">
        <v>1776.5</v>
      </c>
      <c r="AS97" s="2" t="n">
        <v>7808.42</v>
      </c>
      <c r="AT97" s="2" t="n">
        <v>280.78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9865.700000000001</v>
      </c>
      <c r="BB97" s="2" t="n">
        <v>8089.2</v>
      </c>
      <c r="BC97" s="2">
        <f>F97+L97+R97+X97+AD97+AJ97+AP97+AV97+IF(BE97="",0,BE97)</f>
        <v/>
      </c>
      <c r="BD97" s="2" t="n">
        <v>124.57368</v>
      </c>
      <c r="BE97" s="2" t="n"/>
      <c r="BF97" s="2" t="n">
        <v>9134.907407407407</v>
      </c>
      <c r="BG97" s="2" t="n">
        <v>0</v>
      </c>
      <c r="BH97" s="2" t="n">
        <v>0</v>
      </c>
      <c r="BI97" s="2" t="n">
        <v>32273.79</v>
      </c>
      <c r="BJ97" s="2" t="n">
        <v>77.88605042016808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109.2042</v>
      </c>
      <c r="BQ97" s="2" t="n">
        <v>0</v>
      </c>
      <c r="BR97" s="2" t="n">
        <v>32485.88025042017</v>
      </c>
      <c r="BS97" s="2" t="n">
        <v>944.4497478991597</v>
      </c>
      <c r="BT97" s="2" t="n">
        <v>0</v>
      </c>
      <c r="BU97" s="2" t="n">
        <v>6664.225159663866</v>
      </c>
      <c r="BV97" s="2" t="n">
        <v>7608.674907563026</v>
      </c>
      <c r="BW97" s="2" t="n">
        <v>40094.5551579832</v>
      </c>
      <c r="BX97" s="2" t="n">
        <v>7808.42</v>
      </c>
      <c r="BY97" s="2" t="n">
        <v>280.78</v>
      </c>
      <c r="BZ97" s="2" t="n">
        <v>1776.5</v>
      </c>
      <c r="CA97" s="2" t="n">
        <v>8089.2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1277</v>
      </c>
      <c r="B98" t="inlineStr">
        <is>
          <t>Plac Konstytucji 1, 81-354 Gdynia</t>
        </is>
      </c>
      <c r="C98" t="inlineStr">
        <is>
          <t>Gdynia Główna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8030.91</v>
      </c>
      <c r="L98" s="2" t="n">
        <v>668.4988972222222</v>
      </c>
      <c r="M98" s="2" t="n">
        <v>7436.027777777777</v>
      </c>
      <c r="N98" s="2" t="n">
        <v>4386.96</v>
      </c>
      <c r="O98" s="2" t="n">
        <v>3196.95</v>
      </c>
      <c r="P98" s="2" t="n">
        <v>447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17178.74</v>
      </c>
      <c r="AP98" s="2" t="n">
        <v>1256.593018518518</v>
      </c>
      <c r="AQ98" s="2" t="n">
        <v>15906.24074074074</v>
      </c>
      <c r="AR98" s="2" t="n">
        <v>5499.82</v>
      </c>
      <c r="AS98" s="2" t="n">
        <v>11259.32</v>
      </c>
      <c r="AT98" s="2" t="n">
        <v>419.6</v>
      </c>
      <c r="AU98" s="2" t="n">
        <v>16243.7</v>
      </c>
      <c r="AV98" s="2" t="n">
        <v>646.7399074074073</v>
      </c>
      <c r="AW98" s="2" t="n">
        <v>15040.46296296296</v>
      </c>
      <c r="AX98" s="2" t="n">
        <v>3293.25</v>
      </c>
      <c r="AY98" s="2" t="n">
        <v>12400.4</v>
      </c>
      <c r="AZ98" s="2" t="n">
        <v>550.05</v>
      </c>
      <c r="BA98" s="2" t="n">
        <v>41453.35</v>
      </c>
      <c r="BB98" s="2" t="n">
        <v>28273.32</v>
      </c>
      <c r="BC98" s="2">
        <f>F98+L98+R98+X98+AD98+AJ98+AP98+AV98+IF(BE98="",0,BE98)</f>
        <v/>
      </c>
      <c r="BD98" s="2" t="n">
        <v>435.409128</v>
      </c>
      <c r="BE98" s="2" t="n"/>
      <c r="BF98" s="2" t="n">
        <v>38382.73148148147</v>
      </c>
      <c r="BG98" s="2" t="n">
        <v>971.34</v>
      </c>
      <c r="BH98" s="2" t="n">
        <v>93.59999999999999</v>
      </c>
      <c r="BI98" s="2" t="n">
        <v>32273.79</v>
      </c>
      <c r="BJ98" s="2" t="n">
        <v>77.88605042016808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381.6898199999999</v>
      </c>
      <c r="BQ98" s="2" t="n">
        <v>0</v>
      </c>
      <c r="BR98" s="2" t="n">
        <v>33823.30587042017</v>
      </c>
      <c r="BS98" s="2" t="n">
        <v>944.4497478991597</v>
      </c>
      <c r="BT98" s="2" t="n">
        <v>0</v>
      </c>
      <c r="BU98" s="2" t="n">
        <v>6877.213159663866</v>
      </c>
      <c r="BV98" s="2" t="n">
        <v>7821.662907563026</v>
      </c>
      <c r="BW98" s="2" t="n">
        <v>41644.96877798319</v>
      </c>
      <c r="BX98" s="2" t="n">
        <v>26856.67</v>
      </c>
      <c r="BY98" s="2" t="n">
        <v>1416.65</v>
      </c>
      <c r="BZ98" s="2" t="n">
        <v>13180.03</v>
      </c>
      <c r="CA98" s="2" t="n">
        <v>28273.32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1278</v>
      </c>
      <c r="B99" t="inlineStr">
        <is>
          <t>Plac Konstytucji 1, 81-354 Gdynia</t>
        </is>
      </c>
      <c r="C99" t="inlineStr">
        <is>
          <t>Gdynia Główna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6118.400000000001</v>
      </c>
      <c r="L99" s="2" t="n">
        <v>509.3001481481482</v>
      </c>
      <c r="M99" s="2" t="n">
        <v>5665.185185185185</v>
      </c>
      <c r="N99" s="2" t="n">
        <v>309.81</v>
      </c>
      <c r="O99" s="2" t="n">
        <v>5200.59</v>
      </c>
      <c r="P99" s="2" t="n">
        <v>608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11001.28</v>
      </c>
      <c r="AP99" s="2" t="n">
        <v>804.7232592592593</v>
      </c>
      <c r="AQ99" s="2" t="n">
        <v>10186.37037037037</v>
      </c>
      <c r="AR99" s="2" t="n">
        <v>1695.86</v>
      </c>
      <c r="AS99" s="2" t="n">
        <v>8758.139999999999</v>
      </c>
      <c r="AT99" s="2" t="n">
        <v>547.28</v>
      </c>
      <c r="AU99" s="2" t="n">
        <v>13105.05</v>
      </c>
      <c r="AV99" s="2" t="n">
        <v>521.7751388888888</v>
      </c>
      <c r="AW99" s="2" t="n">
        <v>12134.30555555555</v>
      </c>
      <c r="AX99" s="2" t="n">
        <v>2036.15</v>
      </c>
      <c r="AY99" s="2" t="n">
        <v>10427.3</v>
      </c>
      <c r="AZ99" s="2" t="n">
        <v>641.6</v>
      </c>
      <c r="BA99" s="2" t="n">
        <v>30224.73</v>
      </c>
      <c r="BB99" s="2" t="n">
        <v>26182.91</v>
      </c>
      <c r="BC99" s="2">
        <f>F99+L99+R99+X99+AD99+AJ99+AP99+AV99+IF(BE99="",0,BE99)</f>
        <v/>
      </c>
      <c r="BD99" s="2" t="n">
        <v>403.216814</v>
      </c>
      <c r="BE99" s="2" t="n"/>
      <c r="BF99" s="2" t="n">
        <v>27985.86111111111</v>
      </c>
      <c r="BG99" s="2" t="n">
        <v>1216.91</v>
      </c>
      <c r="BH99" s="2" t="n">
        <v>117</v>
      </c>
      <c r="BI99" s="2" t="n">
        <v>32273.79</v>
      </c>
      <c r="BJ99" s="2" t="n">
        <v>77.88605042016808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353.469285</v>
      </c>
      <c r="BQ99" s="2" t="n">
        <v>0</v>
      </c>
      <c r="BR99" s="2" t="n">
        <v>34064.05533542017</v>
      </c>
      <c r="BS99" s="2" t="n">
        <v>944.4497478991597</v>
      </c>
      <c r="BT99" s="2" t="n">
        <v>0</v>
      </c>
      <c r="BU99" s="2" t="n">
        <v>6931.007159663866</v>
      </c>
      <c r="BV99" s="2" t="n">
        <v>7875.456907563026</v>
      </c>
      <c r="BW99" s="2" t="n">
        <v>41939.5122429832</v>
      </c>
      <c r="BX99" s="2" t="n">
        <v>24386.03</v>
      </c>
      <c r="BY99" s="2" t="n">
        <v>1796.88</v>
      </c>
      <c r="BZ99" s="2" t="n">
        <v>4041.82</v>
      </c>
      <c r="CA99" s="2" t="n">
        <v>26182.91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1279</v>
      </c>
      <c r="B100" t="inlineStr">
        <is>
          <t>GDA-GL</t>
        </is>
      </c>
      <c r="C100" t="inlineStr">
        <is>
          <t>Gdańsk Brętowo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3902.650000000001</v>
      </c>
      <c r="AP100" s="2" t="n">
        <v>0</v>
      </c>
      <c r="AQ100" s="2" t="n">
        <v>3613.564814814815</v>
      </c>
      <c r="AR100" s="2" t="n">
        <v>630.05</v>
      </c>
      <c r="AS100" s="2" t="n">
        <v>3121.59</v>
      </c>
      <c r="AT100" s="2" t="n">
        <v>151.01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3902.650000000001</v>
      </c>
      <c r="BB100" s="2" t="n">
        <v>3272.6</v>
      </c>
      <c r="BC100" s="2">
        <f>F100+L100+R100+X100+AD100+AJ100+AP100+AV100+IF(BE100="",0,BE100)</f>
        <v/>
      </c>
      <c r="BD100" s="2" t="n">
        <v>50.39804000000001</v>
      </c>
      <c r="BE100" s="2" t="n"/>
      <c r="BF100" s="2" t="n">
        <v>3613.564814814815</v>
      </c>
      <c r="BG100" s="2" t="n">
        <v>0</v>
      </c>
      <c r="BH100" s="2" t="n">
        <v>0</v>
      </c>
      <c r="BI100" s="2" t="n">
        <v>32273.79</v>
      </c>
      <c r="BJ100" s="2" t="n">
        <v>77.88605042016808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44.1801</v>
      </c>
      <c r="BQ100" s="2" t="n">
        <v>0</v>
      </c>
      <c r="BR100" s="2" t="n">
        <v>32420.85615042017</v>
      </c>
      <c r="BS100" s="2" t="n">
        <v>944.4497478991597</v>
      </c>
      <c r="BT100" s="2" t="n">
        <v>0</v>
      </c>
      <c r="BU100" s="2" t="n">
        <v>6664.225159663866</v>
      </c>
      <c r="BV100" s="2" t="n">
        <v>7608.674907563026</v>
      </c>
      <c r="BW100" s="2" t="n">
        <v>40029.5310579832</v>
      </c>
      <c r="BX100" s="2" t="n">
        <v>3121.59</v>
      </c>
      <c r="BY100" s="2" t="n">
        <v>151.01</v>
      </c>
      <c r="BZ100" s="2" t="n">
        <v>630.05</v>
      </c>
      <c r="CA100" s="2" t="n">
        <v>3272.6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1280</v>
      </c>
      <c r="B101" t="inlineStr">
        <is>
          <t>GRODZW</t>
        </is>
      </c>
      <c r="C101" t="inlineStr">
        <is>
          <t>Gdańsk Jasień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7870.49</v>
      </c>
      <c r="AP101" s="2" t="n">
        <v>0</v>
      </c>
      <c r="AQ101" s="2" t="n">
        <v>7287.49074074074</v>
      </c>
      <c r="AR101" s="2" t="n">
        <v>1077.46</v>
      </c>
      <c r="AS101" s="2" t="n">
        <v>6542.21</v>
      </c>
      <c r="AT101" s="2" t="n">
        <v>250.82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7870.49</v>
      </c>
      <c r="BB101" s="2" t="n">
        <v>6793.03</v>
      </c>
      <c r="BC101" s="2">
        <f>F101+L101+R101+X101+AD101+AJ101+AP101+AV101+IF(BE101="",0,BE101)</f>
        <v/>
      </c>
      <c r="BD101" s="2" t="n">
        <v>104.612662</v>
      </c>
      <c r="BE101" s="2" t="n"/>
      <c r="BF101" s="2" t="n">
        <v>7287.49074074074</v>
      </c>
      <c r="BG101" s="2" t="n">
        <v>0</v>
      </c>
      <c r="BH101" s="2" t="n">
        <v>0</v>
      </c>
      <c r="BI101" s="2" t="n">
        <v>32273.79</v>
      </c>
      <c r="BJ101" s="2" t="n">
        <v>77.88605042016808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91.705905</v>
      </c>
      <c r="BQ101" s="2" t="n">
        <v>0</v>
      </c>
      <c r="BR101" s="2" t="n">
        <v>32468.38195542017</v>
      </c>
      <c r="BS101" s="2" t="n">
        <v>944.4497478991597</v>
      </c>
      <c r="BT101" s="2" t="n">
        <v>0</v>
      </c>
      <c r="BU101" s="2" t="n">
        <v>6664.225159663866</v>
      </c>
      <c r="BV101" s="2" t="n">
        <v>7608.674907563026</v>
      </c>
      <c r="BW101" s="2" t="n">
        <v>40077.0568629832</v>
      </c>
      <c r="BX101" s="2" t="n">
        <v>6542.21</v>
      </c>
      <c r="BY101" s="2" t="n">
        <v>250.82</v>
      </c>
      <c r="BZ101" s="2" t="n">
        <v>1077.46</v>
      </c>
      <c r="CA101" s="2" t="n">
        <v>6793.03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1281</v>
      </c>
      <c r="B102" t="inlineStr">
        <is>
          <t>GRANOW</t>
        </is>
      </c>
      <c r="C102" t="inlineStr">
        <is>
          <t>Gdańsk Kiełpinek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10677.68</v>
      </c>
      <c r="AP102" s="2" t="n">
        <v>0</v>
      </c>
      <c r="AQ102" s="2" t="n">
        <v>9886.740740740741</v>
      </c>
      <c r="AR102" s="2" t="n">
        <v>1517.79</v>
      </c>
      <c r="AS102" s="2" t="n">
        <v>8912.049999999999</v>
      </c>
      <c r="AT102" s="2" t="n">
        <v>247.84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10677.68</v>
      </c>
      <c r="BB102" s="2" t="n">
        <v>9159.889999999999</v>
      </c>
      <c r="BC102" s="2">
        <f>F102+L102+R102+X102+AD102+AJ102+AP102+AV102+IF(BE102="",0,BE102)</f>
        <v/>
      </c>
      <c r="BD102" s="2" t="n">
        <v>141.062306</v>
      </c>
      <c r="BE102" s="2" t="n"/>
      <c r="BF102" s="2" t="n">
        <v>9886.740740740741</v>
      </c>
      <c r="BG102" s="2" t="n">
        <v>0</v>
      </c>
      <c r="BH102" s="2" t="n">
        <v>0</v>
      </c>
      <c r="BI102" s="2" t="n">
        <v>32273.79</v>
      </c>
      <c r="BJ102" s="2" t="n">
        <v>77.88605042016808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123.658515</v>
      </c>
      <c r="BQ102" s="2" t="n">
        <v>0</v>
      </c>
      <c r="BR102" s="2" t="n">
        <v>32500.33456542017</v>
      </c>
      <c r="BS102" s="2" t="n">
        <v>944.4497478991597</v>
      </c>
      <c r="BT102" s="2" t="n">
        <v>0</v>
      </c>
      <c r="BU102" s="2" t="n">
        <v>6664.225159663866</v>
      </c>
      <c r="BV102" s="2" t="n">
        <v>7608.674907563026</v>
      </c>
      <c r="BW102" s="2" t="n">
        <v>40109.0094729832</v>
      </c>
      <c r="BX102" s="2" t="n">
        <v>8912.049999999999</v>
      </c>
      <c r="BY102" s="2" t="n">
        <v>247.84</v>
      </c>
      <c r="BZ102" s="2" t="n">
        <v>1517.79</v>
      </c>
      <c r="CA102" s="2" t="n">
        <v>9159.889999999999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1282</v>
      </c>
      <c r="B103" t="inlineStr">
        <is>
          <t>STESZEW</t>
        </is>
      </c>
      <c r="C103" t="inlineStr">
        <is>
          <t>Gdańsk Port Lotniczy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7</v>
      </c>
      <c r="AP103" s="2" t="n">
        <v>0</v>
      </c>
      <c r="AQ103" s="2" t="n">
        <v>6.481481481481481</v>
      </c>
      <c r="AR103" s="2" t="n">
        <v>0</v>
      </c>
      <c r="AS103" s="2" t="n">
        <v>7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7</v>
      </c>
      <c r="BB103" s="2" t="n">
        <v>7</v>
      </c>
      <c r="BC103" s="2">
        <f>F103+L103+R103+X103+AD103+AJ103+AP103+AV103+IF(BE103="",0,BE103)</f>
        <v/>
      </c>
      <c r="BD103" s="2" t="n">
        <v>0.1078</v>
      </c>
      <c r="BE103" s="2" t="n"/>
      <c r="BF103" s="2" t="n">
        <v>6.481481481481481</v>
      </c>
      <c r="BG103" s="2" t="n">
        <v>0</v>
      </c>
      <c r="BH103" s="2" t="n">
        <v>0</v>
      </c>
      <c r="BI103" s="2" t="n">
        <v>32273.79</v>
      </c>
      <c r="BJ103" s="2" t="n">
        <v>77.88605042016808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0.0945</v>
      </c>
      <c r="BQ103" s="2" t="n">
        <v>0</v>
      </c>
      <c r="BR103" s="2" t="n">
        <v>32376.77055042017</v>
      </c>
      <c r="BS103" s="2" t="n">
        <v>944.4497478991597</v>
      </c>
      <c r="BT103" s="2" t="n">
        <v>0</v>
      </c>
      <c r="BU103" s="2" t="n">
        <v>6664.225159663866</v>
      </c>
      <c r="BV103" s="2" t="n">
        <v>7608.674907563026</v>
      </c>
      <c r="BW103" s="2" t="n">
        <v>39985.44545798319</v>
      </c>
      <c r="BX103" s="2" t="n">
        <v>7</v>
      </c>
      <c r="BY103" s="2" t="n">
        <v>0</v>
      </c>
      <c r="BZ103" s="2" t="n">
        <v>0</v>
      </c>
      <c r="CA103" s="2" t="n">
        <v>7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1283</v>
      </c>
      <c r="B104" t="inlineStr">
        <is>
          <t>CZERWO</t>
        </is>
      </c>
      <c r="C104" t="inlineStr">
        <is>
          <t>Gdańsk Port Lotniczy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49534.32</v>
      </c>
      <c r="AP104" s="2" t="n">
        <v>0</v>
      </c>
      <c r="AQ104" s="2" t="n">
        <v>45865.11111111111</v>
      </c>
      <c r="AR104" s="2" t="n">
        <v>7373.94</v>
      </c>
      <c r="AS104" s="2" t="n">
        <v>40068.56</v>
      </c>
      <c r="AT104" s="2" t="n">
        <v>2091.82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49534.32</v>
      </c>
      <c r="BB104" s="2" t="n">
        <v>42160.38</v>
      </c>
      <c r="BC104" s="2">
        <f>F104+L104+R104+X104+AD104+AJ104+AP104+AV104+IF(BE104="",0,BE104)</f>
        <v/>
      </c>
      <c r="BD104" s="2" t="n">
        <v>649.269852</v>
      </c>
      <c r="BE104" s="2" t="n"/>
      <c r="BF104" s="2" t="n">
        <v>45865.11111111111</v>
      </c>
      <c r="BG104" s="2" t="n">
        <v>0</v>
      </c>
      <c r="BH104" s="2" t="n">
        <v>0</v>
      </c>
      <c r="BI104" s="2" t="n">
        <v>32273.79</v>
      </c>
      <c r="BJ104" s="2" t="n">
        <v>77.88605042016808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569.16513</v>
      </c>
      <c r="BQ104" s="2" t="n">
        <v>0</v>
      </c>
      <c r="BR104" s="2" t="n">
        <v>32945.84118042017</v>
      </c>
      <c r="BS104" s="2" t="n">
        <v>944.4497478991597</v>
      </c>
      <c r="BT104" s="2" t="n">
        <v>0</v>
      </c>
      <c r="BU104" s="2" t="n">
        <v>6664.225159663866</v>
      </c>
      <c r="BV104" s="2" t="n">
        <v>7608.674907563026</v>
      </c>
      <c r="BW104" s="2" t="n">
        <v>40554.5160879832</v>
      </c>
      <c r="BX104" s="2" t="n">
        <v>40068.56</v>
      </c>
      <c r="BY104" s="2" t="n">
        <v>2091.82</v>
      </c>
      <c r="BZ104" s="2" t="n">
        <v>7373.94</v>
      </c>
      <c r="CA104" s="2" t="n">
        <v>42160.38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1284</v>
      </c>
      <c r="B105" t="inlineStr">
        <is>
          <t>OWINSK</t>
        </is>
      </c>
      <c r="C105" t="inlineStr">
        <is>
          <t>Gdańsk Rębiechowo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6168.4</v>
      </c>
      <c r="AP105" s="2" t="n">
        <v>0</v>
      </c>
      <c r="AQ105" s="2" t="n">
        <v>5711.481481481481</v>
      </c>
      <c r="AR105" s="2" t="n">
        <v>755.55</v>
      </c>
      <c r="AS105" s="2" t="n">
        <v>5318.23</v>
      </c>
      <c r="AT105" s="2" t="n">
        <v>94.62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6168.4</v>
      </c>
      <c r="BB105" s="2" t="n">
        <v>5412.849999999999</v>
      </c>
      <c r="BC105" s="2">
        <f>F105+L105+R105+X105+AD105+AJ105+AP105+AV105+IF(BE105="",0,BE105)</f>
        <v/>
      </c>
      <c r="BD105" s="2" t="n">
        <v>83.35789</v>
      </c>
      <c r="BE105" s="2" t="n"/>
      <c r="BF105" s="2" t="n">
        <v>5711.481481481481</v>
      </c>
      <c r="BG105" s="2" t="n">
        <v>0</v>
      </c>
      <c r="BH105" s="2" t="n">
        <v>0</v>
      </c>
      <c r="BI105" s="2" t="n">
        <v>32273.79</v>
      </c>
      <c r="BJ105" s="2" t="n">
        <v>77.88605042016808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73.07347499999999</v>
      </c>
      <c r="BQ105" s="2" t="n">
        <v>0</v>
      </c>
      <c r="BR105" s="2" t="n">
        <v>32449.74952542017</v>
      </c>
      <c r="BS105" s="2" t="n">
        <v>944.4497478991597</v>
      </c>
      <c r="BT105" s="2" t="n">
        <v>0</v>
      </c>
      <c r="BU105" s="2" t="n">
        <v>6664.225159663866</v>
      </c>
      <c r="BV105" s="2" t="n">
        <v>7608.674907563026</v>
      </c>
      <c r="BW105" s="2" t="n">
        <v>40058.4244329832</v>
      </c>
      <c r="BX105" s="2" t="n">
        <v>5318.23</v>
      </c>
      <c r="BY105" s="2" t="n">
        <v>94.62</v>
      </c>
      <c r="BZ105" s="2" t="n">
        <v>755.55</v>
      </c>
      <c r="CA105" s="2" t="n">
        <v>5412.849999999999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1285</v>
      </c>
      <c r="B106" t="inlineStr">
        <is>
          <t>ZIELWZG</t>
        </is>
      </c>
      <c r="C106" t="inlineStr">
        <is>
          <t>Gdańsk Osowa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7013.66</v>
      </c>
      <c r="AP106" s="2" t="n">
        <v>0</v>
      </c>
      <c r="AQ106" s="2" t="n">
        <v>6494.129629629629</v>
      </c>
      <c r="AR106" s="2" t="n">
        <v>1416.88</v>
      </c>
      <c r="AS106" s="2" t="n">
        <v>5421.91</v>
      </c>
      <c r="AT106" s="2" t="n">
        <v>174.87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7013.66</v>
      </c>
      <c r="BB106" s="2" t="n">
        <v>5596.78</v>
      </c>
      <c r="BC106" s="2">
        <f>F106+L106+R106+X106+AD106+AJ106+AP106+AV106+IF(BE106="",0,BE106)</f>
        <v/>
      </c>
      <c r="BD106" s="2" t="n">
        <v>86.19041199999999</v>
      </c>
      <c r="BE106" s="2" t="n"/>
      <c r="BF106" s="2" t="n">
        <v>6494.129629629629</v>
      </c>
      <c r="BG106" s="2" t="n">
        <v>0</v>
      </c>
      <c r="BH106" s="2" t="n">
        <v>0</v>
      </c>
      <c r="BI106" s="2" t="n">
        <v>32273.79</v>
      </c>
      <c r="BJ106" s="2" t="n">
        <v>77.88605042016808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75.55653</v>
      </c>
      <c r="BQ106" s="2" t="n">
        <v>0</v>
      </c>
      <c r="BR106" s="2" t="n">
        <v>32452.23258042017</v>
      </c>
      <c r="BS106" s="2" t="n">
        <v>944.4497478991597</v>
      </c>
      <c r="BT106" s="2" t="n">
        <v>0</v>
      </c>
      <c r="BU106" s="2" t="n">
        <v>6664.225159663866</v>
      </c>
      <c r="BV106" s="2" t="n">
        <v>7608.674907563026</v>
      </c>
      <c r="BW106" s="2" t="n">
        <v>40060.9074879832</v>
      </c>
      <c r="BX106" s="2" t="n">
        <v>5421.91</v>
      </c>
      <c r="BY106" s="2" t="n">
        <v>174.87</v>
      </c>
      <c r="BZ106" s="2" t="n">
        <v>1416.88</v>
      </c>
      <c r="CA106" s="2" t="n">
        <v>5596.78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1286</v>
      </c>
      <c r="B107" t="inlineStr">
        <is>
          <t>Dworcowa 2, 61-801 Poznań</t>
        </is>
      </c>
      <c r="C107" t="inlineStr">
        <is>
          <t>Poznań Główny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6760.74</v>
      </c>
      <c r="L107" s="2" t="n">
        <v>562.7690055555555</v>
      </c>
      <c r="M107" s="2" t="n">
        <v>6259.944444444443</v>
      </c>
      <c r="N107" s="2" t="n">
        <v>1686.08</v>
      </c>
      <c r="O107" s="2" t="n">
        <v>4890.66</v>
      </c>
      <c r="P107" s="2" t="n">
        <v>184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10499.48</v>
      </c>
      <c r="AD107" s="2" t="n">
        <v>670.8001111111111</v>
      </c>
      <c r="AE107" s="2" t="n">
        <v>9721.740740740739</v>
      </c>
      <c r="AF107" s="2" t="n">
        <v>1864.49</v>
      </c>
      <c r="AG107" s="2" t="n">
        <v>7813.34</v>
      </c>
      <c r="AH107" s="2" t="n">
        <v>821.65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3840.67</v>
      </c>
      <c r="AP107" s="2" t="n">
        <v>280.9378981481481</v>
      </c>
      <c r="AQ107" s="2" t="n">
        <v>3556.175925925926</v>
      </c>
      <c r="AR107" s="2" t="n">
        <v>447.42</v>
      </c>
      <c r="AS107" s="2" t="n">
        <v>3261.27</v>
      </c>
      <c r="AT107" s="2" t="n">
        <v>131.98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21100.89</v>
      </c>
      <c r="BB107" s="2" t="n">
        <v>17102.9</v>
      </c>
      <c r="BC107" s="2">
        <f>F107+L107+R107+X107+AD107+AJ107+AP107+AV107+IF(BE107="",0,BE107)</f>
        <v/>
      </c>
      <c r="BD107" s="2" t="n">
        <v>263.38466</v>
      </c>
      <c r="BE107" s="2" t="n"/>
      <c r="BF107" s="2" t="n">
        <v>19537.86111111111</v>
      </c>
      <c r="BG107" s="2" t="n">
        <v>458.58</v>
      </c>
      <c r="BH107" s="2" t="n">
        <v>0</v>
      </c>
      <c r="BI107" s="2" t="n">
        <v>32273.79</v>
      </c>
      <c r="BJ107" s="2" t="n">
        <v>77.88605042016808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230.88915</v>
      </c>
      <c r="BQ107" s="2" t="n">
        <v>0</v>
      </c>
      <c r="BR107" s="2" t="n">
        <v>33066.14520042017</v>
      </c>
      <c r="BS107" s="2" t="n">
        <v>944.4497478991597</v>
      </c>
      <c r="BT107" s="2" t="n">
        <v>0</v>
      </c>
      <c r="BU107" s="2" t="n">
        <v>6755.941159663867</v>
      </c>
      <c r="BV107" s="2" t="n">
        <v>7700.390907563026</v>
      </c>
      <c r="BW107" s="2" t="n">
        <v>40766.5361079832</v>
      </c>
      <c r="BX107" s="2" t="n">
        <v>15965.27</v>
      </c>
      <c r="BY107" s="2" t="n">
        <v>1137.63</v>
      </c>
      <c r="BZ107" s="2" t="n">
        <v>3997.99</v>
      </c>
      <c r="CA107" s="2" t="n">
        <v>17102.9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1287</v>
      </c>
      <c r="B108" t="inlineStr">
        <is>
          <t>Kościuszki 54, 82-500 Kwidzyn</t>
        </is>
      </c>
      <c r="C108" t="inlineStr">
        <is>
          <t>Kwidzyn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3609.33</v>
      </c>
      <c r="AP108" s="2" t="n">
        <v>4060</v>
      </c>
      <c r="AQ108" s="2" t="n">
        <v>3341.972222222222</v>
      </c>
      <c r="AR108" s="2" t="n">
        <v>0</v>
      </c>
      <c r="AS108" s="2" t="n">
        <v>3310.76</v>
      </c>
      <c r="AT108" s="2" t="n">
        <v>298.57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3609.33</v>
      </c>
      <c r="BB108" s="2" t="n">
        <v>3609.33</v>
      </c>
      <c r="BC108" s="2">
        <f>F108+L108+R108+X108+AD108+AJ108+AP108+AV108+IF(BE108="",0,BE108)</f>
        <v/>
      </c>
      <c r="BD108" s="2" t="n">
        <v>55.58368200000001</v>
      </c>
      <c r="BE108" s="2" t="n"/>
      <c r="BF108" s="2" t="n">
        <v>3341.972222222222</v>
      </c>
      <c r="BG108" s="2" t="n">
        <v>0</v>
      </c>
      <c r="BH108" s="2" t="n">
        <v>0</v>
      </c>
      <c r="BI108" s="2" t="n">
        <v>32273.79</v>
      </c>
      <c r="BJ108" s="2" t="n">
        <v>77.88605042016808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48.72595500000001</v>
      </c>
      <c r="BQ108" s="2" t="n">
        <v>0</v>
      </c>
      <c r="BR108" s="2" t="n">
        <v>32425.40200542017</v>
      </c>
      <c r="BS108" s="2" t="n">
        <v>944.4497478991597</v>
      </c>
      <c r="BT108" s="2" t="n">
        <v>0</v>
      </c>
      <c r="BU108" s="2" t="n">
        <v>6664.225159663866</v>
      </c>
      <c r="BV108" s="2" t="n">
        <v>7608.674907563026</v>
      </c>
      <c r="BW108" s="2" t="n">
        <v>40034.0769129832</v>
      </c>
      <c r="BX108" s="2" t="n">
        <v>3310.76</v>
      </c>
      <c r="BY108" s="2" t="n">
        <v>298.57</v>
      </c>
      <c r="BZ108" s="2" t="n">
        <v>0</v>
      </c>
      <c r="CA108" s="2" t="n">
        <v>3609.33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1288</v>
      </c>
      <c r="B109" t="inlineStr">
        <is>
          <t>Ks. Stefańskiego 6, 84-140 Jastarnia</t>
        </is>
      </c>
      <c r="C109" t="inlineStr">
        <is>
          <t>Jastania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7551.35</v>
      </c>
      <c r="AP109" s="2" t="n">
        <v>4494</v>
      </c>
      <c r="AQ109" s="2" t="n">
        <v>6991.990740740741</v>
      </c>
      <c r="AR109" s="2" t="n">
        <v>0</v>
      </c>
      <c r="AS109" s="2" t="n">
        <v>6795.84</v>
      </c>
      <c r="AT109" s="2" t="n">
        <v>755.51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7551.35</v>
      </c>
      <c r="BB109" s="2" t="n">
        <v>7551.35</v>
      </c>
      <c r="BC109" s="2">
        <f>F109+L109+R109+X109+AD109+AJ109+AP109+AV109+IF(BE109="",0,BE109)</f>
        <v/>
      </c>
      <c r="BD109" s="2" t="n">
        <v>116.29079</v>
      </c>
      <c r="BE109" s="2" t="n"/>
      <c r="BF109" s="2" t="n">
        <v>6991.990740740741</v>
      </c>
      <c r="BG109" s="2" t="n">
        <v>0</v>
      </c>
      <c r="BH109" s="2" t="n">
        <v>0</v>
      </c>
      <c r="BI109" s="2" t="n">
        <v>32273.79</v>
      </c>
      <c r="BJ109" s="2" t="n">
        <v>77.88605042016808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101.943225</v>
      </c>
      <c r="BQ109" s="2" t="n">
        <v>0</v>
      </c>
      <c r="BR109" s="2" t="n">
        <v>32478.61927542017</v>
      </c>
      <c r="BS109" s="2" t="n">
        <v>944.4497478991597</v>
      </c>
      <c r="BT109" s="2" t="n">
        <v>0</v>
      </c>
      <c r="BU109" s="2" t="n">
        <v>6664.225159663866</v>
      </c>
      <c r="BV109" s="2" t="n">
        <v>7608.674907563026</v>
      </c>
      <c r="BW109" s="2" t="n">
        <v>40087.2941829832</v>
      </c>
      <c r="BX109" s="2" t="n">
        <v>6795.84</v>
      </c>
      <c r="BY109" s="2" t="n">
        <v>755.51</v>
      </c>
      <c r="BZ109" s="2" t="n">
        <v>0</v>
      </c>
      <c r="CA109" s="2" t="n">
        <v>7551.35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1289</v>
      </c>
      <c r="B110" t="inlineStr">
        <is>
          <t>Dworcowa 1, 84-150 Hel</t>
        </is>
      </c>
      <c r="C110" t="inlineStr">
        <is>
          <t>Hel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16879.71</v>
      </c>
      <c r="AP110" s="2" t="n">
        <v>4494</v>
      </c>
      <c r="AQ110" s="2" t="n">
        <v>15629.36111111111</v>
      </c>
      <c r="AR110" s="2" t="n">
        <v>0</v>
      </c>
      <c r="AS110" s="2" t="n">
        <v>14722.1</v>
      </c>
      <c r="AT110" s="2" t="n">
        <v>2157.61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16879.71</v>
      </c>
      <c r="BB110" s="2" t="n">
        <v>16879.71</v>
      </c>
      <c r="BC110" s="2">
        <f>F110+L110+R110+X110+AD110+AJ110+AP110+AV110+IF(BE110="",0,BE110)</f>
        <v/>
      </c>
      <c r="BD110" s="2" t="n">
        <v>259.947534</v>
      </c>
      <c r="BE110" s="2" t="n"/>
      <c r="BF110" s="2" t="n">
        <v>15629.36111111111</v>
      </c>
      <c r="BG110" s="2" t="n">
        <v>0</v>
      </c>
      <c r="BH110" s="2" t="n">
        <v>0</v>
      </c>
      <c r="BI110" s="2" t="n">
        <v>32273.79</v>
      </c>
      <c r="BJ110" s="2" t="n">
        <v>77.88605042016808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227.876085</v>
      </c>
      <c r="BQ110" s="2" t="n">
        <v>0</v>
      </c>
      <c r="BR110" s="2" t="n">
        <v>32604.55213542017</v>
      </c>
      <c r="BS110" s="2" t="n">
        <v>944.4497478991597</v>
      </c>
      <c r="BT110" s="2" t="n">
        <v>0</v>
      </c>
      <c r="BU110" s="2" t="n">
        <v>6664.225159663866</v>
      </c>
      <c r="BV110" s="2" t="n">
        <v>7608.674907563026</v>
      </c>
      <c r="BW110" s="2" t="n">
        <v>40213.2270429832</v>
      </c>
      <c r="BX110" s="2" t="n">
        <v>14722.1</v>
      </c>
      <c r="BY110" s="2" t="n">
        <v>2157.61</v>
      </c>
      <c r="BZ110" s="2" t="n">
        <v>0</v>
      </c>
      <c r="CA110" s="2" t="n">
        <v>16879.71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1290</v>
      </c>
      <c r="B111" t="inlineStr">
        <is>
          <t>Kolumba 2, 70-035 Szczecin</t>
        </is>
      </c>
      <c r="C111" t="inlineStr">
        <is>
          <t>Szczecin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11489.21</v>
      </c>
      <c r="L111" s="2" t="n">
        <v>956.3703509259258</v>
      </c>
      <c r="M111" s="2" t="n">
        <v>10638.15740740741</v>
      </c>
      <c r="N111" s="2" t="n">
        <v>4921.65</v>
      </c>
      <c r="O111" s="2" t="n">
        <v>6567.56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37917.31</v>
      </c>
      <c r="AP111" s="2" t="n">
        <v>2773.581009259259</v>
      </c>
      <c r="AQ111" s="2" t="n">
        <v>35108.62037037036</v>
      </c>
      <c r="AR111" s="2" t="n">
        <v>16506.36</v>
      </c>
      <c r="AS111" s="2" t="n">
        <v>21410.95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49406.52</v>
      </c>
      <c r="BB111" s="2" t="n">
        <v>27978.51</v>
      </c>
      <c r="BC111" s="2">
        <f>F111+L111+R111+X111+AD111+AJ111+AP111+AV111+IF(BE111="",0,BE111)</f>
        <v/>
      </c>
      <c r="BD111" s="2" t="n">
        <v>430.869054</v>
      </c>
      <c r="BE111" s="2" t="n"/>
      <c r="BF111" s="2" t="n">
        <v>45746.77777777777</v>
      </c>
      <c r="BG111" s="2" t="n">
        <v>1387.63</v>
      </c>
      <c r="BH111" s="2" t="n">
        <v>187.2</v>
      </c>
      <c r="BI111" s="2" t="n">
        <v>32273.79</v>
      </c>
      <c r="BJ111" s="2" t="n">
        <v>77.88605042016808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377.709885</v>
      </c>
      <c r="BQ111" s="2" t="n">
        <v>0</v>
      </c>
      <c r="BR111" s="2" t="n">
        <v>34329.21593542016</v>
      </c>
      <c r="BS111" s="2" t="n">
        <v>944.4497478991597</v>
      </c>
      <c r="BT111" s="2" t="n">
        <v>0</v>
      </c>
      <c r="BU111" s="2" t="n">
        <v>6979.191159663867</v>
      </c>
      <c r="BV111" s="2" t="n">
        <v>7923.640907563026</v>
      </c>
      <c r="BW111" s="2" t="n">
        <v>42252.85684298319</v>
      </c>
      <c r="BX111" s="2" t="n">
        <v>27978.51</v>
      </c>
      <c r="BY111" s="2" t="n">
        <v>0</v>
      </c>
      <c r="BZ111" s="2" t="n">
        <v>21428.01</v>
      </c>
      <c r="CA111" s="2" t="n">
        <v>27978.51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1291</v>
      </c>
      <c r="B112" t="inlineStr">
        <is>
          <t>pl. Dworcowy 1, 82-300 Elbląg</t>
        </is>
      </c>
      <c r="C112" t="inlineStr">
        <is>
          <t>Elbląg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4567.080000000001</v>
      </c>
      <c r="L112" s="2" t="n">
        <v>380.1671222222223</v>
      </c>
      <c r="M112" s="2" t="n">
        <v>4228.777777777778</v>
      </c>
      <c r="N112" s="2" t="n">
        <v>1095.64</v>
      </c>
      <c r="O112" s="2" t="n">
        <v>3403.88</v>
      </c>
      <c r="P112" s="2" t="n">
        <v>67.56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19666.23</v>
      </c>
      <c r="AP112" s="2" t="n">
        <v>1438.548305555555</v>
      </c>
      <c r="AQ112" s="2" t="n">
        <v>18209.47222222222</v>
      </c>
      <c r="AR112" s="2" t="n">
        <v>5654.7</v>
      </c>
      <c r="AS112" s="2" t="n">
        <v>13367.32</v>
      </c>
      <c r="AT112" s="2" t="n">
        <v>644.21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24233.31</v>
      </c>
      <c r="BB112" s="2" t="n">
        <v>17482.97</v>
      </c>
      <c r="BC112" s="2">
        <f>F112+L112+R112+X112+AD112+AJ112+AP112+AV112+IF(BE112="",0,BE112)</f>
        <v/>
      </c>
      <c r="BD112" s="2" t="n">
        <v>269.237738</v>
      </c>
      <c r="BE112" s="2" t="n"/>
      <c r="BF112" s="2" t="n">
        <v>22438.25</v>
      </c>
      <c r="BG112" s="2" t="n">
        <v>372.81</v>
      </c>
      <c r="BH112" s="2" t="n">
        <v>345</v>
      </c>
      <c r="BI112" s="2" t="n">
        <v>32273.79</v>
      </c>
      <c r="BJ112" s="2" t="n">
        <v>77.88605042016808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236.020095</v>
      </c>
      <c r="BQ112" s="2" t="n">
        <v>0</v>
      </c>
      <c r="BR112" s="2" t="n">
        <v>33330.50614542016</v>
      </c>
      <c r="BS112" s="2" t="n">
        <v>944.4497478991597</v>
      </c>
      <c r="BT112" s="2" t="n">
        <v>0</v>
      </c>
      <c r="BU112" s="2" t="n">
        <v>6807.787159663867</v>
      </c>
      <c r="BV112" s="2" t="n">
        <v>7752.236907563027</v>
      </c>
      <c r="BW112" s="2" t="n">
        <v>41082.74305298319</v>
      </c>
      <c r="BX112" s="2" t="n">
        <v>16771.2</v>
      </c>
      <c r="BY112" s="2" t="n">
        <v>711.77</v>
      </c>
      <c r="BZ112" s="2" t="n">
        <v>6750.34</v>
      </c>
      <c r="CA112" s="2" t="n">
        <v>17482.97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1292</v>
      </c>
      <c r="B113" t="inlineStr">
        <is>
          <t>Dworcowa 8A, 84-310 Lębork</t>
        </is>
      </c>
      <c r="C113" t="inlineStr">
        <is>
          <t>Lębork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2717.75</v>
      </c>
      <c r="L113" s="2" t="n">
        <v>226.2275231481482</v>
      </c>
      <c r="M113" s="2" t="n">
        <v>2516.435185185185</v>
      </c>
      <c r="N113" s="2" t="n">
        <v>1109.66</v>
      </c>
      <c r="O113" s="2" t="n">
        <v>1589.09</v>
      </c>
      <c r="P113" s="2" t="n">
        <v>19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8177.52</v>
      </c>
      <c r="AP113" s="2" t="n">
        <v>4127</v>
      </c>
      <c r="AQ113" s="2" t="n">
        <v>7571.777777777776</v>
      </c>
      <c r="AR113" s="2" t="n">
        <v>3303.38</v>
      </c>
      <c r="AS113" s="2" t="n">
        <v>4497.4</v>
      </c>
      <c r="AT113" s="2" t="n">
        <v>376.74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10895.27</v>
      </c>
      <c r="BB113" s="2" t="n">
        <v>6482.23</v>
      </c>
      <c r="BC113" s="2">
        <f>F113+L113+R113+X113+AD113+AJ113+AP113+AV113+IF(BE113="",0,BE113)</f>
        <v/>
      </c>
      <c r="BD113" s="2" t="n">
        <v>99.82634199999998</v>
      </c>
      <c r="BE113" s="2" t="n"/>
      <c r="BF113" s="2" t="n">
        <v>10088.21296296296</v>
      </c>
      <c r="BG113" s="2" t="n">
        <v>0</v>
      </c>
      <c r="BH113" s="2" t="n">
        <v>0</v>
      </c>
      <c r="BI113" s="2" t="n">
        <v>32273.79</v>
      </c>
      <c r="BJ113" s="2" t="n">
        <v>77.88605042016808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87.510105</v>
      </c>
      <c r="BQ113" s="2" t="n">
        <v>0</v>
      </c>
      <c r="BR113" s="2" t="n">
        <v>32464.18615542017</v>
      </c>
      <c r="BS113" s="2" t="n">
        <v>944.4497478991597</v>
      </c>
      <c r="BT113" s="2" t="n">
        <v>0</v>
      </c>
      <c r="BU113" s="2" t="n">
        <v>6664.225159663866</v>
      </c>
      <c r="BV113" s="2" t="n">
        <v>7608.674907563026</v>
      </c>
      <c r="BW113" s="2" t="n">
        <v>40072.8610629832</v>
      </c>
      <c r="BX113" s="2" t="n">
        <v>6086.49</v>
      </c>
      <c r="BY113" s="2" t="n">
        <v>395.74</v>
      </c>
      <c r="BZ113" s="2" t="n">
        <v>4413.04</v>
      </c>
      <c r="CA113" s="2" t="n">
        <v>6482.23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1293</v>
      </c>
      <c r="B114" t="inlineStr">
        <is>
          <t>Dworcowa 10, 84-100 Puck</t>
        </is>
      </c>
      <c r="C114" t="inlineStr">
        <is>
          <t>Puck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96</v>
      </c>
      <c r="L114" s="2" t="n">
        <v>7.991111111111111</v>
      </c>
      <c r="M114" s="2" t="n">
        <v>88.88888888888889</v>
      </c>
      <c r="N114" s="2" t="n">
        <v>96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4768.97</v>
      </c>
      <c r="AP114" s="2" t="n">
        <v>4227</v>
      </c>
      <c r="AQ114" s="2" t="n">
        <v>4415.712962962963</v>
      </c>
      <c r="AR114" s="2" t="n">
        <v>1157.09</v>
      </c>
      <c r="AS114" s="2" t="n">
        <v>3343.21</v>
      </c>
      <c r="AT114" s="2" t="n">
        <v>268.67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4864.97</v>
      </c>
      <c r="BB114" s="2" t="n">
        <v>3611.88</v>
      </c>
      <c r="BC114" s="2">
        <f>F114+L114+R114+X114+AD114+AJ114+AP114+AV114+IF(BE114="",0,BE114)</f>
        <v/>
      </c>
      <c r="BD114" s="2" t="n">
        <v>55.62295200000001</v>
      </c>
      <c r="BE114" s="2" t="n"/>
      <c r="BF114" s="2" t="n">
        <v>4504.601851851851</v>
      </c>
      <c r="BG114" s="2" t="n">
        <v>0</v>
      </c>
      <c r="BH114" s="2" t="n">
        <v>0</v>
      </c>
      <c r="BI114" s="2" t="n">
        <v>32273.79</v>
      </c>
      <c r="BJ114" s="2" t="n">
        <v>77.88605042016808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48.76038</v>
      </c>
      <c r="BQ114" s="2" t="n">
        <v>0</v>
      </c>
      <c r="BR114" s="2" t="n">
        <v>32425.43643042017</v>
      </c>
      <c r="BS114" s="2" t="n">
        <v>944.4497478991597</v>
      </c>
      <c r="BT114" s="2" t="n">
        <v>0</v>
      </c>
      <c r="BU114" s="2" t="n">
        <v>6664.225159663866</v>
      </c>
      <c r="BV114" s="2" t="n">
        <v>7608.674907563026</v>
      </c>
      <c r="BW114" s="2" t="n">
        <v>40034.11133798319</v>
      </c>
      <c r="BX114" s="2" t="n">
        <v>3343.21</v>
      </c>
      <c r="BY114" s="2" t="n">
        <v>268.67</v>
      </c>
      <c r="BZ114" s="2" t="n">
        <v>1253.09</v>
      </c>
      <c r="CA114" s="2" t="n">
        <v>3611.88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1294</v>
      </c>
      <c r="B115" t="inlineStr">
        <is>
          <t>Plac Dworcowy 3, 49-300 Brzeg</t>
        </is>
      </c>
      <c r="C115" t="inlineStr">
        <is>
          <t>Brzeg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11952.2</v>
      </c>
      <c r="L115" s="2" t="n">
        <v>994.9099814814816</v>
      </c>
      <c r="M115" s="2" t="n">
        <v>11066.85185185185</v>
      </c>
      <c r="N115" s="2" t="n">
        <v>1587.34</v>
      </c>
      <c r="O115" s="2" t="n">
        <v>9894.700000000001</v>
      </c>
      <c r="P115" s="2" t="n">
        <v>470.16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17277.67</v>
      </c>
      <c r="AP115" s="2" t="n">
        <v>1263.829564814815</v>
      </c>
      <c r="AQ115" s="2" t="n">
        <v>15997.84259259259</v>
      </c>
      <c r="AR115" s="2" t="n">
        <v>2893.38</v>
      </c>
      <c r="AS115" s="2" t="n">
        <v>13518.81</v>
      </c>
      <c r="AT115" s="2" t="n">
        <v>865.48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29229.87</v>
      </c>
      <c r="BB115" s="2" t="n">
        <v>24749.15</v>
      </c>
      <c r="BC115" s="2">
        <f>F115+L115+R115+X115+AD115+AJ115+AP115+AV115+IF(BE115="",0,BE115)</f>
        <v/>
      </c>
      <c r="BD115" s="2" t="n">
        <v>381.1369100000001</v>
      </c>
      <c r="BE115" s="2" t="n"/>
      <c r="BF115" s="2" t="n">
        <v>27064.69444444444</v>
      </c>
      <c r="BG115" s="2" t="n">
        <v>0</v>
      </c>
      <c r="BH115" s="2" t="n">
        <v>0</v>
      </c>
      <c r="BI115" s="2" t="n">
        <v>32273.79</v>
      </c>
      <c r="BJ115" s="2" t="n">
        <v>77.88605042016808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334.113525</v>
      </c>
      <c r="BQ115" s="2" t="n">
        <v>0</v>
      </c>
      <c r="BR115" s="2" t="n">
        <v>32710.78957542017</v>
      </c>
      <c r="BS115" s="2" t="n">
        <v>944.4497478991597</v>
      </c>
      <c r="BT115" s="2" t="n">
        <v>0</v>
      </c>
      <c r="BU115" s="2" t="n">
        <v>6664.225159663866</v>
      </c>
      <c r="BV115" s="2" t="n">
        <v>7608.674907563026</v>
      </c>
      <c r="BW115" s="2" t="n">
        <v>40319.4644829832</v>
      </c>
      <c r="BX115" s="2" t="n">
        <v>23413.51</v>
      </c>
      <c r="BY115" s="2" t="n">
        <v>1335.64</v>
      </c>
      <c r="BZ115" s="2" t="n">
        <v>4480.72</v>
      </c>
      <c r="CA115" s="2" t="n">
        <v>24749.15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1295</v>
      </c>
      <c r="B116" t="inlineStr">
        <is>
          <t>Zygmunta Starego 1, 64-920 Piła</t>
        </is>
      </c>
      <c r="C116" t="inlineStr">
        <is>
          <t>Piła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6279.37</v>
      </c>
      <c r="L116" s="2" t="n">
        <v>522.6994101851851</v>
      </c>
      <c r="M116" s="2" t="n">
        <v>5814.231481481481</v>
      </c>
      <c r="N116" s="2" t="n">
        <v>1321.65</v>
      </c>
      <c r="O116" s="2" t="n">
        <v>4628.68</v>
      </c>
      <c r="P116" s="2" t="n">
        <v>329.04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5292.95</v>
      </c>
      <c r="AD116" s="2" t="n">
        <v>338.1606944444445</v>
      </c>
      <c r="AE116" s="2" t="n">
        <v>4900.87962962963</v>
      </c>
      <c r="AF116" s="2" t="n">
        <v>1162.82</v>
      </c>
      <c r="AG116" s="2" t="n">
        <v>3618.63</v>
      </c>
      <c r="AH116" s="2" t="n">
        <v>511.5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14022.81</v>
      </c>
      <c r="AP116" s="2" t="n">
        <v>1025.742583333333</v>
      </c>
      <c r="AQ116" s="2" t="n">
        <v>12984.08333333333</v>
      </c>
      <c r="AR116" s="2" t="n">
        <v>3845.9</v>
      </c>
      <c r="AS116" s="2" t="n">
        <v>9239.110000000001</v>
      </c>
      <c r="AT116" s="2" t="n">
        <v>937.8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25595.13</v>
      </c>
      <c r="BB116" s="2" t="n">
        <v>19264.76</v>
      </c>
      <c r="BC116" s="2">
        <f>F116+L116+R116+X116+AD116+AJ116+AP116+AV116+IF(BE116="",0,BE116)</f>
        <v/>
      </c>
      <c r="BD116" s="2" t="n">
        <v>296.677304</v>
      </c>
      <c r="BE116" s="2" t="n"/>
      <c r="BF116" s="2" t="n">
        <v>23699.19444444444</v>
      </c>
      <c r="BG116" s="2" t="n">
        <v>0</v>
      </c>
      <c r="BH116" s="2" t="n">
        <v>0</v>
      </c>
      <c r="BI116" s="2" t="n">
        <v>32273.79</v>
      </c>
      <c r="BJ116" s="2" t="n">
        <v>77.88605042016808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260.07426</v>
      </c>
      <c r="BQ116" s="2" t="n">
        <v>0</v>
      </c>
      <c r="BR116" s="2" t="n">
        <v>32636.75031042017</v>
      </c>
      <c r="BS116" s="2" t="n">
        <v>944.4497478991597</v>
      </c>
      <c r="BT116" s="2" t="n">
        <v>0</v>
      </c>
      <c r="BU116" s="2" t="n">
        <v>6664.225159663866</v>
      </c>
      <c r="BV116" s="2" t="n">
        <v>7608.674907563026</v>
      </c>
      <c r="BW116" s="2" t="n">
        <v>40245.4252179832</v>
      </c>
      <c r="BX116" s="2" t="n">
        <v>17486.42</v>
      </c>
      <c r="BY116" s="2" t="n">
        <v>1778.34</v>
      </c>
      <c r="BZ116" s="2" t="n">
        <v>6330.370000000001</v>
      </c>
      <c r="CA116" s="2" t="n">
        <v>19264.76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1296</v>
      </c>
      <c r="B117" t="inlineStr">
        <is>
          <t>Dworcowa 2, 61-801 Poznań</t>
        </is>
      </c>
      <c r="C117" t="inlineStr">
        <is>
          <t>Poznań Główny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11595.12</v>
      </c>
      <c r="L117" s="2" t="n">
        <v>965.1863777777777</v>
      </c>
      <c r="M117" s="2" t="n">
        <v>10736.22222222222</v>
      </c>
      <c r="N117" s="2" t="n">
        <v>2384.8</v>
      </c>
      <c r="O117" s="2" t="n">
        <v>8601.049999999999</v>
      </c>
      <c r="P117" s="2" t="n">
        <v>609.27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22608.08</v>
      </c>
      <c r="AD117" s="2" t="n">
        <v>1444.405111111111</v>
      </c>
      <c r="AE117" s="2" t="n">
        <v>20933.40740740741</v>
      </c>
      <c r="AF117" s="2" t="n">
        <v>4737.51</v>
      </c>
      <c r="AG117" s="2" t="n">
        <v>16478.8</v>
      </c>
      <c r="AH117" s="2" t="n">
        <v>1391.77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7232.12</v>
      </c>
      <c r="AP117" s="2" t="n">
        <v>529.0161851851851</v>
      </c>
      <c r="AQ117" s="2" t="n">
        <v>6696.407407407407</v>
      </c>
      <c r="AR117" s="2" t="n">
        <v>1294.11</v>
      </c>
      <c r="AS117" s="2" t="n">
        <v>5723.05</v>
      </c>
      <c r="AT117" s="2" t="n">
        <v>214.96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41435.32</v>
      </c>
      <c r="BB117" s="2" t="n">
        <v>33018.9</v>
      </c>
      <c r="BC117" s="2">
        <f>F117+L117+R117+X117+AD117+AJ117+AP117+AV117+IF(BE117="",0,BE117)</f>
        <v/>
      </c>
      <c r="BD117" s="2" t="n">
        <v>508.49106</v>
      </c>
      <c r="BE117" s="2" t="n"/>
      <c r="BF117" s="2" t="n">
        <v>38366.03703703704</v>
      </c>
      <c r="BG117" s="2" t="n">
        <v>458.58</v>
      </c>
      <c r="BH117" s="2" t="n">
        <v>0</v>
      </c>
      <c r="BI117" s="2" t="n">
        <v>32273.79</v>
      </c>
      <c r="BJ117" s="2" t="n">
        <v>77.88605042016808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445.75515</v>
      </c>
      <c r="BQ117" s="2" t="n">
        <v>0</v>
      </c>
      <c r="BR117" s="2" t="n">
        <v>33281.01120042017</v>
      </c>
      <c r="BS117" s="2" t="n">
        <v>944.4497478991597</v>
      </c>
      <c r="BT117" s="2" t="n">
        <v>0</v>
      </c>
      <c r="BU117" s="2" t="n">
        <v>6755.941159663867</v>
      </c>
      <c r="BV117" s="2" t="n">
        <v>7700.390907563026</v>
      </c>
      <c r="BW117" s="2" t="n">
        <v>40981.40210798319</v>
      </c>
      <c r="BX117" s="2" t="n">
        <v>30802.9</v>
      </c>
      <c r="BY117" s="2" t="n">
        <v>2216</v>
      </c>
      <c r="BZ117" s="2" t="n">
        <v>8416.42</v>
      </c>
      <c r="CA117" s="2" t="n">
        <v>33018.89999999999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1297</v>
      </c>
      <c r="B118" t="inlineStr">
        <is>
          <t>Dworcowa 2, 61-801 Poznań</t>
        </is>
      </c>
      <c r="C118" t="inlineStr">
        <is>
          <t>Poznań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9862.75</v>
      </c>
      <c r="L118" s="2" t="n">
        <v>820.9826157407407</v>
      </c>
      <c r="M118" s="2" t="n">
        <v>9132.175925925925</v>
      </c>
      <c r="N118" s="2" t="n">
        <v>2015.39</v>
      </c>
      <c r="O118" s="2" t="n">
        <v>7347.91</v>
      </c>
      <c r="P118" s="2" t="n">
        <v>499.45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13312.53</v>
      </c>
      <c r="AD118" s="2" t="n">
        <v>850.52275</v>
      </c>
      <c r="AE118" s="2" t="n">
        <v>12326.41666666667</v>
      </c>
      <c r="AF118" s="2" t="n">
        <v>2699.5</v>
      </c>
      <c r="AG118" s="2" t="n">
        <v>10004.54</v>
      </c>
      <c r="AH118" s="2" t="n">
        <v>608.49</v>
      </c>
      <c r="AI118" s="2" t="n">
        <v>3.05</v>
      </c>
      <c r="AJ118" s="2" t="n">
        <v>0</v>
      </c>
      <c r="AK118" s="2" t="n">
        <v>2.824074074074074</v>
      </c>
      <c r="AL118" s="2" t="n">
        <v>0</v>
      </c>
      <c r="AM118" s="2" t="n">
        <v>3.05</v>
      </c>
      <c r="AN118" s="2" t="n">
        <v>0</v>
      </c>
      <c r="AO118" s="2" t="n">
        <v>4224.17</v>
      </c>
      <c r="AP118" s="2" t="n">
        <v>308.990212962963</v>
      </c>
      <c r="AQ118" s="2" t="n">
        <v>3911.268518518518</v>
      </c>
      <c r="AR118" s="2" t="n">
        <v>851.77</v>
      </c>
      <c r="AS118" s="2" t="n">
        <v>3025.2</v>
      </c>
      <c r="AT118" s="2" t="n">
        <v>347.2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27402.5</v>
      </c>
      <c r="BB118" s="2" t="n">
        <v>21835.84</v>
      </c>
      <c r="BC118" s="2">
        <f>F118+L118+R118+X118+AD118+AJ118+AP118+AV118+IF(BE118="",0,BE118)</f>
        <v/>
      </c>
      <c r="BD118" s="2" t="n">
        <v>336.271936</v>
      </c>
      <c r="BE118" s="2" t="n"/>
      <c r="BF118" s="2" t="n">
        <v>25372.68518518518</v>
      </c>
      <c r="BG118" s="2" t="n">
        <v>458.58</v>
      </c>
      <c r="BH118" s="2" t="n">
        <v>0</v>
      </c>
      <c r="BI118" s="2" t="n">
        <v>32273.79</v>
      </c>
      <c r="BJ118" s="2" t="n">
        <v>77.88605042016808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294.78384</v>
      </c>
      <c r="BQ118" s="2" t="n">
        <v>0</v>
      </c>
      <c r="BR118" s="2" t="n">
        <v>33130.03989042016</v>
      </c>
      <c r="BS118" s="2" t="n">
        <v>944.4497478991597</v>
      </c>
      <c r="BT118" s="2" t="n">
        <v>0</v>
      </c>
      <c r="BU118" s="2" t="n">
        <v>6755.941159663867</v>
      </c>
      <c r="BV118" s="2" t="n">
        <v>7700.390907563026</v>
      </c>
      <c r="BW118" s="2" t="n">
        <v>40830.43079798319</v>
      </c>
      <c r="BX118" s="2" t="n">
        <v>20380.7</v>
      </c>
      <c r="BY118" s="2" t="n">
        <v>1455.14</v>
      </c>
      <c r="BZ118" s="2" t="n">
        <v>5566.66</v>
      </c>
      <c r="CA118" s="2" t="n">
        <v>21835.84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1298</v>
      </c>
      <c r="B119" t="inlineStr">
        <is>
          <t>Kolumba 2, 70-035 Szczecin</t>
        </is>
      </c>
      <c r="C119" t="inlineStr">
        <is>
          <t>Szczecin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4065.98</v>
      </c>
      <c r="L119" s="2" t="n">
        <v>338.455187037037</v>
      </c>
      <c r="M119" s="2" t="n">
        <v>3764.796296296296</v>
      </c>
      <c r="N119" s="2" t="n">
        <v>1801.59</v>
      </c>
      <c r="O119" s="2" t="n">
        <v>2140.28</v>
      </c>
      <c r="P119" s="2" t="n">
        <v>124.11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10776.11</v>
      </c>
      <c r="AP119" s="2" t="n">
        <v>788.2524907407407</v>
      </c>
      <c r="AQ119" s="2" t="n">
        <v>9977.879629629628</v>
      </c>
      <c r="AR119" s="2" t="n">
        <v>5749.55</v>
      </c>
      <c r="AS119" s="2" t="n">
        <v>4806.66</v>
      </c>
      <c r="AT119" s="2" t="n">
        <v>219.9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14842.09</v>
      </c>
      <c r="BB119" s="2" t="n">
        <v>7290.95</v>
      </c>
      <c r="BC119" s="2">
        <f>F119+L119+R119+X119+AD119+AJ119+AP119+AV119+IF(BE119="",0,BE119)</f>
        <v/>
      </c>
      <c r="BD119" s="2" t="n">
        <v>112.28063</v>
      </c>
      <c r="BE119" s="2" t="n"/>
      <c r="BF119" s="2" t="n">
        <v>13742.67592592592</v>
      </c>
      <c r="BG119" s="2" t="n">
        <v>1387.63</v>
      </c>
      <c r="BH119" s="2" t="n">
        <v>187.2</v>
      </c>
      <c r="BI119" s="2" t="n">
        <v>29150.52</v>
      </c>
      <c r="BJ119" s="2" t="n">
        <v>77.88605042016808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98.427825</v>
      </c>
      <c r="BQ119" s="2" t="n">
        <v>0</v>
      </c>
      <c r="BR119" s="2" t="n">
        <v>30926.66387542017</v>
      </c>
      <c r="BS119" s="2" t="n">
        <v>944.4497478991597</v>
      </c>
      <c r="BT119" s="2" t="n">
        <v>0</v>
      </c>
      <c r="BU119" s="2" t="n">
        <v>6354.537159663865</v>
      </c>
      <c r="BV119" s="2" t="n">
        <v>7298.986907563025</v>
      </c>
      <c r="BW119" s="2" t="n">
        <v>38225.6507829832</v>
      </c>
      <c r="BX119" s="2" t="n">
        <v>6946.940000000001</v>
      </c>
      <c r="BY119" s="2" t="n">
        <v>344.01</v>
      </c>
      <c r="BZ119" s="2" t="n">
        <v>7551.14</v>
      </c>
      <c r="CA119" s="2" t="n">
        <v>7290.950000000001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1299</v>
      </c>
      <c r="B120" t="inlineStr">
        <is>
          <t>Pawia 5a, 31-154 Kraków</t>
        </is>
      </c>
      <c r="C120" t="inlineStr">
        <is>
          <t>Kraków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18658.38</v>
      </c>
      <c r="L120" s="2" t="n">
        <v>1553.137372222222</v>
      </c>
      <c r="M120" s="2" t="n">
        <v>17276.27777777777</v>
      </c>
      <c r="N120" s="2" t="n">
        <v>4924.75</v>
      </c>
      <c r="O120" s="2" t="n">
        <v>13170.63</v>
      </c>
      <c r="P120" s="2" t="n">
        <v>563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15857.24</v>
      </c>
      <c r="X120" s="2" t="n">
        <v>750</v>
      </c>
      <c r="Y120" s="2" t="n">
        <v>14682.62962962963</v>
      </c>
      <c r="Z120" s="2" t="n">
        <v>1655.74</v>
      </c>
      <c r="AA120" s="2" t="n">
        <v>14038.09</v>
      </c>
      <c r="AB120" s="2" t="n">
        <v>163.41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10000.56</v>
      </c>
      <c r="AP120" s="2" t="n">
        <v>731.5224444444444</v>
      </c>
      <c r="AQ120" s="2" t="n">
        <v>9259.777777777777</v>
      </c>
      <c r="AR120" s="2" t="n">
        <v>1768.15</v>
      </c>
      <c r="AS120" s="2" t="n">
        <v>7758.16</v>
      </c>
      <c r="AT120" s="2" t="n">
        <v>474.25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44516.17999999999</v>
      </c>
      <c r="BB120" s="2" t="n">
        <v>36167.53999999999</v>
      </c>
      <c r="BC120" s="2">
        <f>F120+L120+R120+X120+AD120+AJ120+AP120+AV120+IF(BE120="",0,BE120)</f>
        <v/>
      </c>
      <c r="BD120" s="2" t="n">
        <v>529.997266</v>
      </c>
      <c r="BE120" s="2" t="n"/>
      <c r="BF120" s="2" t="n">
        <v>41218.68518518518</v>
      </c>
      <c r="BG120" s="2" t="n">
        <v>0</v>
      </c>
      <c r="BH120" s="2" t="n">
        <v>0</v>
      </c>
      <c r="BI120" s="2" t="n">
        <v>32273.79</v>
      </c>
      <c r="BJ120" s="2" t="n">
        <v>77.88605042016808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488.26179</v>
      </c>
      <c r="BQ120" s="2" t="n">
        <v>0</v>
      </c>
      <c r="BR120" s="2" t="n">
        <v>32864.93784042017</v>
      </c>
      <c r="BS120" s="2" t="n">
        <v>944.4497478991597</v>
      </c>
      <c r="BT120" s="2" t="n">
        <v>0</v>
      </c>
      <c r="BU120" s="2" t="n">
        <v>6664.225159663866</v>
      </c>
      <c r="BV120" s="2" t="n">
        <v>7608.674907563026</v>
      </c>
      <c r="BW120" s="2" t="n">
        <v>40473.6127479832</v>
      </c>
      <c r="BX120" s="2" t="n">
        <v>34966.88</v>
      </c>
      <c r="BY120" s="2" t="n">
        <v>1200.66</v>
      </c>
      <c r="BZ120" s="2" t="n">
        <v>8348.639999999999</v>
      </c>
      <c r="CA120" s="2" t="n">
        <v>36167.54000000001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s="3" t="inlineStr">
        <is>
          <t>PODSUMOWANIE</t>
        </is>
      </c>
      <c r="B121" s="3" t="n"/>
      <c r="C121" s="3" t="n"/>
      <c r="D121" s="3" t="n"/>
      <c r="E121" s="4">
        <f>SUM(E2:E120)</f>
        <v/>
      </c>
      <c r="F121" s="4">
        <f>SUM(F2:F120)</f>
        <v/>
      </c>
      <c r="G121" s="4">
        <f>SUM(G2:G120)</f>
        <v/>
      </c>
      <c r="H121" s="4">
        <f>SUM(H2:H120)</f>
        <v/>
      </c>
      <c r="I121" s="4">
        <f>SUM(I2:I120)</f>
        <v/>
      </c>
      <c r="J121" s="4">
        <f>SUM(J2:J120)</f>
        <v/>
      </c>
      <c r="K121" s="4">
        <f>SUM(K2:K120)</f>
        <v/>
      </c>
      <c r="L121" s="4">
        <f>SUM(L2:L120)</f>
        <v/>
      </c>
      <c r="M121" s="4">
        <f>SUM(M2:M120)</f>
        <v/>
      </c>
      <c r="N121" s="4">
        <f>SUM(N2:N120)</f>
        <v/>
      </c>
      <c r="O121" s="4">
        <f>SUM(O2:O120)</f>
        <v/>
      </c>
      <c r="P121" s="4">
        <f>SUM(P2:P120)</f>
        <v/>
      </c>
      <c r="Q121" s="4">
        <f>SUM(Q2:Q120)</f>
        <v/>
      </c>
      <c r="R121" s="4">
        <f>SUM(R2:R120)</f>
        <v/>
      </c>
      <c r="S121" s="4">
        <f>SUM(S2:S120)</f>
        <v/>
      </c>
      <c r="T121" s="4">
        <f>SUM(T2:T120)</f>
        <v/>
      </c>
      <c r="U121" s="4">
        <f>SUM(U2:U120)</f>
        <v/>
      </c>
      <c r="V121" s="4">
        <f>SUM(V2:V120)</f>
        <v/>
      </c>
      <c r="W121" s="4">
        <f>SUM(W2:W120)</f>
        <v/>
      </c>
      <c r="X121" s="4">
        <f>SUM(X2:X120)</f>
        <v/>
      </c>
      <c r="Y121" s="4">
        <f>SUM(Y2:Y120)</f>
        <v/>
      </c>
      <c r="Z121" s="4">
        <f>SUM(Z2:Z120)</f>
        <v/>
      </c>
      <c r="AA121" s="4">
        <f>SUM(AA2:AA120)</f>
        <v/>
      </c>
      <c r="AB121" s="4">
        <f>SUM(AB2:AB120)</f>
        <v/>
      </c>
      <c r="AC121" s="4">
        <f>SUM(AC2:AC120)</f>
        <v/>
      </c>
      <c r="AD121" s="4">
        <f>SUM(AD2:AD120)</f>
        <v/>
      </c>
      <c r="AE121" s="4">
        <f>SUM(AE2:AE120)</f>
        <v/>
      </c>
      <c r="AF121" s="4">
        <f>SUM(AF2:AF120)</f>
        <v/>
      </c>
      <c r="AG121" s="4">
        <f>SUM(AG2:AG120)</f>
        <v/>
      </c>
      <c r="AH121" s="4">
        <f>SUM(AH2:AH120)</f>
        <v/>
      </c>
      <c r="AI121" s="4">
        <f>SUM(AI2:AI120)</f>
        <v/>
      </c>
      <c r="AJ121" s="4">
        <f>SUM(AJ2:AJ120)</f>
        <v/>
      </c>
      <c r="AK121" s="4">
        <f>SUM(AK2:AK120)</f>
        <v/>
      </c>
      <c r="AL121" s="4">
        <f>SUM(AL2:AL120)</f>
        <v/>
      </c>
      <c r="AM121" s="4">
        <f>SUM(AM2:AM120)</f>
        <v/>
      </c>
      <c r="AN121" s="4">
        <f>SUM(AN2:AN120)</f>
        <v/>
      </c>
      <c r="AO121" s="4">
        <f>SUM(AO2:AO120)</f>
        <v/>
      </c>
      <c r="AP121" s="4">
        <f>SUM(AP2:AP120)</f>
        <v/>
      </c>
      <c r="AQ121" s="4">
        <f>SUM(AQ2:AQ120)</f>
        <v/>
      </c>
      <c r="AR121" s="4">
        <f>SUM(AR2:AR120)</f>
        <v/>
      </c>
      <c r="AS121" s="4">
        <f>SUM(AS2:AS120)</f>
        <v/>
      </c>
      <c r="AT121" s="4">
        <f>SUM(AT2:AT120)</f>
        <v/>
      </c>
      <c r="AU121" s="4">
        <f>SUM(AU2:AU120)</f>
        <v/>
      </c>
      <c r="AV121" s="4">
        <f>SUM(AV2:AV120)</f>
        <v/>
      </c>
      <c r="AW121" s="4">
        <f>SUM(AW2:AW120)</f>
        <v/>
      </c>
      <c r="AX121" s="4">
        <f>SUM(AX2:AX120)</f>
        <v/>
      </c>
      <c r="AY121" s="4">
        <f>SUM(AY2:AY120)</f>
        <v/>
      </c>
      <c r="AZ121" s="4">
        <f>SUM(AZ2:AZ120)</f>
        <v/>
      </c>
      <c r="BA121" s="4">
        <f>SUM(BA2:BA120)</f>
        <v/>
      </c>
      <c r="BB121" s="4">
        <f>SUM(BB2:BB120)</f>
        <v/>
      </c>
      <c r="BC121" s="4">
        <f>SUM(BC2:BC120)</f>
        <v/>
      </c>
      <c r="BD121" s="4">
        <f>SUM(BD2:BD120)</f>
        <v/>
      </c>
      <c r="BE121" s="4">
        <f>SUM(BE2:BE120)</f>
        <v/>
      </c>
      <c r="BF121" s="4">
        <f>SUM(BF2:BF120)</f>
        <v/>
      </c>
      <c r="BG121" s="4">
        <f>SUM(BG2:BG120)</f>
        <v/>
      </c>
      <c r="BH121" s="4">
        <f>SUM(BH2:BH120)</f>
        <v/>
      </c>
      <c r="BI121" s="4">
        <f>SUM(BI2:BI120)</f>
        <v/>
      </c>
      <c r="BJ121" s="4">
        <f>SUM(BJ2:BJ120)</f>
        <v/>
      </c>
      <c r="BK121" s="4">
        <f>SUM(BK2:BK120)</f>
        <v/>
      </c>
      <c r="BL121" s="4">
        <f>SUM(BL2:BL120)</f>
        <v/>
      </c>
      <c r="BM121" s="4">
        <f>SUM(BM2:BM120)</f>
        <v/>
      </c>
      <c r="BN121" s="4">
        <f>SUM(BN2:BN120)</f>
        <v/>
      </c>
      <c r="BO121" s="4">
        <f>SUM(BO2:BO120)</f>
        <v/>
      </c>
      <c r="BP121" s="4">
        <f>SUM(BP2:BP120)</f>
        <v/>
      </c>
      <c r="BQ121" s="4">
        <f>SUM(BQ2:BQ120)</f>
        <v/>
      </c>
      <c r="BR121" s="4">
        <f>SUM(BR2:BR120)</f>
        <v/>
      </c>
      <c r="BS121" s="4">
        <f>SUM(BS2:BS120)</f>
        <v/>
      </c>
      <c r="BT121" s="4">
        <f>SUM(BT2:BT120)</f>
        <v/>
      </c>
      <c r="BU121" s="4">
        <f>SUM(BU2:BU120)</f>
        <v/>
      </c>
      <c r="BV121" s="4">
        <f>SUM(BV2:BV120)</f>
        <v/>
      </c>
      <c r="BW121" s="4">
        <f>SUM(BW2:BW120)</f>
        <v/>
      </c>
      <c r="BX121" s="4">
        <f>SUM(BX2:BX120)</f>
        <v/>
      </c>
      <c r="BY121" s="4">
        <f>SUM(BY2:BY120)</f>
        <v/>
      </c>
      <c r="BZ121" s="4">
        <f>SUM(BZ2:BZ120)</f>
        <v/>
      </c>
      <c r="CA121" s="4">
        <f>SUM(CA2:CA120)</f>
        <v/>
      </c>
      <c r="CB121" s="4">
        <f>SUM(CB2:CB120)</f>
        <v/>
      </c>
      <c r="CC121" s="3" t="n"/>
    </row>
  </sheetData>
  <conditionalFormatting sqref="CB2:CB120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1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17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19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9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16143.78</v>
      </c>
      <c r="L2" s="2" t="n">
        <v>1343.820205555556</v>
      </c>
      <c r="M2" s="2" t="n">
        <v>14947.94444444444</v>
      </c>
      <c r="N2" s="2" t="n">
        <v>0</v>
      </c>
      <c r="O2" s="2" t="n">
        <v>15275.84</v>
      </c>
      <c r="P2" s="2" t="n">
        <v>867.9400000000001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27180.13</v>
      </c>
      <c r="X2" s="2" t="n">
        <v>750</v>
      </c>
      <c r="Y2" s="2" t="n">
        <v>25166.78703703704</v>
      </c>
      <c r="Z2" s="2" t="n">
        <v>0</v>
      </c>
      <c r="AA2" s="2" t="n">
        <v>26100.72</v>
      </c>
      <c r="AB2" s="2" t="n">
        <v>1079.41</v>
      </c>
      <c r="AC2" s="2" t="n">
        <v>7.9</v>
      </c>
      <c r="AD2" s="2" t="n">
        <v>0.5047222222222223</v>
      </c>
      <c r="AE2" s="2" t="n">
        <v>7.314814814814815</v>
      </c>
      <c r="AF2" s="2" t="n">
        <v>0</v>
      </c>
      <c r="AG2" s="2" t="n">
        <v>7.9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12550.65</v>
      </c>
      <c r="AP2" s="2" t="n">
        <v>581.0486111111112</v>
      </c>
      <c r="AQ2" s="2" t="n">
        <v>11620.97222222222</v>
      </c>
      <c r="AR2" s="2" t="n">
        <v>0</v>
      </c>
      <c r="AS2" s="2" t="n">
        <v>11777.2</v>
      </c>
      <c r="AT2" s="2" t="n">
        <v>773.45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55882.46000000001</v>
      </c>
      <c r="BB2" s="2" t="n">
        <v>55882.46000000001</v>
      </c>
      <c r="BC2" s="2">
        <f>F2+L2+R2+X2+AD2+AJ2+AP2+AV2+IF(BE2="",0,BE2)</f>
        <v/>
      </c>
      <c r="BD2" s="2" t="n">
        <v>808.9476370000001</v>
      </c>
      <c r="BE2" s="2" t="n"/>
      <c r="BF2" s="2" t="n">
        <v>51743.01851851853</v>
      </c>
      <c r="BG2" s="2" t="n">
        <v>1175.06</v>
      </c>
      <c r="BH2" s="2" t="n">
        <v>240</v>
      </c>
      <c r="BI2" s="2" t="n">
        <v>14562.02</v>
      </c>
      <c r="BJ2" s="2" t="n">
        <v>58.77173913043478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754.4132099999999</v>
      </c>
      <c r="BQ2" s="2" t="n">
        <v>25.51304347826087</v>
      </c>
      <c r="BR2" s="2" t="n">
        <v>16840.7779926087</v>
      </c>
      <c r="BS2" s="2" t="n">
        <v>855.0899130434782</v>
      </c>
      <c r="BT2" s="2" t="n">
        <v>0</v>
      </c>
      <c r="BU2" s="2" t="n">
        <v>3388.290939130435</v>
      </c>
      <c r="BV2" s="2" t="n">
        <v>4243.380852173913</v>
      </c>
      <c r="BW2" s="2" t="n">
        <v>21084.15884478261</v>
      </c>
      <c r="BX2" s="2" t="n">
        <v>53161.66</v>
      </c>
      <c r="BY2" s="2" t="n">
        <v>2720.8</v>
      </c>
      <c r="BZ2" s="2" t="n">
        <v>0</v>
      </c>
      <c r="CA2" s="2" t="n">
        <v>55882.46000000001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1632.27</v>
      </c>
      <c r="L3" s="2" t="n">
        <v>135.8713638888889</v>
      </c>
      <c r="M3" s="2" t="n">
        <v>1511.361111111111</v>
      </c>
      <c r="N3" s="2" t="n">
        <v>0</v>
      </c>
      <c r="O3" s="2" t="n">
        <v>1478.95</v>
      </c>
      <c r="P3" s="2" t="n">
        <v>153.32</v>
      </c>
      <c r="Q3" s="2" t="n">
        <v>2707.98</v>
      </c>
      <c r="R3" s="2" t="n">
        <v>188.0541666666666</v>
      </c>
      <c r="S3" s="2" t="n">
        <v>2507.388888888889</v>
      </c>
      <c r="T3" s="2" t="n">
        <v>0</v>
      </c>
      <c r="U3" s="2" t="n">
        <v>2640.16</v>
      </c>
      <c r="V3" s="2" t="n">
        <v>67.81999999999999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5862.42</v>
      </c>
      <c r="AP3" s="2" t="n">
        <v>271.4083333333333</v>
      </c>
      <c r="AQ3" s="2" t="n">
        <v>5428.166666666666</v>
      </c>
      <c r="AR3" s="2" t="n">
        <v>0</v>
      </c>
      <c r="AS3" s="2" t="n">
        <v>5500.14</v>
      </c>
      <c r="AT3" s="2" t="n">
        <v>362.28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10202.67</v>
      </c>
      <c r="BB3" s="2" t="n">
        <v>10202.67</v>
      </c>
      <c r="BC3" s="2">
        <f>F3+L3+R3+X3+AD3+AJ3+AP3+AV3+IF(BE3="",0,BE3)</f>
        <v/>
      </c>
      <c r="BD3" s="2" t="n">
        <v>157.121118</v>
      </c>
      <c r="BE3" s="2" t="n"/>
      <c r="BF3" s="2" t="n">
        <v>9446.916666666666</v>
      </c>
      <c r="BG3" s="2" t="n">
        <v>0</v>
      </c>
      <c r="BH3" s="2" t="n">
        <v>0</v>
      </c>
      <c r="BI3" s="2" t="n">
        <v>14562.02</v>
      </c>
      <c r="BJ3" s="2" t="n">
        <v>58.77173913043478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137.736045</v>
      </c>
      <c r="BQ3" s="2" t="n">
        <v>25.51304347826087</v>
      </c>
      <c r="BR3" s="2" t="n">
        <v>14809.04082760869</v>
      </c>
      <c r="BS3" s="2" t="n">
        <v>855.0899130434782</v>
      </c>
      <c r="BT3" s="2" t="n">
        <v>0</v>
      </c>
      <c r="BU3" s="2" t="n">
        <v>3105.278939130435</v>
      </c>
      <c r="BV3" s="2" t="n">
        <v>3960.368852173914</v>
      </c>
      <c r="BW3" s="2" t="n">
        <v>18769.40967978261</v>
      </c>
      <c r="BX3" s="2" t="n">
        <v>9619.25</v>
      </c>
      <c r="BY3" s="2" t="n">
        <v>583.42</v>
      </c>
      <c r="BZ3" s="2" t="n">
        <v>0</v>
      </c>
      <c r="CA3" s="2" t="n">
        <v>10202.67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6839.200000000001</v>
      </c>
      <c r="L4" s="2" t="n">
        <v>569.3000740740741</v>
      </c>
      <c r="M4" s="2" t="n">
        <v>6332.592592592593</v>
      </c>
      <c r="N4" s="2" t="n">
        <v>0</v>
      </c>
      <c r="O4" s="2" t="n">
        <v>6178.47</v>
      </c>
      <c r="P4" s="2" t="n">
        <v>660.73</v>
      </c>
      <c r="Q4" s="2" t="n">
        <v>22655.88</v>
      </c>
      <c r="R4" s="2" t="n">
        <v>500</v>
      </c>
      <c r="S4" s="2" t="n">
        <v>20977.66666666666</v>
      </c>
      <c r="T4" s="2" t="n">
        <v>0</v>
      </c>
      <c r="U4" s="2" t="n">
        <v>21485.8</v>
      </c>
      <c r="V4" s="2" t="n">
        <v>1170.08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7674.7</v>
      </c>
      <c r="AP4" s="2" t="n">
        <v>355.3101851851852</v>
      </c>
      <c r="AQ4" s="2" t="n">
        <v>7106.203703703703</v>
      </c>
      <c r="AR4" s="2" t="n">
        <v>0</v>
      </c>
      <c r="AS4" s="2" t="n">
        <v>7357.99</v>
      </c>
      <c r="AT4" s="2" t="n">
        <v>316.71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37169.78</v>
      </c>
      <c r="BB4" s="2" t="n">
        <v>37169.78</v>
      </c>
      <c r="BC4" s="2">
        <f>F4+L4+R4+X4+AD4+AJ4+AP4+AV4+IF(BE4="",0,BE4)</f>
        <v/>
      </c>
      <c r="BD4" s="2" t="n">
        <v>572.414612</v>
      </c>
      <c r="BE4" s="2" t="n"/>
      <c r="BF4" s="2" t="n">
        <v>34416.46296296296</v>
      </c>
      <c r="BG4" s="2" t="n">
        <v>0</v>
      </c>
      <c r="BH4" s="2" t="n">
        <v>0</v>
      </c>
      <c r="BI4" s="2" t="n">
        <v>14562.02</v>
      </c>
      <c r="BJ4" s="2" t="n">
        <v>58.77173913043478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501.79203</v>
      </c>
      <c r="BQ4" s="2" t="n">
        <v>25.51304347826087</v>
      </c>
      <c r="BR4" s="2" t="n">
        <v>15173.0968126087</v>
      </c>
      <c r="BS4" s="2" t="n">
        <v>855.0899130434782</v>
      </c>
      <c r="BT4" s="2" t="n">
        <v>0</v>
      </c>
      <c r="BU4" s="2" t="n">
        <v>3105.278939130435</v>
      </c>
      <c r="BV4" s="2" t="n">
        <v>3960.368852173914</v>
      </c>
      <c r="BW4" s="2" t="n">
        <v>19133.46566478261</v>
      </c>
      <c r="BX4" s="2" t="n">
        <v>35022.26</v>
      </c>
      <c r="BY4" s="2" t="n">
        <v>2147.52</v>
      </c>
      <c r="BZ4" s="2" t="n">
        <v>0</v>
      </c>
      <c r="CA4" s="2" t="n">
        <v>37169.78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16002.51</v>
      </c>
      <c r="L5" s="2" t="n">
        <v>1332.060786111111</v>
      </c>
      <c r="M5" s="2" t="n">
        <v>14817.13888888889</v>
      </c>
      <c r="N5" s="2" t="n">
        <v>0</v>
      </c>
      <c r="O5" s="2" t="n">
        <v>14544.34</v>
      </c>
      <c r="P5" s="2" t="n">
        <v>1458.17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27727.4</v>
      </c>
      <c r="AD5" s="2" t="n">
        <v>1771.472777777778</v>
      </c>
      <c r="AE5" s="2" t="n">
        <v>25673.51851851851</v>
      </c>
      <c r="AF5" s="2" t="n">
        <v>0</v>
      </c>
      <c r="AG5" s="2" t="n">
        <v>25528.46</v>
      </c>
      <c r="AH5" s="2" t="n">
        <v>2198.94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10584.4</v>
      </c>
      <c r="AP5" s="2" t="n">
        <v>490.0185185185185</v>
      </c>
      <c r="AQ5" s="2" t="n">
        <v>9800.370370370369</v>
      </c>
      <c r="AR5" s="2" t="n">
        <v>0</v>
      </c>
      <c r="AS5" s="2" t="n">
        <v>9576.629999999999</v>
      </c>
      <c r="AT5" s="2" t="n">
        <v>1007.77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54314.31</v>
      </c>
      <c r="BB5" s="2" t="n">
        <v>54314.31</v>
      </c>
      <c r="BC5" s="2">
        <f>F5+L5+R5+X5+AD5+AJ5+AP5+AV5+IF(BE5="",0,BE5)</f>
        <v/>
      </c>
      <c r="BD5" s="2" t="n">
        <v>836.440374</v>
      </c>
      <c r="BE5" s="2" t="n"/>
      <c r="BF5" s="2" t="n">
        <v>50291.02777777777</v>
      </c>
      <c r="BG5" s="2" t="n">
        <v>0</v>
      </c>
      <c r="BH5" s="2" t="n">
        <v>0</v>
      </c>
      <c r="BI5" s="2" t="n">
        <v>14562.02</v>
      </c>
      <c r="BJ5" s="2" t="n">
        <v>58.77173913043478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733.243185</v>
      </c>
      <c r="BQ5" s="2" t="n">
        <v>25.51304347826087</v>
      </c>
      <c r="BR5" s="2" t="n">
        <v>15404.54796760869</v>
      </c>
      <c r="BS5" s="2" t="n">
        <v>855.0899130434782</v>
      </c>
      <c r="BT5" s="2" t="n">
        <v>0</v>
      </c>
      <c r="BU5" s="2" t="n">
        <v>3105.278939130435</v>
      </c>
      <c r="BV5" s="2" t="n">
        <v>3960.368852173914</v>
      </c>
      <c r="BW5" s="2" t="n">
        <v>19364.91681978261</v>
      </c>
      <c r="BX5" s="2" t="n">
        <v>49649.43</v>
      </c>
      <c r="BY5" s="2" t="n">
        <v>4664.88</v>
      </c>
      <c r="BZ5" s="2" t="n">
        <v>0</v>
      </c>
      <c r="CA5" s="2" t="n">
        <v>54314.31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692.21</v>
      </c>
      <c r="L6" s="2" t="n">
        <v>57.62007314814816</v>
      </c>
      <c r="M6" s="2" t="n">
        <v>640.9351851851852</v>
      </c>
      <c r="N6" s="2" t="n">
        <v>0</v>
      </c>
      <c r="O6" s="2" t="n">
        <v>599.21</v>
      </c>
      <c r="P6" s="2" t="n">
        <v>93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10111.75</v>
      </c>
      <c r="AP6" s="2" t="n">
        <v>468.1365740740741</v>
      </c>
      <c r="AQ6" s="2" t="n">
        <v>9362.731481481482</v>
      </c>
      <c r="AR6" s="2" t="n">
        <v>0</v>
      </c>
      <c r="AS6" s="2" t="n">
        <v>9478.440000000001</v>
      </c>
      <c r="AT6" s="2" t="n">
        <v>633.3099999999999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10803.96</v>
      </c>
      <c r="BB6" s="2" t="n">
        <v>10803.96</v>
      </c>
      <c r="BC6" s="2">
        <f>F6+L6+R6+X6+AD6+AJ6+AP6+AV6+IF(BE6="",0,BE6)</f>
        <v/>
      </c>
      <c r="BD6" s="2" t="n">
        <v>166.380984</v>
      </c>
      <c r="BE6" s="2" t="n"/>
      <c r="BF6" s="2" t="n">
        <v>10003.66666666667</v>
      </c>
      <c r="BG6" s="2" t="n">
        <v>0</v>
      </c>
      <c r="BH6" s="2" t="n">
        <v>0</v>
      </c>
      <c r="BI6" s="2" t="n">
        <v>14562.02</v>
      </c>
      <c r="BJ6" s="2" t="n">
        <v>58.77173913043478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145.85346</v>
      </c>
      <c r="BQ6" s="2" t="n">
        <v>25.51304347826087</v>
      </c>
      <c r="BR6" s="2" t="n">
        <v>14817.1582426087</v>
      </c>
      <c r="BS6" s="2" t="n">
        <v>855.0899130434782</v>
      </c>
      <c r="BT6" s="2" t="n">
        <v>0</v>
      </c>
      <c r="BU6" s="2" t="n">
        <v>3105.278939130435</v>
      </c>
      <c r="BV6" s="2" t="n">
        <v>3960.368852173914</v>
      </c>
      <c r="BW6" s="2" t="n">
        <v>18777.52709478261</v>
      </c>
      <c r="BX6" s="2" t="n">
        <v>10077.65</v>
      </c>
      <c r="BY6" s="2" t="n">
        <v>726.3099999999999</v>
      </c>
      <c r="BZ6" s="2" t="n">
        <v>0</v>
      </c>
      <c r="CA6" s="2" t="n">
        <v>10803.96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9850.67</v>
      </c>
      <c r="L7" s="2" t="n">
        <v>819.9770675925927</v>
      </c>
      <c r="M7" s="2" t="n">
        <v>9120.990740740741</v>
      </c>
      <c r="N7" s="2" t="n">
        <v>0</v>
      </c>
      <c r="O7" s="2" t="n">
        <v>8440.92</v>
      </c>
      <c r="P7" s="2" t="n">
        <v>1409.75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11.27</v>
      </c>
      <c r="AD7" s="2" t="n">
        <v>0.7200277777777777</v>
      </c>
      <c r="AE7" s="2" t="n">
        <v>10.43518518518518</v>
      </c>
      <c r="AF7" s="2" t="n">
        <v>0</v>
      </c>
      <c r="AG7" s="2" t="n">
        <v>11.27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32930.19</v>
      </c>
      <c r="AP7" s="2" t="n">
        <v>1524.545833333334</v>
      </c>
      <c r="AQ7" s="2" t="n">
        <v>30490.91666666667</v>
      </c>
      <c r="AR7" s="2" t="n">
        <v>0</v>
      </c>
      <c r="AS7" s="2" t="n">
        <v>30081.55</v>
      </c>
      <c r="AT7" s="2" t="n">
        <v>2848.64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42792.13</v>
      </c>
      <c r="BB7" s="2" t="n">
        <v>42792.13</v>
      </c>
      <c r="BC7" s="2">
        <f>F7+L7+R7+X7+AD7+AJ7+AP7+AV7+IF(BE7="",0,BE7)</f>
        <v/>
      </c>
      <c r="BD7" s="2" t="n">
        <v>658.9988020000001</v>
      </c>
      <c r="BE7" s="2" t="n"/>
      <c r="BF7" s="2" t="n">
        <v>39622.34259259259</v>
      </c>
      <c r="BG7" s="2" t="n">
        <v>0</v>
      </c>
      <c r="BH7" s="2" t="n">
        <v>0</v>
      </c>
      <c r="BI7" s="2" t="n">
        <v>14562.02</v>
      </c>
      <c r="BJ7" s="2" t="n">
        <v>58.77173913043478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577.693755</v>
      </c>
      <c r="BQ7" s="2" t="n">
        <v>25.51304347826087</v>
      </c>
      <c r="BR7" s="2" t="n">
        <v>15248.9985376087</v>
      </c>
      <c r="BS7" s="2" t="n">
        <v>855.0899130434782</v>
      </c>
      <c r="BT7" s="2" t="n">
        <v>0</v>
      </c>
      <c r="BU7" s="2" t="n">
        <v>3105.278939130435</v>
      </c>
      <c r="BV7" s="2" t="n">
        <v>3960.368852173914</v>
      </c>
      <c r="BW7" s="2" t="n">
        <v>19209.36738978261</v>
      </c>
      <c r="BX7" s="2" t="n">
        <v>38533.74</v>
      </c>
      <c r="BY7" s="2" t="n">
        <v>4258.389999999999</v>
      </c>
      <c r="BZ7" s="2" t="n">
        <v>0</v>
      </c>
      <c r="CA7" s="2" t="n">
        <v>42792.13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9304.07</v>
      </c>
      <c r="L8" s="2" t="n">
        <v>774.4776787037038</v>
      </c>
      <c r="M8" s="2" t="n">
        <v>8614.87962962963</v>
      </c>
      <c r="N8" s="2" t="n">
        <v>0</v>
      </c>
      <c r="O8" s="2" t="n">
        <v>8414.35</v>
      </c>
      <c r="P8" s="2" t="n">
        <v>889.72</v>
      </c>
      <c r="Q8" s="2" t="n">
        <v>79.09999999999999</v>
      </c>
      <c r="R8" s="2" t="n">
        <v>5.493055555555554</v>
      </c>
      <c r="S8" s="2" t="n">
        <v>73.24074074074073</v>
      </c>
      <c r="T8" s="2" t="n">
        <v>0</v>
      </c>
      <c r="U8" s="2" t="n">
        <v>79.09999999999999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19613.58</v>
      </c>
      <c r="AP8" s="2" t="n">
        <v>908.036111111111</v>
      </c>
      <c r="AQ8" s="2" t="n">
        <v>18160.72222222222</v>
      </c>
      <c r="AR8" s="2" t="n">
        <v>0</v>
      </c>
      <c r="AS8" s="2" t="n">
        <v>18371.76</v>
      </c>
      <c r="AT8" s="2" t="n">
        <v>1241.82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28996.75</v>
      </c>
      <c r="BB8" s="2" t="n">
        <v>28996.75</v>
      </c>
      <c r="BC8" s="2">
        <f>F8+L8+R8+X8+AD8+AJ8+AP8+AV8+IF(BE8="",0,BE8)</f>
        <v/>
      </c>
      <c r="BD8" s="2" t="n">
        <v>446.54995</v>
      </c>
      <c r="BE8" s="2" t="n"/>
      <c r="BF8" s="2" t="n">
        <v>26848.84259259259</v>
      </c>
      <c r="BG8" s="2" t="n">
        <v>0</v>
      </c>
      <c r="BH8" s="2" t="n">
        <v>0</v>
      </c>
      <c r="BI8" s="2" t="n">
        <v>14562.02</v>
      </c>
      <c r="BJ8" s="2" t="n">
        <v>58.77173913043478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391.456125</v>
      </c>
      <c r="BQ8" s="2" t="n">
        <v>25.51304347826087</v>
      </c>
      <c r="BR8" s="2" t="n">
        <v>15062.7609076087</v>
      </c>
      <c r="BS8" s="2" t="n">
        <v>855.0899130434782</v>
      </c>
      <c r="BT8" s="2" t="n">
        <v>0</v>
      </c>
      <c r="BU8" s="2" t="n">
        <v>3105.278939130435</v>
      </c>
      <c r="BV8" s="2" t="n">
        <v>3960.368852173914</v>
      </c>
      <c r="BW8" s="2" t="n">
        <v>19023.12975978261</v>
      </c>
      <c r="BX8" s="2" t="n">
        <v>26865.21</v>
      </c>
      <c r="BY8" s="2" t="n">
        <v>2131.54</v>
      </c>
      <c r="BZ8" s="2" t="n">
        <v>0</v>
      </c>
      <c r="CA8" s="2" t="n">
        <v>28996.75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6640.74</v>
      </c>
      <c r="L9" s="2" t="n">
        <v>552.7801166666667</v>
      </c>
      <c r="M9" s="2" t="n">
        <v>6148.833333333333</v>
      </c>
      <c r="N9" s="2" t="n">
        <v>0</v>
      </c>
      <c r="O9" s="2" t="n">
        <v>6380.37</v>
      </c>
      <c r="P9" s="2" t="n">
        <v>260.37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18609.61</v>
      </c>
      <c r="AP9" s="2" t="n">
        <v>861.5560185185183</v>
      </c>
      <c r="AQ9" s="2" t="n">
        <v>17231.12037037036</v>
      </c>
      <c r="AR9" s="2" t="n">
        <v>0</v>
      </c>
      <c r="AS9" s="2" t="n">
        <v>17666.35</v>
      </c>
      <c r="AT9" s="2" t="n">
        <v>943.26</v>
      </c>
      <c r="AU9" s="2" t="n">
        <v>198.75</v>
      </c>
      <c r="AV9" s="2" t="n">
        <v>7.913194444444444</v>
      </c>
      <c r="AW9" s="2" t="n">
        <v>184.0277777777778</v>
      </c>
      <c r="AX9" s="2" t="n">
        <v>0</v>
      </c>
      <c r="AY9" s="2" t="n">
        <v>183.35</v>
      </c>
      <c r="AZ9" s="2" t="n">
        <v>15.4</v>
      </c>
      <c r="BA9" s="2" t="n">
        <v>25449.1</v>
      </c>
      <c r="BB9" s="2" t="n">
        <v>25449.1</v>
      </c>
      <c r="BC9" s="2">
        <f>F9+L9+R9+X9+AD9+AJ9+AP9+AV9+IF(BE9="",0,BE9)</f>
        <v/>
      </c>
      <c r="BD9" s="2" t="n">
        <v>391.91614</v>
      </c>
      <c r="BE9" s="2" t="n"/>
      <c r="BF9" s="2" t="n">
        <v>23563.98148148147</v>
      </c>
      <c r="BG9" s="2" t="n">
        <v>0</v>
      </c>
      <c r="BH9" s="2" t="n">
        <v>0</v>
      </c>
      <c r="BI9" s="2" t="n">
        <v>14562.02</v>
      </c>
      <c r="BJ9" s="2" t="n">
        <v>58.77173913043478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343.56285</v>
      </c>
      <c r="BQ9" s="2" t="n">
        <v>25.51304347826087</v>
      </c>
      <c r="BR9" s="2" t="n">
        <v>15014.8676326087</v>
      </c>
      <c r="BS9" s="2" t="n">
        <v>855.0899130434782</v>
      </c>
      <c r="BT9" s="2" t="n">
        <v>0</v>
      </c>
      <c r="BU9" s="2" t="n">
        <v>3105.278939130435</v>
      </c>
      <c r="BV9" s="2" t="n">
        <v>3960.368852173914</v>
      </c>
      <c r="BW9" s="2" t="n">
        <v>18975.23648478261</v>
      </c>
      <c r="BX9" s="2" t="n">
        <v>24230.07</v>
      </c>
      <c r="BY9" s="2" t="n">
        <v>1219.03</v>
      </c>
      <c r="BZ9" s="2" t="n">
        <v>0</v>
      </c>
      <c r="CA9" s="2" t="n">
        <v>25449.09999999999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1865.53</v>
      </c>
      <c r="L10" s="2" t="n">
        <v>155.2880990740741</v>
      </c>
      <c r="M10" s="2" t="n">
        <v>1727.342592592592</v>
      </c>
      <c r="N10" s="2" t="n">
        <v>0</v>
      </c>
      <c r="O10" s="2" t="n">
        <v>1631.73</v>
      </c>
      <c r="P10" s="2" t="n">
        <v>233.8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4595.27</v>
      </c>
      <c r="AP10" s="2" t="n">
        <v>212.7439814814815</v>
      </c>
      <c r="AQ10" s="2" t="n">
        <v>4254.879629629629</v>
      </c>
      <c r="AR10" s="2" t="n">
        <v>0</v>
      </c>
      <c r="AS10" s="2" t="n">
        <v>4401.23</v>
      </c>
      <c r="AT10" s="2" t="n">
        <v>194.04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6460.799999999999</v>
      </c>
      <c r="BB10" s="2" t="n">
        <v>6460.799999999999</v>
      </c>
      <c r="BC10" s="2">
        <f>F10+L10+R10+X10+AD10+AJ10+AP10+AV10+IF(BE10="",0,BE10)</f>
        <v/>
      </c>
      <c r="BD10" s="2" t="n">
        <v>99.49632</v>
      </c>
      <c r="BE10" s="2" t="n"/>
      <c r="BF10" s="2" t="n">
        <v>5982.222222222221</v>
      </c>
      <c r="BG10" s="2" t="n">
        <v>0</v>
      </c>
      <c r="BH10" s="2" t="n">
        <v>0</v>
      </c>
      <c r="BI10" s="2" t="n">
        <v>14562.02</v>
      </c>
      <c r="BJ10" s="2" t="n">
        <v>58.77173913043478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87.2208</v>
      </c>
      <c r="BQ10" s="2" t="n">
        <v>25.51304347826087</v>
      </c>
      <c r="BR10" s="2" t="n">
        <v>14758.52558260869</v>
      </c>
      <c r="BS10" s="2" t="n">
        <v>855.0899130434782</v>
      </c>
      <c r="BT10" s="2" t="n">
        <v>0</v>
      </c>
      <c r="BU10" s="2" t="n">
        <v>3105.278939130435</v>
      </c>
      <c r="BV10" s="2" t="n">
        <v>3960.368852173914</v>
      </c>
      <c r="BW10" s="2" t="n">
        <v>18718.89443478261</v>
      </c>
      <c r="BX10" s="2" t="n">
        <v>6032.959999999999</v>
      </c>
      <c r="BY10" s="2" t="n">
        <v>427.84</v>
      </c>
      <c r="BZ10" s="2" t="n">
        <v>0</v>
      </c>
      <c r="CA10" s="2" t="n">
        <v>6460.799999999999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2275.31</v>
      </c>
      <c r="L11" s="2" t="n">
        <v>189.3984898148148</v>
      </c>
      <c r="M11" s="2" t="n">
        <v>2106.768518518518</v>
      </c>
      <c r="N11" s="2" t="n">
        <v>0</v>
      </c>
      <c r="O11" s="2" t="n">
        <v>2022.01</v>
      </c>
      <c r="P11" s="2" t="n">
        <v>253.3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4597.7</v>
      </c>
      <c r="AP11" s="2" t="n">
        <v>212.8564814814815</v>
      </c>
      <c r="AQ11" s="2" t="n">
        <v>4257.12962962963</v>
      </c>
      <c r="AR11" s="2" t="n">
        <v>0</v>
      </c>
      <c r="AS11" s="2" t="n">
        <v>4062.31</v>
      </c>
      <c r="AT11" s="2" t="n">
        <v>535.39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6873.01</v>
      </c>
      <c r="BB11" s="2" t="n">
        <v>6873.01</v>
      </c>
      <c r="BC11" s="2">
        <f>F11+L11+R11+X11+AD11+AJ11+AP11+AV11+IF(BE11="",0,BE11)</f>
        <v/>
      </c>
      <c r="BD11" s="2" t="n">
        <v>105.844354</v>
      </c>
      <c r="BE11" s="2" t="n"/>
      <c r="BF11" s="2" t="n">
        <v>6363.898148148148</v>
      </c>
      <c r="BG11" s="2" t="n">
        <v>0</v>
      </c>
      <c r="BH11" s="2" t="n">
        <v>0</v>
      </c>
      <c r="BI11" s="2" t="n">
        <v>14562.02</v>
      </c>
      <c r="BJ11" s="2" t="n">
        <v>58.77173913043478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92.78563499999998</v>
      </c>
      <c r="BQ11" s="2" t="n">
        <v>25.51304347826087</v>
      </c>
      <c r="BR11" s="2" t="n">
        <v>14764.0904176087</v>
      </c>
      <c r="BS11" s="2" t="n">
        <v>855.0899130434782</v>
      </c>
      <c r="BT11" s="2" t="n">
        <v>0</v>
      </c>
      <c r="BU11" s="2" t="n">
        <v>3105.278939130435</v>
      </c>
      <c r="BV11" s="2" t="n">
        <v>3960.368852173914</v>
      </c>
      <c r="BW11" s="2" t="n">
        <v>18724.45926978261</v>
      </c>
      <c r="BX11" s="2" t="n">
        <v>6084.32</v>
      </c>
      <c r="BY11" s="2" t="n">
        <v>788.6900000000001</v>
      </c>
      <c r="BZ11" s="2" t="n">
        <v>0</v>
      </c>
      <c r="CA11" s="2" t="n">
        <v>6873.01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72</v>
      </c>
      <c r="L12" s="2" t="n">
        <v>5.993333333333333</v>
      </c>
      <c r="M12" s="2" t="n">
        <v>66.66666666666666</v>
      </c>
      <c r="N12" s="2" t="n">
        <v>0</v>
      </c>
      <c r="O12" s="2" t="n">
        <v>72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3307.22</v>
      </c>
      <c r="AP12" s="2" t="n">
        <v>2950</v>
      </c>
      <c r="AQ12" s="2" t="n">
        <v>3062.240740740741</v>
      </c>
      <c r="AR12" s="2" t="n">
        <v>0</v>
      </c>
      <c r="AS12" s="2" t="n">
        <v>3170.92</v>
      </c>
      <c r="AT12" s="2" t="n">
        <v>136.3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3379.22</v>
      </c>
      <c r="BB12" s="2" t="n">
        <v>3379.22</v>
      </c>
      <c r="BC12" s="2">
        <f>F12+L12+R12+X12+AD12+AJ12+AP12+AV12+IF(BE12="",0,BE12)</f>
        <v/>
      </c>
      <c r="BD12" s="2" t="n">
        <v>52.03998800000001</v>
      </c>
      <c r="BE12" s="2" t="n"/>
      <c r="BF12" s="2" t="n">
        <v>3128.907407407407</v>
      </c>
      <c r="BG12" s="2" t="n">
        <v>0</v>
      </c>
      <c r="BH12" s="2" t="n">
        <v>0</v>
      </c>
      <c r="BI12" s="2" t="n">
        <v>14562.02</v>
      </c>
      <c r="BJ12" s="2" t="n">
        <v>58.77173913043478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45.61947000000001</v>
      </c>
      <c r="BQ12" s="2" t="n">
        <v>25.51304347826087</v>
      </c>
      <c r="BR12" s="2" t="n">
        <v>14716.92425260869</v>
      </c>
      <c r="BS12" s="2" t="n">
        <v>855.0899130434782</v>
      </c>
      <c r="BT12" s="2" t="n">
        <v>0</v>
      </c>
      <c r="BU12" s="2" t="n">
        <v>3105.278939130435</v>
      </c>
      <c r="BV12" s="2" t="n">
        <v>3960.368852173914</v>
      </c>
      <c r="BW12" s="2" t="n">
        <v>18677.29310478261</v>
      </c>
      <c r="BX12" s="2" t="n">
        <v>3242.92</v>
      </c>
      <c r="BY12" s="2" t="n">
        <v>136.3</v>
      </c>
      <c r="BZ12" s="2" t="n">
        <v>0</v>
      </c>
      <c r="CA12" s="2" t="n">
        <v>3379.22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1872.36</v>
      </c>
      <c r="F13" s="2" t="n">
        <v>121.3566666666667</v>
      </c>
      <c r="G13" s="2" t="n">
        <v>1733.666666666667</v>
      </c>
      <c r="H13" s="2" t="n">
        <v>0</v>
      </c>
      <c r="I13" s="2" t="n">
        <v>1742.42</v>
      </c>
      <c r="J13" s="2" t="n">
        <v>129.94</v>
      </c>
      <c r="K13" s="2" t="n">
        <v>775.9300000000001</v>
      </c>
      <c r="L13" s="2" t="n">
        <v>64.58898796296297</v>
      </c>
      <c r="M13" s="2" t="n">
        <v>718.4537037037037</v>
      </c>
      <c r="N13" s="2" t="n">
        <v>0</v>
      </c>
      <c r="O13" s="2" t="n">
        <v>728.33</v>
      </c>
      <c r="P13" s="2" t="n">
        <v>47.6</v>
      </c>
      <c r="Q13" s="2" t="n">
        <v>23</v>
      </c>
      <c r="R13" s="2" t="n">
        <v>1.597222222222222</v>
      </c>
      <c r="S13" s="2" t="n">
        <v>21.29629629629629</v>
      </c>
      <c r="T13" s="2" t="n">
        <v>0</v>
      </c>
      <c r="U13" s="2" t="n">
        <v>23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5523.04</v>
      </c>
      <c r="AP13" s="2" t="n">
        <v>3740</v>
      </c>
      <c r="AQ13" s="2" t="n">
        <v>5113.925925925925</v>
      </c>
      <c r="AR13" s="2" t="n">
        <v>0</v>
      </c>
      <c r="AS13" s="2" t="n">
        <v>5073.48</v>
      </c>
      <c r="AT13" s="2" t="n">
        <v>449.56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8194.33</v>
      </c>
      <c r="BB13" s="2" t="n">
        <v>8194.33</v>
      </c>
      <c r="BC13" s="2">
        <f>F13+L13+R13+X13+AD13+AJ13+AP13+AV13+IF(BE13="",0,BE13)</f>
        <v/>
      </c>
      <c r="BD13" s="2" t="n">
        <v>126.192682</v>
      </c>
      <c r="BE13" s="2" t="n"/>
      <c r="BF13" s="2" t="n">
        <v>7587.342592592591</v>
      </c>
      <c r="BG13" s="2" t="n">
        <v>0</v>
      </c>
      <c r="BH13" s="2" t="n">
        <v>0</v>
      </c>
      <c r="BI13" s="2" t="n">
        <v>14562.02</v>
      </c>
      <c r="BJ13" s="2" t="n">
        <v>58.77173913043478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110.623455</v>
      </c>
      <c r="BQ13" s="2" t="n">
        <v>25.51304347826087</v>
      </c>
      <c r="BR13" s="2" t="n">
        <v>14781.9282376087</v>
      </c>
      <c r="BS13" s="2" t="n">
        <v>855.0899130434782</v>
      </c>
      <c r="BT13" s="2" t="n">
        <v>0</v>
      </c>
      <c r="BU13" s="2" t="n">
        <v>3105.278939130435</v>
      </c>
      <c r="BV13" s="2" t="n">
        <v>3960.368852173914</v>
      </c>
      <c r="BW13" s="2" t="n">
        <v>18742.29708978261</v>
      </c>
      <c r="BX13" s="2" t="n">
        <v>7567.23</v>
      </c>
      <c r="BY13" s="2" t="n">
        <v>627.1</v>
      </c>
      <c r="BZ13" s="2" t="n">
        <v>0</v>
      </c>
      <c r="CA13" s="2" t="n">
        <v>8194.33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6243.17</v>
      </c>
      <c r="L14" s="2" t="n">
        <v>519.6860953703704</v>
      </c>
      <c r="M14" s="2" t="n">
        <v>5780.712962962963</v>
      </c>
      <c r="N14" s="2" t="n">
        <v>0</v>
      </c>
      <c r="O14" s="2" t="n">
        <v>5898.53</v>
      </c>
      <c r="P14" s="2" t="n">
        <v>344.64</v>
      </c>
      <c r="Q14" s="2" t="n">
        <v>139.35</v>
      </c>
      <c r="R14" s="2" t="n">
        <v>9.677083333333334</v>
      </c>
      <c r="S14" s="2" t="n">
        <v>129.0277777777778</v>
      </c>
      <c r="T14" s="2" t="n">
        <v>0</v>
      </c>
      <c r="U14" s="2" t="n">
        <v>128.08</v>
      </c>
      <c r="V14" s="2" t="n">
        <v>11.27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10170.2</v>
      </c>
      <c r="AP14" s="2" t="n">
        <v>3550</v>
      </c>
      <c r="AQ14" s="2" t="n">
        <v>9416.851851851852</v>
      </c>
      <c r="AR14" s="2" t="n">
        <v>0</v>
      </c>
      <c r="AS14" s="2" t="n">
        <v>9657.950000000001</v>
      </c>
      <c r="AT14" s="2" t="n">
        <v>512.25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16552.72</v>
      </c>
      <c r="BB14" s="2" t="n">
        <v>16552.72</v>
      </c>
      <c r="BC14" s="2">
        <f>F14+L14+R14+X14+AD14+AJ14+AP14+AV14+IF(BE14="",0,BE14)</f>
        <v/>
      </c>
      <c r="BD14" s="2" t="n">
        <v>254.911888</v>
      </c>
      <c r="BE14" s="2" t="n"/>
      <c r="BF14" s="2" t="n">
        <v>15326.59259259259</v>
      </c>
      <c r="BG14" s="2" t="n">
        <v>0</v>
      </c>
      <c r="BH14" s="2" t="n">
        <v>0</v>
      </c>
      <c r="BI14" s="2" t="n">
        <v>14562.02</v>
      </c>
      <c r="BJ14" s="2" t="n">
        <v>58.77173913043478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223.46172</v>
      </c>
      <c r="BQ14" s="2" t="n">
        <v>25.51304347826087</v>
      </c>
      <c r="BR14" s="2" t="n">
        <v>14894.76650260869</v>
      </c>
      <c r="BS14" s="2" t="n">
        <v>855.0899130434782</v>
      </c>
      <c r="BT14" s="2" t="n">
        <v>0</v>
      </c>
      <c r="BU14" s="2" t="n">
        <v>3105.278939130435</v>
      </c>
      <c r="BV14" s="2" t="n">
        <v>3960.368852173914</v>
      </c>
      <c r="BW14" s="2" t="n">
        <v>18855.13535478261</v>
      </c>
      <c r="BX14" s="2" t="n">
        <v>15684.56</v>
      </c>
      <c r="BY14" s="2" t="n">
        <v>868.16</v>
      </c>
      <c r="BZ14" s="2" t="n">
        <v>0</v>
      </c>
      <c r="CA14" s="2" t="n">
        <v>16552.72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8.4</v>
      </c>
      <c r="F15" s="2" t="n">
        <v>0.5444444444444445</v>
      </c>
      <c r="G15" s="2" t="n">
        <v>7.777777777777778</v>
      </c>
      <c r="H15" s="2" t="n">
        <v>0</v>
      </c>
      <c r="I15" s="2" t="n">
        <v>8.4</v>
      </c>
      <c r="J15" s="2" t="n">
        <v>0</v>
      </c>
      <c r="K15" s="2" t="n">
        <v>15</v>
      </c>
      <c r="L15" s="2" t="n">
        <v>1.248611111111111</v>
      </c>
      <c r="M15" s="2" t="n">
        <v>13.88888888888889</v>
      </c>
      <c r="N15" s="2" t="n">
        <v>0</v>
      </c>
      <c r="O15" s="2" t="n">
        <v>15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2868.54</v>
      </c>
      <c r="AP15" s="2" t="n">
        <v>2950</v>
      </c>
      <c r="AQ15" s="2" t="n">
        <v>2656.055555555555</v>
      </c>
      <c r="AR15" s="2" t="n">
        <v>0</v>
      </c>
      <c r="AS15" s="2" t="n">
        <v>2540.92</v>
      </c>
      <c r="AT15" s="2" t="n">
        <v>327.62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2891.94</v>
      </c>
      <c r="BB15" s="2" t="n">
        <v>2891.94</v>
      </c>
      <c r="BC15" s="2">
        <f>F15+L15+R15+X15+AD15+AJ15+AP15+AV15+IF(BE15="",0,BE15)</f>
        <v/>
      </c>
      <c r="BD15" s="2" t="n">
        <v>44.535876</v>
      </c>
      <c r="BE15" s="2" t="n"/>
      <c r="BF15" s="2" t="n">
        <v>2677.722222222222</v>
      </c>
      <c r="BG15" s="2" t="n">
        <v>0</v>
      </c>
      <c r="BH15" s="2" t="n">
        <v>0</v>
      </c>
      <c r="BI15" s="2" t="n">
        <v>14562.02</v>
      </c>
      <c r="BJ15" s="2" t="n">
        <v>58.77173913043478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39.04119</v>
      </c>
      <c r="BQ15" s="2" t="n">
        <v>25.51304347826087</v>
      </c>
      <c r="BR15" s="2" t="n">
        <v>14710.34597260869</v>
      </c>
      <c r="BS15" s="2" t="n">
        <v>855.0899130434782</v>
      </c>
      <c r="BT15" s="2" t="n">
        <v>0</v>
      </c>
      <c r="BU15" s="2" t="n">
        <v>3105.278939130435</v>
      </c>
      <c r="BV15" s="2" t="n">
        <v>3960.368852173914</v>
      </c>
      <c r="BW15" s="2" t="n">
        <v>18670.71482478261</v>
      </c>
      <c r="BX15" s="2" t="n">
        <v>2564.32</v>
      </c>
      <c r="BY15" s="2" t="n">
        <v>327.62</v>
      </c>
      <c r="BZ15" s="2" t="n">
        <v>0</v>
      </c>
      <c r="CA15" s="2" t="n">
        <v>2891.94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11372.71</v>
      </c>
      <c r="L16" s="2" t="n">
        <v>946.6728046296295</v>
      </c>
      <c r="M16" s="2" t="n">
        <v>10530.28703703703</v>
      </c>
      <c r="N16" s="2" t="n">
        <v>0</v>
      </c>
      <c r="O16" s="2" t="n">
        <v>10782.97</v>
      </c>
      <c r="P16" s="2" t="n">
        <v>589.74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51320.29</v>
      </c>
      <c r="X16" s="2" t="n">
        <v>750</v>
      </c>
      <c r="Y16" s="2" t="n">
        <v>47518.78703703704</v>
      </c>
      <c r="Z16" s="2" t="n">
        <v>0</v>
      </c>
      <c r="AA16" s="2" t="n">
        <v>50410.39</v>
      </c>
      <c r="AB16" s="2" t="n">
        <v>909.9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6637.25</v>
      </c>
      <c r="AP16" s="2" t="n">
        <v>3600</v>
      </c>
      <c r="AQ16" s="2" t="n">
        <v>6145.601851851851</v>
      </c>
      <c r="AR16" s="2" t="n">
        <v>0</v>
      </c>
      <c r="AS16" s="2" t="n">
        <v>6087.96</v>
      </c>
      <c r="AT16" s="2" t="n">
        <v>549.29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69330.25</v>
      </c>
      <c r="BB16" s="2" t="n">
        <v>69330.25</v>
      </c>
      <c r="BC16" s="2">
        <f>F16+L16+R16+X16+AD16+AJ16+AP16+AV16+IF(BE16="",0,BE16)</f>
        <v/>
      </c>
      <c r="BD16" s="2" t="n">
        <v>970.1772990000001</v>
      </c>
      <c r="BE16" s="2" t="n"/>
      <c r="BF16" s="2" t="n">
        <v>64194.67592592593</v>
      </c>
      <c r="BG16" s="2" t="n">
        <v>1056.72</v>
      </c>
      <c r="BH16" s="2" t="n">
        <v>276</v>
      </c>
      <c r="BI16" s="2" t="n">
        <v>14562.02</v>
      </c>
      <c r="BJ16" s="2" t="n">
        <v>58.77173913043478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935.958375</v>
      </c>
      <c r="BQ16" s="2" t="n">
        <v>25.51304347826087</v>
      </c>
      <c r="BR16" s="2" t="n">
        <v>16939.98315760869</v>
      </c>
      <c r="BS16" s="2" t="n">
        <v>855.0899130434782</v>
      </c>
      <c r="BT16" s="2" t="n">
        <v>0</v>
      </c>
      <c r="BU16" s="2" t="n">
        <v>3371.822939130435</v>
      </c>
      <c r="BV16" s="2" t="n">
        <v>4226.912852173913</v>
      </c>
      <c r="BW16" s="2" t="n">
        <v>21166.89600978261</v>
      </c>
      <c r="BX16" s="2" t="n">
        <v>67281.32000000001</v>
      </c>
      <c r="BY16" s="2" t="n">
        <v>2048.93</v>
      </c>
      <c r="BZ16" s="2" t="n">
        <v>0</v>
      </c>
      <c r="CA16" s="2" t="n">
        <v>69330.25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1638.38</v>
      </c>
      <c r="AP17" s="2" t="n">
        <v>2950</v>
      </c>
      <c r="AQ17" s="2" t="n">
        <v>1517.018518518518</v>
      </c>
      <c r="AR17" s="2" t="n">
        <v>0</v>
      </c>
      <c r="AS17" s="2" t="n">
        <v>1559.06</v>
      </c>
      <c r="AT17" s="2" t="n">
        <v>79.31999999999999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1638.38</v>
      </c>
      <c r="BB17" s="2" t="n">
        <v>1638.38</v>
      </c>
      <c r="BC17" s="2">
        <f>F17+L17+R17+X17+AD17+AJ17+AP17+AV17+IF(BE17="",0,BE17)</f>
        <v/>
      </c>
      <c r="BD17" s="2" t="n">
        <v>25.231052</v>
      </c>
      <c r="BE17" s="2" t="n"/>
      <c r="BF17" s="2" t="n">
        <v>1517.018518518518</v>
      </c>
      <c r="BG17" s="2" t="n">
        <v>0</v>
      </c>
      <c r="BH17" s="2" t="n">
        <v>0</v>
      </c>
      <c r="BI17" s="2" t="n">
        <v>14562.02</v>
      </c>
      <c r="BJ17" s="2" t="n">
        <v>58.77173913043478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22.11813</v>
      </c>
      <c r="BQ17" s="2" t="n">
        <v>25.51304347826087</v>
      </c>
      <c r="BR17" s="2" t="n">
        <v>14693.4229126087</v>
      </c>
      <c r="BS17" s="2" t="n">
        <v>855.0899130434782</v>
      </c>
      <c r="BT17" s="2" t="n">
        <v>0</v>
      </c>
      <c r="BU17" s="2" t="n">
        <v>3105.278939130435</v>
      </c>
      <c r="BV17" s="2" t="n">
        <v>3960.368852173914</v>
      </c>
      <c r="BW17" s="2" t="n">
        <v>18653.79176478261</v>
      </c>
      <c r="BX17" s="2" t="n">
        <v>1559.06</v>
      </c>
      <c r="BY17" s="2" t="n">
        <v>79.31999999999999</v>
      </c>
      <c r="BZ17" s="2" t="n">
        <v>0</v>
      </c>
      <c r="CA17" s="2" t="n">
        <v>1638.38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6005.59</v>
      </c>
      <c r="L18" s="2" t="n">
        <v>499.9097601851852</v>
      </c>
      <c r="M18" s="2" t="n">
        <v>5560.731481481481</v>
      </c>
      <c r="N18" s="2" t="n">
        <v>0</v>
      </c>
      <c r="O18" s="2" t="n">
        <v>5793.59</v>
      </c>
      <c r="P18" s="2" t="n">
        <v>212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1797.3</v>
      </c>
      <c r="AP18" s="2" t="n">
        <v>3600</v>
      </c>
      <c r="AQ18" s="2" t="n">
        <v>1664.166666666667</v>
      </c>
      <c r="AR18" s="2" t="n">
        <v>0</v>
      </c>
      <c r="AS18" s="2" t="n">
        <v>1516.25</v>
      </c>
      <c r="AT18" s="2" t="n">
        <v>281.05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7802.89</v>
      </c>
      <c r="BB18" s="2" t="n">
        <v>7802.89</v>
      </c>
      <c r="BC18" s="2">
        <f>F18+L18+R18+X18+AD18+AJ18+AP18+AV18+IF(BE18="",0,BE18)</f>
        <v/>
      </c>
      <c r="BD18" s="2" t="n">
        <v>120.164506</v>
      </c>
      <c r="BE18" s="2" t="n"/>
      <c r="BF18" s="2" t="n">
        <v>7224.898148148148</v>
      </c>
      <c r="BG18" s="2" t="n">
        <v>0</v>
      </c>
      <c r="BH18" s="2" t="n">
        <v>0</v>
      </c>
      <c r="BI18" s="2" t="n">
        <v>14562.02</v>
      </c>
      <c r="BJ18" s="2" t="n">
        <v>58.77173913043478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105.339015</v>
      </c>
      <c r="BQ18" s="2" t="n">
        <v>25.51304347826087</v>
      </c>
      <c r="BR18" s="2" t="n">
        <v>14776.64379760869</v>
      </c>
      <c r="BS18" s="2" t="n">
        <v>855.0899130434782</v>
      </c>
      <c r="BT18" s="2" t="n">
        <v>0</v>
      </c>
      <c r="BU18" s="2" t="n">
        <v>3105.278939130435</v>
      </c>
      <c r="BV18" s="2" t="n">
        <v>3960.368852173914</v>
      </c>
      <c r="BW18" s="2" t="n">
        <v>18737.01264978261</v>
      </c>
      <c r="BX18" s="2" t="n">
        <v>7309.84</v>
      </c>
      <c r="BY18" s="2" t="n">
        <v>493.05</v>
      </c>
      <c r="BZ18" s="2" t="n">
        <v>0</v>
      </c>
      <c r="CA18" s="2" t="n">
        <v>7802.89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7985.549999999999</v>
      </c>
      <c r="L19" s="2" t="n">
        <v>664.7230972222221</v>
      </c>
      <c r="M19" s="2" t="n">
        <v>7394.027777777776</v>
      </c>
      <c r="N19" s="2" t="n">
        <v>0</v>
      </c>
      <c r="O19" s="2" t="n">
        <v>7754.73</v>
      </c>
      <c r="P19" s="2" t="n">
        <v>230.82</v>
      </c>
      <c r="Q19" s="2" t="n">
        <v>21277.77</v>
      </c>
      <c r="R19" s="2" t="n">
        <v>1477.622916666666</v>
      </c>
      <c r="S19" s="2" t="n">
        <v>19701.63888888889</v>
      </c>
      <c r="T19" s="2" t="n">
        <v>0</v>
      </c>
      <c r="U19" s="2" t="n">
        <v>20347.86</v>
      </c>
      <c r="V19" s="2" t="n">
        <v>929.91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8163</v>
      </c>
      <c r="AP19" s="2" t="n">
        <v>3600</v>
      </c>
      <c r="AQ19" s="2" t="n">
        <v>7558.333333333333</v>
      </c>
      <c r="AR19" s="2" t="n">
        <v>0</v>
      </c>
      <c r="AS19" s="2" t="n">
        <v>7889.66</v>
      </c>
      <c r="AT19" s="2" t="n">
        <v>273.34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37426.32</v>
      </c>
      <c r="BB19" s="2" t="n">
        <v>37426.32</v>
      </c>
      <c r="BC19" s="2">
        <f>F19+L19+R19+X19+AD19+AJ19+AP19+AV19+IF(BE19="",0,BE19)</f>
        <v/>
      </c>
      <c r="BD19" s="2" t="n">
        <v>576.365328</v>
      </c>
      <c r="BE19" s="2" t="n"/>
      <c r="BF19" s="2" t="n">
        <v>34654</v>
      </c>
      <c r="BG19" s="2" t="n">
        <v>0</v>
      </c>
      <c r="BH19" s="2" t="n">
        <v>0</v>
      </c>
      <c r="BI19" s="2" t="n">
        <v>14562.02</v>
      </c>
      <c r="BJ19" s="2" t="n">
        <v>58.77173913043478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505.25532</v>
      </c>
      <c r="BQ19" s="2" t="n">
        <v>25.51304347826087</v>
      </c>
      <c r="BR19" s="2" t="n">
        <v>15176.5601026087</v>
      </c>
      <c r="BS19" s="2" t="n">
        <v>855.0899130434782</v>
      </c>
      <c r="BT19" s="2" t="n">
        <v>0</v>
      </c>
      <c r="BU19" s="2" t="n">
        <v>3105.278939130435</v>
      </c>
      <c r="BV19" s="2" t="n">
        <v>3960.368852173914</v>
      </c>
      <c r="BW19" s="2" t="n">
        <v>19136.92895478261</v>
      </c>
      <c r="BX19" s="2" t="n">
        <v>35992.25</v>
      </c>
      <c r="BY19" s="2" t="n">
        <v>1434.07</v>
      </c>
      <c r="BZ19" s="2" t="n">
        <v>0</v>
      </c>
      <c r="CA19" s="2" t="n">
        <v>37426.32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865.5699999999999</v>
      </c>
      <c r="L20" s="2" t="n">
        <v>72.05068796296295</v>
      </c>
      <c r="M20" s="2" t="n">
        <v>801.4537037037036</v>
      </c>
      <c r="N20" s="2" t="n">
        <v>0</v>
      </c>
      <c r="O20" s="2" t="n">
        <v>762.77</v>
      </c>
      <c r="P20" s="2" t="n">
        <v>102.8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3145.26</v>
      </c>
      <c r="AP20" s="2" t="n">
        <v>3600</v>
      </c>
      <c r="AQ20" s="2" t="n">
        <v>2912.277777777777</v>
      </c>
      <c r="AR20" s="2" t="n">
        <v>0</v>
      </c>
      <c r="AS20" s="2" t="n">
        <v>2798.66</v>
      </c>
      <c r="AT20" s="2" t="n">
        <v>346.6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4010.83</v>
      </c>
      <c r="BB20" s="2" t="n">
        <v>4010.83</v>
      </c>
      <c r="BC20" s="2">
        <f>F20+L20+R20+X20+AD20+AJ20+AP20+AV20+IF(BE20="",0,BE20)</f>
        <v/>
      </c>
      <c r="BD20" s="2" t="n">
        <v>61.76678199999999</v>
      </c>
      <c r="BE20" s="2" t="n"/>
      <c r="BF20" s="2" t="n">
        <v>3713.731481481481</v>
      </c>
      <c r="BG20" s="2" t="n">
        <v>0</v>
      </c>
      <c r="BH20" s="2" t="n">
        <v>0</v>
      </c>
      <c r="BI20" s="2" t="n">
        <v>14562.02</v>
      </c>
      <c r="BJ20" s="2" t="n">
        <v>58.77173913043478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54.14620499999999</v>
      </c>
      <c r="BQ20" s="2" t="n">
        <v>25.51304347826087</v>
      </c>
      <c r="BR20" s="2" t="n">
        <v>14725.45098760869</v>
      </c>
      <c r="BS20" s="2" t="n">
        <v>855.0899130434782</v>
      </c>
      <c r="BT20" s="2" t="n">
        <v>0</v>
      </c>
      <c r="BU20" s="2" t="n">
        <v>3105.278939130435</v>
      </c>
      <c r="BV20" s="2" t="n">
        <v>3960.368852173914</v>
      </c>
      <c r="BW20" s="2" t="n">
        <v>18685.81983978261</v>
      </c>
      <c r="BX20" s="2" t="n">
        <v>3561.43</v>
      </c>
      <c r="BY20" s="2" t="n">
        <v>449.4</v>
      </c>
      <c r="BZ20" s="2" t="n">
        <v>0</v>
      </c>
      <c r="CA20" s="2" t="n">
        <v>4010.83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1388.08</v>
      </c>
      <c r="L21" s="2" t="n">
        <v>115.5448074074074</v>
      </c>
      <c r="M21" s="2" t="n">
        <v>1285.259259259259</v>
      </c>
      <c r="N21" s="2" t="n">
        <v>0</v>
      </c>
      <c r="O21" s="2" t="n">
        <v>1339.53</v>
      </c>
      <c r="P21" s="2" t="n">
        <v>48.55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6820.759999999999</v>
      </c>
      <c r="AP21" s="2" t="n">
        <v>3600</v>
      </c>
      <c r="AQ21" s="2" t="n">
        <v>6315.518518518517</v>
      </c>
      <c r="AR21" s="2" t="n">
        <v>0</v>
      </c>
      <c r="AS21" s="2" t="n">
        <v>6163.4</v>
      </c>
      <c r="AT21" s="2" t="n">
        <v>657.36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8208.84</v>
      </c>
      <c r="BB21" s="2" t="n">
        <v>8208.84</v>
      </c>
      <c r="BC21" s="2">
        <f>F21+L21+R21+X21+AD21+AJ21+AP21+AV21+IF(BE21="",0,BE21)</f>
        <v/>
      </c>
      <c r="BD21" s="2" t="n">
        <v>126.416136</v>
      </c>
      <c r="BE21" s="2" t="n"/>
      <c r="BF21" s="2" t="n">
        <v>7600.777777777776</v>
      </c>
      <c r="BG21" s="2" t="n">
        <v>0</v>
      </c>
      <c r="BH21" s="2" t="n">
        <v>0</v>
      </c>
      <c r="BI21" s="2" t="n">
        <v>14562.02</v>
      </c>
      <c r="BJ21" s="2" t="n">
        <v>58.77173913043478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110.81934</v>
      </c>
      <c r="BQ21" s="2" t="n">
        <v>25.51304347826087</v>
      </c>
      <c r="BR21" s="2" t="n">
        <v>14782.12412260869</v>
      </c>
      <c r="BS21" s="2" t="n">
        <v>855.0899130434782</v>
      </c>
      <c r="BT21" s="2" t="n">
        <v>0</v>
      </c>
      <c r="BU21" s="2" t="n">
        <v>3105.278939130435</v>
      </c>
      <c r="BV21" s="2" t="n">
        <v>3960.368852173914</v>
      </c>
      <c r="BW21" s="2" t="n">
        <v>18742.49297478261</v>
      </c>
      <c r="BX21" s="2" t="n">
        <v>7502.929999999999</v>
      </c>
      <c r="BY21" s="2" t="n">
        <v>705.91</v>
      </c>
      <c r="BZ21" s="2" t="n">
        <v>0</v>
      </c>
      <c r="CA21" s="2" t="n">
        <v>8208.84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140.81</v>
      </c>
      <c r="L22" s="2" t="n">
        <v>11.7211287037037</v>
      </c>
      <c r="M22" s="2" t="n">
        <v>130.3796296296296</v>
      </c>
      <c r="N22" s="2" t="n">
        <v>0</v>
      </c>
      <c r="O22" s="2" t="n">
        <v>140.81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677.15</v>
      </c>
      <c r="AP22" s="2" t="n">
        <v>3500</v>
      </c>
      <c r="AQ22" s="2" t="n">
        <v>626.9907407407406</v>
      </c>
      <c r="AR22" s="2" t="n">
        <v>0</v>
      </c>
      <c r="AS22" s="2" t="n">
        <v>656.38</v>
      </c>
      <c r="AT22" s="2" t="n">
        <v>20.77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817.96</v>
      </c>
      <c r="BB22" s="2" t="n">
        <v>817.96</v>
      </c>
      <c r="BC22" s="2">
        <f>F22+L22+R22+X22+AD22+AJ22+AP22+AV22+IF(BE22="",0,BE22)</f>
        <v/>
      </c>
      <c r="BD22" s="2" t="n">
        <v>12.596584</v>
      </c>
      <c r="BE22" s="2" t="n"/>
      <c r="BF22" s="2" t="n">
        <v>757.3703703703702</v>
      </c>
      <c r="BG22" s="2" t="n">
        <v>0</v>
      </c>
      <c r="BH22" s="2" t="n">
        <v>0</v>
      </c>
      <c r="BI22" s="2" t="n">
        <v>14562.02</v>
      </c>
      <c r="BJ22" s="2" t="n">
        <v>58.77173913043478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11.04246</v>
      </c>
      <c r="BQ22" s="2" t="n">
        <v>25.51304347826087</v>
      </c>
      <c r="BR22" s="2" t="n">
        <v>14682.3472426087</v>
      </c>
      <c r="BS22" s="2" t="n">
        <v>855.0899130434782</v>
      </c>
      <c r="BT22" s="2" t="n">
        <v>0</v>
      </c>
      <c r="BU22" s="2" t="n">
        <v>3105.278939130435</v>
      </c>
      <c r="BV22" s="2" t="n">
        <v>3960.368852173914</v>
      </c>
      <c r="BW22" s="2" t="n">
        <v>18642.71609478261</v>
      </c>
      <c r="BX22" s="2" t="n">
        <v>797.1900000000001</v>
      </c>
      <c r="BY22" s="2" t="n">
        <v>20.77</v>
      </c>
      <c r="BZ22" s="2" t="n">
        <v>0</v>
      </c>
      <c r="CA22" s="2" t="n">
        <v>817.96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8679.860000000001</v>
      </c>
      <c r="L23" s="2" t="n">
        <v>722.5179759259261</v>
      </c>
      <c r="M23" s="2" t="n">
        <v>8036.907407407408</v>
      </c>
      <c r="N23" s="2" t="n">
        <v>0</v>
      </c>
      <c r="O23" s="2" t="n">
        <v>7924.36</v>
      </c>
      <c r="P23" s="2" t="n">
        <v>755.5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12602.18</v>
      </c>
      <c r="AP23" s="2" t="n">
        <v>3500</v>
      </c>
      <c r="AQ23" s="2" t="n">
        <v>11668.68518518518</v>
      </c>
      <c r="AR23" s="2" t="n">
        <v>0</v>
      </c>
      <c r="AS23" s="2" t="n">
        <v>12086.55</v>
      </c>
      <c r="AT23" s="2" t="n">
        <v>515.63</v>
      </c>
      <c r="AU23" s="2" t="n">
        <v>6376.35</v>
      </c>
      <c r="AV23" s="2" t="n">
        <v>507.7463888888888</v>
      </c>
      <c r="AW23" s="2" t="n">
        <v>5904.027777777777</v>
      </c>
      <c r="AX23" s="2" t="n">
        <v>0</v>
      </c>
      <c r="AY23" s="2" t="n">
        <v>6175.25</v>
      </c>
      <c r="AZ23" s="2" t="n">
        <v>201.1</v>
      </c>
      <c r="BA23" s="2" t="n">
        <v>27658.39</v>
      </c>
      <c r="BB23" s="2" t="n">
        <v>27658.39</v>
      </c>
      <c r="BC23" s="2">
        <f>F23+L23+R23+X23+AD23+AJ23+AP23+AV23+IF(BE23="",0,BE23)</f>
        <v/>
      </c>
      <c r="BD23" s="2" t="n">
        <v>425.939206</v>
      </c>
      <c r="BE23" s="2" t="n"/>
      <c r="BF23" s="2" t="n">
        <v>25609.62037037037</v>
      </c>
      <c r="BG23" s="2" t="n">
        <v>0</v>
      </c>
      <c r="BH23" s="2" t="n">
        <v>0</v>
      </c>
      <c r="BI23" s="2" t="n">
        <v>14562.02</v>
      </c>
      <c r="BJ23" s="2" t="n">
        <v>58.77173913043478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373.388265</v>
      </c>
      <c r="BQ23" s="2" t="n">
        <v>25.51304347826087</v>
      </c>
      <c r="BR23" s="2" t="n">
        <v>15044.69304760869</v>
      </c>
      <c r="BS23" s="2" t="n">
        <v>855.0899130434782</v>
      </c>
      <c r="BT23" s="2" t="n">
        <v>0</v>
      </c>
      <c r="BU23" s="2" t="n">
        <v>3105.278939130435</v>
      </c>
      <c r="BV23" s="2" t="n">
        <v>3960.368852173914</v>
      </c>
      <c r="BW23" s="2" t="n">
        <v>19005.06189978261</v>
      </c>
      <c r="BX23" s="2" t="n">
        <v>26186.16</v>
      </c>
      <c r="BY23" s="2" t="n">
        <v>1472.23</v>
      </c>
      <c r="BZ23" s="2" t="n">
        <v>0</v>
      </c>
      <c r="CA23" s="2" t="n">
        <v>27658.39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5004.09</v>
      </c>
      <c r="L24" s="2" t="n">
        <v>416.5441583333333</v>
      </c>
      <c r="M24" s="2" t="n">
        <v>4633.416666666666</v>
      </c>
      <c r="N24" s="2" t="n">
        <v>0</v>
      </c>
      <c r="O24" s="2" t="n">
        <v>4479.49</v>
      </c>
      <c r="P24" s="2" t="n">
        <v>524.6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6291.42</v>
      </c>
      <c r="AJ24" s="2" t="n">
        <v>436.9041666666666</v>
      </c>
      <c r="AK24" s="2" t="n">
        <v>5825.388888888889</v>
      </c>
      <c r="AL24" s="2" t="n">
        <v>0</v>
      </c>
      <c r="AM24" s="2" t="n">
        <v>5816.86</v>
      </c>
      <c r="AN24" s="2" t="n">
        <v>474.56</v>
      </c>
      <c r="AO24" s="2" t="n">
        <v>2475.82</v>
      </c>
      <c r="AP24" s="2" t="n">
        <v>3650</v>
      </c>
      <c r="AQ24" s="2" t="n">
        <v>2292.425925925926</v>
      </c>
      <c r="AR24" s="2" t="n">
        <v>0</v>
      </c>
      <c r="AS24" s="2" t="n">
        <v>2210.87</v>
      </c>
      <c r="AT24" s="2" t="n">
        <v>264.95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13771.33</v>
      </c>
      <c r="BB24" s="2" t="n">
        <v>13771.33</v>
      </c>
      <c r="BC24" s="2">
        <f>F24+L24+R24+X24+AD24+AJ24+AP24+AV24+IF(BE24="",0,BE24)</f>
        <v/>
      </c>
      <c r="BD24" s="2" t="n">
        <v>212.078482</v>
      </c>
      <c r="BE24" s="2" t="n"/>
      <c r="BF24" s="2" t="n">
        <v>12751.23148148148</v>
      </c>
      <c r="BG24" s="2" t="n">
        <v>0</v>
      </c>
      <c r="BH24" s="2" t="n">
        <v>0</v>
      </c>
      <c r="BI24" s="2" t="n">
        <v>14562.02</v>
      </c>
      <c r="BJ24" s="2" t="n">
        <v>58.77173913043478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185.912955</v>
      </c>
      <c r="BQ24" s="2" t="n">
        <v>25.51304347826087</v>
      </c>
      <c r="BR24" s="2" t="n">
        <v>14857.21773760869</v>
      </c>
      <c r="BS24" s="2" t="n">
        <v>855.0899130434782</v>
      </c>
      <c r="BT24" s="2" t="n">
        <v>0</v>
      </c>
      <c r="BU24" s="2" t="n">
        <v>3105.278939130435</v>
      </c>
      <c r="BV24" s="2" t="n">
        <v>3960.368852173914</v>
      </c>
      <c r="BW24" s="2" t="n">
        <v>18817.58658978261</v>
      </c>
      <c r="BX24" s="2" t="n">
        <v>12507.22</v>
      </c>
      <c r="BY24" s="2" t="n">
        <v>1264.11</v>
      </c>
      <c r="BZ24" s="2" t="n">
        <v>0</v>
      </c>
      <c r="CA24" s="2" t="n">
        <v>13771.33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28747.87</v>
      </c>
      <c r="L25" s="2" t="n">
        <v>2392.993993518518</v>
      </c>
      <c r="M25" s="2" t="n">
        <v>26618.39814814815</v>
      </c>
      <c r="N25" s="2" t="n">
        <v>0</v>
      </c>
      <c r="O25" s="2" t="n">
        <v>27296.5</v>
      </c>
      <c r="P25" s="2" t="n">
        <v>1451.37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447.04</v>
      </c>
      <c r="AJ25" s="2" t="n">
        <v>31.04444444444444</v>
      </c>
      <c r="AK25" s="2" t="n">
        <v>413.9259259259259</v>
      </c>
      <c r="AL25" s="2" t="n">
        <v>0</v>
      </c>
      <c r="AM25" s="2" t="n">
        <v>431.34</v>
      </c>
      <c r="AN25" s="2" t="n">
        <v>15.7</v>
      </c>
      <c r="AO25" s="2" t="n">
        <v>1282.46</v>
      </c>
      <c r="AP25" s="2" t="n">
        <v>93.80957407407406</v>
      </c>
      <c r="AQ25" s="2" t="n">
        <v>1187.462962962963</v>
      </c>
      <c r="AR25" s="2" t="n">
        <v>0</v>
      </c>
      <c r="AS25" s="2" t="n">
        <v>1196.55</v>
      </c>
      <c r="AT25" s="2" t="n">
        <v>85.91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30477.37</v>
      </c>
      <c r="BB25" s="2" t="n">
        <v>30477.37</v>
      </c>
      <c r="BC25" s="2">
        <f>F25+L25+R25+X25+AD25+AJ25+AP25+AV25+IF(BE25="",0,BE25)</f>
        <v/>
      </c>
      <c r="BD25" s="2" t="n">
        <v>469.351498</v>
      </c>
      <c r="BE25" s="2" t="n"/>
      <c r="BF25" s="2" t="n">
        <v>28219.78703703704</v>
      </c>
      <c r="BG25" s="2" t="n">
        <v>0</v>
      </c>
      <c r="BH25" s="2" t="n">
        <v>0</v>
      </c>
      <c r="BI25" s="2" t="n">
        <v>14562.02</v>
      </c>
      <c r="BJ25" s="2" t="n">
        <v>58.77173913043478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411.444495</v>
      </c>
      <c r="BQ25" s="2" t="n">
        <v>25.51304347826087</v>
      </c>
      <c r="BR25" s="2" t="n">
        <v>15082.74927760869</v>
      </c>
      <c r="BS25" s="2" t="n">
        <v>855.0899130434782</v>
      </c>
      <c r="BT25" s="2" t="n">
        <v>0</v>
      </c>
      <c r="BU25" s="2" t="n">
        <v>3105.278939130435</v>
      </c>
      <c r="BV25" s="2" t="n">
        <v>3960.368852173914</v>
      </c>
      <c r="BW25" s="2" t="n">
        <v>19043.11812978261</v>
      </c>
      <c r="BX25" s="2" t="n">
        <v>28924.39</v>
      </c>
      <c r="BY25" s="2" t="n">
        <v>1552.98</v>
      </c>
      <c r="BZ25" s="2" t="n">
        <v>0</v>
      </c>
      <c r="CA25" s="2" t="n">
        <v>30477.37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18012.3</v>
      </c>
      <c r="L26" s="2" t="n">
        <v>1499.357194444445</v>
      </c>
      <c r="M26" s="2" t="n">
        <v>16678.05555555555</v>
      </c>
      <c r="N26" s="2" t="n">
        <v>0</v>
      </c>
      <c r="O26" s="2" t="n">
        <v>16246.7</v>
      </c>
      <c r="P26" s="2" t="n">
        <v>1765.6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461.33</v>
      </c>
      <c r="AJ26" s="2" t="n">
        <v>32.03680555555555</v>
      </c>
      <c r="AK26" s="2" t="n">
        <v>427.1574074074074</v>
      </c>
      <c r="AL26" s="2" t="n">
        <v>0</v>
      </c>
      <c r="AM26" s="2" t="n">
        <v>373.29</v>
      </c>
      <c r="AN26" s="2" t="n">
        <v>88.04000000000001</v>
      </c>
      <c r="AO26" s="2" t="n">
        <v>1564.57</v>
      </c>
      <c r="AP26" s="2" t="n">
        <v>114.4453981481481</v>
      </c>
      <c r="AQ26" s="2" t="n">
        <v>1448.675925925926</v>
      </c>
      <c r="AR26" s="2" t="n">
        <v>0</v>
      </c>
      <c r="AS26" s="2" t="n">
        <v>1451.75</v>
      </c>
      <c r="AT26" s="2" t="n">
        <v>112.82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20038.2</v>
      </c>
      <c r="BB26" s="2" t="n">
        <v>20038.2</v>
      </c>
      <c r="BC26" s="2">
        <f>F26+L26+R26+X26+AD26+AJ26+AP26+AV26+IF(BE26="",0,BE26)</f>
        <v/>
      </c>
      <c r="BD26" s="2" t="n">
        <v>308.58828</v>
      </c>
      <c r="BE26" s="2" t="n"/>
      <c r="BF26" s="2" t="n">
        <v>18553.88888888889</v>
      </c>
      <c r="BG26" s="2" t="n">
        <v>0</v>
      </c>
      <c r="BH26" s="2" t="n">
        <v>0</v>
      </c>
      <c r="BI26" s="2" t="n">
        <v>14562.02</v>
      </c>
      <c r="BJ26" s="2" t="n">
        <v>58.77173913043478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270.5157</v>
      </c>
      <c r="BQ26" s="2" t="n">
        <v>25.51304347826087</v>
      </c>
      <c r="BR26" s="2" t="n">
        <v>14941.82048260869</v>
      </c>
      <c r="BS26" s="2" t="n">
        <v>855.0899130434782</v>
      </c>
      <c r="BT26" s="2" t="n">
        <v>0</v>
      </c>
      <c r="BU26" s="2" t="n">
        <v>3105.278939130435</v>
      </c>
      <c r="BV26" s="2" t="n">
        <v>3960.368852173914</v>
      </c>
      <c r="BW26" s="2" t="n">
        <v>18902.18933478261</v>
      </c>
      <c r="BX26" s="2" t="n">
        <v>18071.74</v>
      </c>
      <c r="BY26" s="2" t="n">
        <v>1966.46</v>
      </c>
      <c r="BZ26" s="2" t="n">
        <v>0</v>
      </c>
      <c r="CA26" s="2" t="n">
        <v>20038.2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2652.19</v>
      </c>
      <c r="L27" s="2" t="n">
        <v>220.7702601851852</v>
      </c>
      <c r="M27" s="2" t="n">
        <v>2455.731481481481</v>
      </c>
      <c r="N27" s="2" t="n">
        <v>0</v>
      </c>
      <c r="O27" s="2" t="n">
        <v>2217.39</v>
      </c>
      <c r="P27" s="2" t="n">
        <v>434.8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517.91</v>
      </c>
      <c r="AD27" s="2" t="n">
        <v>33.08869444444444</v>
      </c>
      <c r="AE27" s="2" t="n">
        <v>479.5462962962962</v>
      </c>
      <c r="AF27" s="2" t="n">
        <v>0</v>
      </c>
      <c r="AG27" s="2" t="n">
        <v>490.71</v>
      </c>
      <c r="AH27" s="2" t="n">
        <v>27.2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2523.96</v>
      </c>
      <c r="AP27" s="2" t="n">
        <v>184.623</v>
      </c>
      <c r="AQ27" s="2" t="n">
        <v>2337</v>
      </c>
      <c r="AR27" s="2" t="n">
        <v>0</v>
      </c>
      <c r="AS27" s="2" t="n">
        <v>2272.73</v>
      </c>
      <c r="AT27" s="2" t="n">
        <v>251.23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5694.059999999999</v>
      </c>
      <c r="BB27" s="2" t="n">
        <v>5694.059999999999</v>
      </c>
      <c r="BC27" s="2">
        <f>F27+L27+R27+X27+AD27+AJ27+AP27+AV27+IF(BE27="",0,BE27)</f>
        <v/>
      </c>
      <c r="BD27" s="2" t="n">
        <v>87.688524</v>
      </c>
      <c r="BE27" s="2" t="n"/>
      <c r="BF27" s="2" t="n">
        <v>5272.277777777777</v>
      </c>
      <c r="BG27" s="2" t="n">
        <v>518</v>
      </c>
      <c r="BH27" s="2" t="n">
        <v>352</v>
      </c>
      <c r="BI27" s="2" t="n">
        <v>14562.02</v>
      </c>
      <c r="BJ27" s="2" t="n">
        <v>58.77173913043478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76.86981</v>
      </c>
      <c r="BQ27" s="2" t="n">
        <v>25.51304347826087</v>
      </c>
      <c r="BR27" s="2" t="n">
        <v>15618.1745926087</v>
      </c>
      <c r="BS27" s="2" t="n">
        <v>855.0899130434782</v>
      </c>
      <c r="BT27" s="2" t="n">
        <v>0</v>
      </c>
      <c r="BU27" s="2" t="n">
        <v>3279.278939130435</v>
      </c>
      <c r="BV27" s="2" t="n">
        <v>4134.368852173913</v>
      </c>
      <c r="BW27" s="2" t="n">
        <v>19752.54344478261</v>
      </c>
      <c r="BX27" s="2" t="n">
        <v>4980.83</v>
      </c>
      <c r="BY27" s="2" t="n">
        <v>713.23</v>
      </c>
      <c r="BZ27" s="2" t="n">
        <v>0</v>
      </c>
      <c r="CA27" s="2" t="n">
        <v>5694.059999999999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1283.51</v>
      </c>
      <c r="L28" s="2" t="n">
        <v>106.8403231481481</v>
      </c>
      <c r="M28" s="2" t="n">
        <v>1188.435185185185</v>
      </c>
      <c r="N28" s="2" t="n">
        <v>0</v>
      </c>
      <c r="O28" s="2" t="n">
        <v>1232.94</v>
      </c>
      <c r="P28" s="2" t="n">
        <v>50.57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8008.58</v>
      </c>
      <c r="AD28" s="2" t="n">
        <v>511.6592777777778</v>
      </c>
      <c r="AE28" s="2" t="n">
        <v>7415.351851851851</v>
      </c>
      <c r="AF28" s="2" t="n">
        <v>0</v>
      </c>
      <c r="AG28" s="2" t="n">
        <v>7642.96</v>
      </c>
      <c r="AH28" s="2" t="n">
        <v>365.62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18.2</v>
      </c>
      <c r="AP28" s="2" t="n">
        <v>1.331296296296296</v>
      </c>
      <c r="AQ28" s="2" t="n">
        <v>16.85185185185185</v>
      </c>
      <c r="AR28" s="2" t="n">
        <v>0</v>
      </c>
      <c r="AS28" s="2" t="n">
        <v>18.2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9310.290000000001</v>
      </c>
      <c r="BB28" s="2" t="n">
        <v>9310.290000000001</v>
      </c>
      <c r="BC28" s="2">
        <f>F28+L28+R28+X28+AD28+AJ28+AP28+AV28+IF(BE28="",0,BE28)</f>
        <v/>
      </c>
      <c r="BD28" s="2" t="n">
        <v>143.378466</v>
      </c>
      <c r="BE28" s="2" t="n"/>
      <c r="BF28" s="2" t="n">
        <v>8620.638888888889</v>
      </c>
      <c r="BG28" s="2" t="n">
        <v>400</v>
      </c>
      <c r="BH28" s="2" t="n">
        <v>241.5</v>
      </c>
      <c r="BI28" s="2" t="n">
        <v>14562.02</v>
      </c>
      <c r="BJ28" s="2" t="n">
        <v>58.77173913043478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125.688915</v>
      </c>
      <c r="BQ28" s="2" t="n">
        <v>25.51304347826087</v>
      </c>
      <c r="BR28" s="2" t="n">
        <v>15438.4936976087</v>
      </c>
      <c r="BS28" s="2" t="n">
        <v>855.0899130434782</v>
      </c>
      <c r="BT28" s="2" t="n">
        <v>0</v>
      </c>
      <c r="BU28" s="2" t="n">
        <v>3233.578939130435</v>
      </c>
      <c r="BV28" s="2" t="n">
        <v>4088.668852173913</v>
      </c>
      <c r="BW28" s="2" t="n">
        <v>19527.16254978261</v>
      </c>
      <c r="BX28" s="2" t="n">
        <v>8894.1</v>
      </c>
      <c r="BY28" s="2" t="n">
        <v>416.19</v>
      </c>
      <c r="BZ28" s="2" t="n">
        <v>0</v>
      </c>
      <c r="CA28" s="2" t="n">
        <v>9310.290000000001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1421.5</v>
      </c>
      <c r="L29" s="2" t="n">
        <v>118.326712962963</v>
      </c>
      <c r="M29" s="2" t="n">
        <v>1316.203703703704</v>
      </c>
      <c r="N29" s="2" t="n">
        <v>0</v>
      </c>
      <c r="O29" s="2" t="n">
        <v>1179.73</v>
      </c>
      <c r="P29" s="2" t="n">
        <v>241.77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3725.88</v>
      </c>
      <c r="AD29" s="2" t="n">
        <v>238.0423333333333</v>
      </c>
      <c r="AE29" s="2" t="n">
        <v>3449.888888888888</v>
      </c>
      <c r="AF29" s="2" t="n">
        <v>0</v>
      </c>
      <c r="AG29" s="2" t="n">
        <v>3393.97</v>
      </c>
      <c r="AH29" s="2" t="n">
        <v>331.91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1321.19</v>
      </c>
      <c r="AP29" s="2" t="n">
        <v>96.64260185185185</v>
      </c>
      <c r="AQ29" s="2" t="n">
        <v>1223.324074074074</v>
      </c>
      <c r="AR29" s="2" t="n">
        <v>0</v>
      </c>
      <c r="AS29" s="2" t="n">
        <v>1095.55</v>
      </c>
      <c r="AT29" s="2" t="n">
        <v>225.64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6468.57</v>
      </c>
      <c r="BB29" s="2" t="n">
        <v>6468.57</v>
      </c>
      <c r="BC29" s="2">
        <f>F29+L29+R29+X29+AD29+AJ29+AP29+AV29+IF(BE29="",0,BE29)</f>
        <v/>
      </c>
      <c r="BD29" s="2" t="n">
        <v>99.61597800000001</v>
      </c>
      <c r="BE29" s="2" t="n"/>
      <c r="BF29" s="2" t="n">
        <v>5989.416666666666</v>
      </c>
      <c r="BG29" s="2" t="n">
        <v>362.68</v>
      </c>
      <c r="BH29" s="2" t="n">
        <v>246</v>
      </c>
      <c r="BI29" s="2" t="n">
        <v>14562.02</v>
      </c>
      <c r="BJ29" s="2" t="n">
        <v>58.77173913043478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87.325695</v>
      </c>
      <c r="BQ29" s="2" t="n">
        <v>25.51304347826087</v>
      </c>
      <c r="BR29" s="2" t="n">
        <v>15367.31047760869</v>
      </c>
      <c r="BS29" s="2" t="n">
        <v>855.0899130434782</v>
      </c>
      <c r="BT29" s="2" t="n">
        <v>0</v>
      </c>
      <c r="BU29" s="2" t="n">
        <v>3227.014939130435</v>
      </c>
      <c r="BV29" s="2" t="n">
        <v>4082.104852173913</v>
      </c>
      <c r="BW29" s="2" t="n">
        <v>19449.41532978261</v>
      </c>
      <c r="BX29" s="2" t="n">
        <v>5669.25</v>
      </c>
      <c r="BY29" s="2" t="n">
        <v>799.3200000000001</v>
      </c>
      <c r="BZ29" s="2" t="n">
        <v>0</v>
      </c>
      <c r="CA29" s="2" t="n">
        <v>6468.57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3928.32</v>
      </c>
      <c r="L30" s="2" t="n">
        <v>326.9962666666667</v>
      </c>
      <c r="M30" s="2" t="n">
        <v>3637.333333333333</v>
      </c>
      <c r="N30" s="2" t="n">
        <v>0</v>
      </c>
      <c r="O30" s="2" t="n">
        <v>3770.32</v>
      </c>
      <c r="P30" s="2" t="n">
        <v>158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3691.4</v>
      </c>
      <c r="AD30" s="2" t="n">
        <v>235.8394444444445</v>
      </c>
      <c r="AE30" s="2" t="n">
        <v>3417.962962962963</v>
      </c>
      <c r="AF30" s="2" t="n">
        <v>0</v>
      </c>
      <c r="AG30" s="2" t="n">
        <v>3488.81</v>
      </c>
      <c r="AH30" s="2" t="n">
        <v>202.59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2142.24</v>
      </c>
      <c r="AP30" s="2" t="n">
        <v>156.7008888888889</v>
      </c>
      <c r="AQ30" s="2" t="n">
        <v>1983.555555555555</v>
      </c>
      <c r="AR30" s="2" t="n">
        <v>0</v>
      </c>
      <c r="AS30" s="2" t="n">
        <v>2013.1</v>
      </c>
      <c r="AT30" s="2" t="n">
        <v>129.14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9761.959999999999</v>
      </c>
      <c r="BB30" s="2" t="n">
        <v>9761.959999999999</v>
      </c>
      <c r="BC30" s="2">
        <f>F30+L30+R30+X30+AD30+AJ30+AP30+AV30+IF(BE30="",0,BE30)</f>
        <v/>
      </c>
      <c r="BD30" s="2" t="n">
        <v>150.334184</v>
      </c>
      <c r="BE30" s="2" t="n"/>
      <c r="BF30" s="2" t="n">
        <v>9038.85185185185</v>
      </c>
      <c r="BG30" s="2" t="n">
        <v>300</v>
      </c>
      <c r="BH30" s="2" t="n">
        <v>340.5</v>
      </c>
      <c r="BI30" s="2" t="n">
        <v>14562.02</v>
      </c>
      <c r="BJ30" s="2" t="n">
        <v>58.77173913043478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131.78646</v>
      </c>
      <c r="BQ30" s="2" t="n">
        <v>25.51304347826087</v>
      </c>
      <c r="BR30" s="2" t="n">
        <v>15443.59124260869</v>
      </c>
      <c r="BS30" s="2" t="n">
        <v>855.0899130434782</v>
      </c>
      <c r="BT30" s="2" t="n">
        <v>0</v>
      </c>
      <c r="BU30" s="2" t="n">
        <v>3233.378939130435</v>
      </c>
      <c r="BV30" s="2" t="n">
        <v>4088.468852173914</v>
      </c>
      <c r="BW30" s="2" t="n">
        <v>19532.06009478261</v>
      </c>
      <c r="BX30" s="2" t="n">
        <v>9272.23</v>
      </c>
      <c r="BY30" s="2" t="n">
        <v>489.73</v>
      </c>
      <c r="BZ30" s="2" t="n">
        <v>0</v>
      </c>
      <c r="CA30" s="2" t="n">
        <v>9761.959999999999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2249.95</v>
      </c>
      <c r="L31" s="2" t="n">
        <v>187.2875046296296</v>
      </c>
      <c r="M31" s="2" t="n">
        <v>2083.287037037037</v>
      </c>
      <c r="N31" s="2" t="n">
        <v>0</v>
      </c>
      <c r="O31" s="2" t="n">
        <v>2108.78</v>
      </c>
      <c r="P31" s="2" t="n">
        <v>141.17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396.5</v>
      </c>
      <c r="AD31" s="2" t="n">
        <v>25.33194444444445</v>
      </c>
      <c r="AE31" s="2" t="n">
        <v>367.1296296296296</v>
      </c>
      <c r="AF31" s="2" t="n">
        <v>0</v>
      </c>
      <c r="AG31" s="2" t="n">
        <v>329.1</v>
      </c>
      <c r="AH31" s="2" t="n">
        <v>67.40000000000001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2293.62</v>
      </c>
      <c r="AP31" s="2" t="n">
        <v>167.7740555555556</v>
      </c>
      <c r="AQ31" s="2" t="n">
        <v>2123.722222222223</v>
      </c>
      <c r="AR31" s="2" t="n">
        <v>0</v>
      </c>
      <c r="AS31" s="2" t="n">
        <v>2144.82</v>
      </c>
      <c r="AT31" s="2" t="n">
        <v>148.8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4940.070000000001</v>
      </c>
      <c r="BB31" s="2" t="n">
        <v>4940.070000000001</v>
      </c>
      <c r="BC31" s="2">
        <f>F31+L31+R31+X31+AD31+AJ31+AP31+AV31+IF(BE31="",0,BE31)</f>
        <v/>
      </c>
      <c r="BD31" s="2" t="n">
        <v>76.077078</v>
      </c>
      <c r="BE31" s="2" t="n"/>
      <c r="BF31" s="2" t="n">
        <v>4574.138888888889</v>
      </c>
      <c r="BG31" s="2" t="n">
        <v>250</v>
      </c>
      <c r="BH31" s="2" t="n">
        <v>178</v>
      </c>
      <c r="BI31" s="2" t="n">
        <v>14562.02</v>
      </c>
      <c r="BJ31" s="2" t="n">
        <v>58.77173913043478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66.690945</v>
      </c>
      <c r="BQ31" s="2" t="n">
        <v>25.51304347826087</v>
      </c>
      <c r="BR31" s="2" t="n">
        <v>15165.9957276087</v>
      </c>
      <c r="BS31" s="2" t="n">
        <v>855.0899130434782</v>
      </c>
      <c r="BT31" s="2" t="n">
        <v>0</v>
      </c>
      <c r="BU31" s="2" t="n">
        <v>3190.878939130435</v>
      </c>
      <c r="BV31" s="2" t="n">
        <v>4045.968852173914</v>
      </c>
      <c r="BW31" s="2" t="n">
        <v>19211.96457978261</v>
      </c>
      <c r="BX31" s="2" t="n">
        <v>4582.700000000001</v>
      </c>
      <c r="BY31" s="2" t="n">
        <v>357.37</v>
      </c>
      <c r="BZ31" s="2" t="n">
        <v>0</v>
      </c>
      <c r="CA31" s="2" t="n">
        <v>4940.070000000001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3827.54</v>
      </c>
      <c r="AD32" s="2" t="n">
        <v>244.5372777777778</v>
      </c>
      <c r="AE32" s="2" t="n">
        <v>3544.018518518518</v>
      </c>
      <c r="AF32" s="2" t="n">
        <v>0</v>
      </c>
      <c r="AG32" s="2" t="n">
        <v>3062.41</v>
      </c>
      <c r="AH32" s="2" t="n">
        <v>765.13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866.74</v>
      </c>
      <c r="AP32" s="2" t="n">
        <v>63.40042592592592</v>
      </c>
      <c r="AQ32" s="2" t="n">
        <v>802.537037037037</v>
      </c>
      <c r="AR32" s="2" t="n">
        <v>0</v>
      </c>
      <c r="AS32" s="2" t="n">
        <v>739.9</v>
      </c>
      <c r="AT32" s="2" t="n">
        <v>126.84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4694.28</v>
      </c>
      <c r="BB32" s="2" t="n">
        <v>4694.28</v>
      </c>
      <c r="BC32" s="2">
        <f>F32+L32+R32+X32+AD32+AJ32+AP32+AV32+IF(BE32="",0,BE32)</f>
        <v/>
      </c>
      <c r="BD32" s="2" t="n">
        <v>72.291912</v>
      </c>
      <c r="BE32" s="2" t="n"/>
      <c r="BF32" s="2" t="n">
        <v>4346.555555555555</v>
      </c>
      <c r="BG32" s="2" t="n">
        <v>0</v>
      </c>
      <c r="BH32" s="2" t="n">
        <v>0</v>
      </c>
      <c r="BI32" s="2" t="n">
        <v>14562.02</v>
      </c>
      <c r="BJ32" s="2" t="n">
        <v>58.77173913043478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63.37278</v>
      </c>
      <c r="BQ32" s="2" t="n">
        <v>25.51304347826087</v>
      </c>
      <c r="BR32" s="2" t="n">
        <v>14734.67756260869</v>
      </c>
      <c r="BS32" s="2" t="n">
        <v>855.0899130434782</v>
      </c>
      <c r="BT32" s="2" t="n">
        <v>0</v>
      </c>
      <c r="BU32" s="2" t="n">
        <v>3105.278939130435</v>
      </c>
      <c r="BV32" s="2" t="n">
        <v>3960.368852173914</v>
      </c>
      <c r="BW32" s="2" t="n">
        <v>18695.04641478261</v>
      </c>
      <c r="BX32" s="2" t="n">
        <v>3802.31</v>
      </c>
      <c r="BY32" s="2" t="n">
        <v>891.97</v>
      </c>
      <c r="BZ32" s="2" t="n">
        <v>0</v>
      </c>
      <c r="CA32" s="2" t="n">
        <v>4694.28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1648.53</v>
      </c>
      <c r="L33" s="2" t="n">
        <v>137.2248583333333</v>
      </c>
      <c r="M33" s="2" t="n">
        <v>1526.416666666667</v>
      </c>
      <c r="N33" s="2" t="n">
        <v>0</v>
      </c>
      <c r="O33" s="2" t="n">
        <v>1373.77</v>
      </c>
      <c r="P33" s="2" t="n">
        <v>274.76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1711.66</v>
      </c>
      <c r="AD33" s="2" t="n">
        <v>109.3560555555556</v>
      </c>
      <c r="AE33" s="2" t="n">
        <v>1584.87037037037</v>
      </c>
      <c r="AF33" s="2" t="n">
        <v>0</v>
      </c>
      <c r="AG33" s="2" t="n">
        <v>1482.44</v>
      </c>
      <c r="AH33" s="2" t="n">
        <v>229.22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1957.46</v>
      </c>
      <c r="AP33" s="2" t="n">
        <v>143.1845740740741</v>
      </c>
      <c r="AQ33" s="2" t="n">
        <v>1812.462962962963</v>
      </c>
      <c r="AR33" s="2" t="n">
        <v>0</v>
      </c>
      <c r="AS33" s="2" t="n">
        <v>1899.16</v>
      </c>
      <c r="AT33" s="2" t="n">
        <v>58.3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5317.65</v>
      </c>
      <c r="BB33" s="2" t="n">
        <v>5317.65</v>
      </c>
      <c r="BC33" s="2">
        <f>F33+L33+R33+X33+AD33+AJ33+AP33+AV33+IF(BE33="",0,BE33)</f>
        <v/>
      </c>
      <c r="BD33" s="2" t="n">
        <v>81.89181000000001</v>
      </c>
      <c r="BE33" s="2" t="n"/>
      <c r="BF33" s="2" t="n">
        <v>4923.75</v>
      </c>
      <c r="BG33" s="2" t="n">
        <v>300</v>
      </c>
      <c r="BH33" s="2" t="n">
        <v>225</v>
      </c>
      <c r="BI33" s="2" t="n">
        <v>14562.02</v>
      </c>
      <c r="BJ33" s="2" t="n">
        <v>58.77173913043478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71.788275</v>
      </c>
      <c r="BQ33" s="2" t="n">
        <v>25.51304347826087</v>
      </c>
      <c r="BR33" s="2" t="n">
        <v>15268.0930576087</v>
      </c>
      <c r="BS33" s="2" t="n">
        <v>855.0899130434782</v>
      </c>
      <c r="BT33" s="2" t="n">
        <v>0</v>
      </c>
      <c r="BU33" s="2" t="n">
        <v>3210.278939130435</v>
      </c>
      <c r="BV33" s="2" t="n">
        <v>4065.368852173914</v>
      </c>
      <c r="BW33" s="2" t="n">
        <v>19333.46190978261</v>
      </c>
      <c r="BX33" s="2" t="n">
        <v>4755.37</v>
      </c>
      <c r="BY33" s="2" t="n">
        <v>562.28</v>
      </c>
      <c r="BZ33" s="2" t="n">
        <v>0</v>
      </c>
      <c r="CA33" s="2" t="n">
        <v>5317.65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5136.23</v>
      </c>
      <c r="L34" s="2" t="n">
        <v>427.5435898148148</v>
      </c>
      <c r="M34" s="2" t="n">
        <v>4755.768518518518</v>
      </c>
      <c r="N34" s="2" t="n">
        <v>0</v>
      </c>
      <c r="O34" s="2" t="n">
        <v>5057.23</v>
      </c>
      <c r="P34" s="2" t="n">
        <v>79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8168.78</v>
      </c>
      <c r="AP34" s="2" t="n">
        <v>597.5311296296296</v>
      </c>
      <c r="AQ34" s="2" t="n">
        <v>7563.685185185184</v>
      </c>
      <c r="AR34" s="2" t="n">
        <v>0</v>
      </c>
      <c r="AS34" s="2" t="n">
        <v>7831.98</v>
      </c>
      <c r="AT34" s="2" t="n">
        <v>336.8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13305.01</v>
      </c>
      <c r="BB34" s="2" t="n">
        <v>13305.01</v>
      </c>
      <c r="BC34" s="2">
        <f>F34+L34+R34+X34+AD34+AJ34+AP34+AV34+IF(BE34="",0,BE34)</f>
        <v/>
      </c>
      <c r="BD34" s="2" t="n">
        <v>204.897154</v>
      </c>
      <c r="BE34" s="2" t="n"/>
      <c r="BF34" s="2" t="n">
        <v>12319.4537037037</v>
      </c>
      <c r="BG34" s="2" t="n">
        <v>0</v>
      </c>
      <c r="BH34" s="2" t="n">
        <v>0</v>
      </c>
      <c r="BI34" s="2" t="n">
        <v>14562.02</v>
      </c>
      <c r="BJ34" s="2" t="n">
        <v>58.77173913043478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179.617635</v>
      </c>
      <c r="BQ34" s="2" t="n">
        <v>25.51304347826087</v>
      </c>
      <c r="BR34" s="2" t="n">
        <v>14850.9224176087</v>
      </c>
      <c r="BS34" s="2" t="n">
        <v>855.0899130434782</v>
      </c>
      <c r="BT34" s="2" t="n">
        <v>0</v>
      </c>
      <c r="BU34" s="2" t="n">
        <v>3105.278939130435</v>
      </c>
      <c r="BV34" s="2" t="n">
        <v>3960.368852173914</v>
      </c>
      <c r="BW34" s="2" t="n">
        <v>18811.29126978261</v>
      </c>
      <c r="BX34" s="2" t="n">
        <v>12889.21</v>
      </c>
      <c r="BY34" s="2" t="n">
        <v>415.8</v>
      </c>
      <c r="BZ34" s="2" t="n">
        <v>0</v>
      </c>
      <c r="CA34" s="2" t="n">
        <v>13305.01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Bochnia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2448.01</v>
      </c>
      <c r="L35" s="2" t="n">
        <v>203.7741657407408</v>
      </c>
      <c r="M35" s="2" t="n">
        <v>2266.675925925926</v>
      </c>
      <c r="N35" s="2" t="n">
        <v>0</v>
      </c>
      <c r="O35" s="2" t="n">
        <v>2448.01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3489.77</v>
      </c>
      <c r="X35" s="2" t="n">
        <v>350</v>
      </c>
      <c r="Y35" s="2" t="n">
        <v>3231.268518518518</v>
      </c>
      <c r="Z35" s="2" t="n">
        <v>0</v>
      </c>
      <c r="AA35" s="2" t="n">
        <v>3489.77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2966.42</v>
      </c>
      <c r="AP35" s="2" t="n">
        <v>216.9881296296296</v>
      </c>
      <c r="AQ35" s="2" t="n">
        <v>2746.685185185185</v>
      </c>
      <c r="AR35" s="2" t="n">
        <v>0</v>
      </c>
      <c r="AS35" s="2" t="n">
        <v>2966.42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8904.200000000001</v>
      </c>
      <c r="BB35" s="2" t="n">
        <v>8904.200000000001</v>
      </c>
      <c r="BC35" s="2">
        <f>F35+L35+R35+X35+AD35+AJ35+AP35+AV35+IF(BE35="",0,BE35)</f>
        <v/>
      </c>
      <c r="BD35" s="2" t="n">
        <v>130.494117</v>
      </c>
      <c r="BE35" s="2" t="n"/>
      <c r="BF35" s="2" t="n">
        <v>8244.62962962963</v>
      </c>
      <c r="BG35" s="2" t="n">
        <v>0</v>
      </c>
      <c r="BH35" s="2" t="n">
        <v>0</v>
      </c>
      <c r="BI35" s="2" t="n">
        <v>14562.02</v>
      </c>
      <c r="BJ35" s="2" t="n">
        <v>58.77173913043478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120.2067</v>
      </c>
      <c r="BQ35" s="2" t="n">
        <v>25.51304347826087</v>
      </c>
      <c r="BR35" s="2" t="n">
        <v>14791.5114826087</v>
      </c>
      <c r="BS35" s="2" t="n">
        <v>855.0899130434782</v>
      </c>
      <c r="BT35" s="2" t="n">
        <v>0</v>
      </c>
      <c r="BU35" s="2" t="n">
        <v>3105.278939130435</v>
      </c>
      <c r="BV35" s="2" t="n">
        <v>3960.368852173914</v>
      </c>
      <c r="BW35" s="2" t="n">
        <v>18751.88033478261</v>
      </c>
      <c r="BX35" s="2" t="n">
        <v>8904.200000000001</v>
      </c>
      <c r="BY35" s="2" t="n">
        <v>0</v>
      </c>
      <c r="BZ35" s="2" t="n">
        <v>0</v>
      </c>
      <c r="CA35" s="2" t="n">
        <v>8904.200000000001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1137</v>
      </c>
      <c r="B36" t="inlineStr">
        <is>
          <t>Poznan Politechnika</t>
        </is>
      </c>
      <c r="C36" t="inlineStr">
        <is>
          <t>Politechnika Poznańska</t>
        </is>
      </c>
      <c r="D36" t="inlineStr">
        <is>
          <t>BB8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150.87</v>
      </c>
      <c r="L36" s="2" t="n">
        <v>12.55853055555555</v>
      </c>
      <c r="M36" s="2" t="n">
        <v>139.6944444444444</v>
      </c>
      <c r="N36" s="2" t="n">
        <v>0</v>
      </c>
      <c r="O36" s="2" t="n">
        <v>150.87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234.73</v>
      </c>
      <c r="AD36" s="2" t="n">
        <v>15.21398148148148</v>
      </c>
      <c r="AE36" s="2" t="n">
        <v>217.3425925925926</v>
      </c>
      <c r="AF36" s="2" t="n">
        <v>0</v>
      </c>
      <c r="AG36" s="2" t="n">
        <v>234.73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22.58</v>
      </c>
      <c r="AP36" s="2" t="n">
        <v>1.651685185185185</v>
      </c>
      <c r="AQ36" s="2" t="n">
        <v>20.9074074074074</v>
      </c>
      <c r="AR36" s="2" t="n">
        <v>0</v>
      </c>
      <c r="AS36" s="2" t="n">
        <v>22.58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408.18</v>
      </c>
      <c r="BB36" s="2" t="n">
        <v>408.18</v>
      </c>
      <c r="BC36" s="2">
        <f>F36+L36+R36+X36+AD36+AJ36+AP36+AV36+IF(BE36="",0,BE36)</f>
        <v/>
      </c>
      <c r="BD36" s="2" t="n">
        <v>6.285972</v>
      </c>
      <c r="BE36" s="2" t="n"/>
      <c r="BF36" s="2" t="n">
        <v>377.9444444444444</v>
      </c>
      <c r="BG36" s="2" t="n">
        <v>250</v>
      </c>
      <c r="BH36" s="2" t="n">
        <v>0</v>
      </c>
      <c r="BI36" s="2" t="n">
        <v>14562.02</v>
      </c>
      <c r="BJ36" s="2" t="n">
        <v>58.77173913043478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5.51043</v>
      </c>
      <c r="BQ36" s="2" t="n">
        <v>25.51304347826087</v>
      </c>
      <c r="BR36" s="2" t="n">
        <v>14926.8152126087</v>
      </c>
      <c r="BS36" s="2" t="n">
        <v>855.0899130434782</v>
      </c>
      <c r="BT36" s="2" t="n">
        <v>0</v>
      </c>
      <c r="BU36" s="2" t="n">
        <v>3155.278939130435</v>
      </c>
      <c r="BV36" s="2" t="n">
        <v>4010.368852173914</v>
      </c>
      <c r="BW36" s="2" t="n">
        <v>18937.18406478261</v>
      </c>
      <c r="BX36" s="2" t="n">
        <v>408.18</v>
      </c>
      <c r="BY36" s="2" t="n">
        <v>0</v>
      </c>
      <c r="BZ36" s="2" t="n">
        <v>0</v>
      </c>
      <c r="CA36" s="2" t="n">
        <v>408.18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1138</v>
      </c>
      <c r="B37" t="inlineStr">
        <is>
          <t>Rzeszow</t>
        </is>
      </c>
      <c r="C37" t="inlineStr">
        <is>
          <t>Rzeszów</t>
        </is>
      </c>
      <c r="D37" t="inlineStr">
        <is>
          <t>BB8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9455.48</v>
      </c>
      <c r="L37" s="2" t="n">
        <v>787.0811592592593</v>
      </c>
      <c r="M37" s="2" t="n">
        <v>8755.074074074073</v>
      </c>
      <c r="N37" s="2" t="n">
        <v>0</v>
      </c>
      <c r="O37" s="2" t="n">
        <v>9455.48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12728.17</v>
      </c>
      <c r="AP37" s="2" t="n">
        <v>931.0420648148147</v>
      </c>
      <c r="AQ37" s="2" t="n">
        <v>11785.34259259259</v>
      </c>
      <c r="AR37" s="2" t="n">
        <v>0</v>
      </c>
      <c r="AS37" s="2" t="n">
        <v>12728.17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22183.65</v>
      </c>
      <c r="BB37" s="2" t="n">
        <v>22183.65</v>
      </c>
      <c r="BC37" s="2">
        <f>F37+L37+R37+X37+AD37+AJ37+AP37+AV37+IF(BE37="",0,BE37)</f>
        <v/>
      </c>
      <c r="BD37" s="2" t="n">
        <v>341.62821</v>
      </c>
      <c r="BE37" s="2" t="n"/>
      <c r="BF37" s="2" t="n">
        <v>20540.41666666666</v>
      </c>
      <c r="BG37" s="2" t="n">
        <v>0</v>
      </c>
      <c r="BH37" s="2" t="n">
        <v>0</v>
      </c>
      <c r="BI37" s="2" t="n">
        <v>14562.02</v>
      </c>
      <c r="BJ37" s="2" t="n">
        <v>58.77173913043478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299.479275</v>
      </c>
      <c r="BQ37" s="2" t="n">
        <v>25.51304347826087</v>
      </c>
      <c r="BR37" s="2" t="n">
        <v>14970.78405760869</v>
      </c>
      <c r="BS37" s="2" t="n">
        <v>855.0899130434782</v>
      </c>
      <c r="BT37" s="2" t="n">
        <v>0</v>
      </c>
      <c r="BU37" s="2" t="n">
        <v>3105.278939130435</v>
      </c>
      <c r="BV37" s="2" t="n">
        <v>3960.368852173914</v>
      </c>
      <c r="BW37" s="2" t="n">
        <v>18931.15290978261</v>
      </c>
      <c r="BX37" s="2" t="n">
        <v>22183.65</v>
      </c>
      <c r="BY37" s="2" t="n">
        <v>0</v>
      </c>
      <c r="BZ37" s="2" t="n">
        <v>0</v>
      </c>
      <c r="CA37" s="2" t="n">
        <v>22183.65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1203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16954.38</v>
      </c>
      <c r="L38" s="2" t="n">
        <v>1411.29515</v>
      </c>
      <c r="M38" s="2" t="n">
        <v>15698.5</v>
      </c>
      <c r="N38" s="2" t="n">
        <v>2958.56</v>
      </c>
      <c r="O38" s="2" t="n">
        <v>13032.82</v>
      </c>
      <c r="P38" s="2" t="n">
        <v>963</v>
      </c>
      <c r="Q38" s="2" t="n">
        <v>20722.48</v>
      </c>
      <c r="R38" s="2" t="n">
        <v>1600</v>
      </c>
      <c r="S38" s="2" t="n">
        <v>19187.48148148148</v>
      </c>
      <c r="T38" s="2" t="n">
        <v>3687.39</v>
      </c>
      <c r="U38" s="2" t="n">
        <v>16184.44</v>
      </c>
      <c r="V38" s="2" t="n">
        <v>850.65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11828.39</v>
      </c>
      <c r="AP38" s="2" t="n">
        <v>865.2248240740741</v>
      </c>
      <c r="AQ38" s="2" t="n">
        <v>10952.21296296296</v>
      </c>
      <c r="AR38" s="2" t="n">
        <v>1883.58</v>
      </c>
      <c r="AS38" s="2" t="n">
        <v>9414.200000000001</v>
      </c>
      <c r="AT38" s="2" t="n">
        <v>530.61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49505.25</v>
      </c>
      <c r="BB38" s="2" t="n">
        <v>40975.72</v>
      </c>
      <c r="BC38" s="2">
        <f>F38+L38+R38+X38+AD38+AJ38+AP38+AV38+IF(BE38="",0,BE38)</f>
        <v/>
      </c>
      <c r="BD38" s="2" t="n">
        <v>631.0260880000001</v>
      </c>
      <c r="BE38" s="2" t="n"/>
      <c r="BF38" s="2" t="n">
        <v>45838.19444444444</v>
      </c>
      <c r="BG38" s="2" t="n">
        <v>0</v>
      </c>
      <c r="BH38" s="2" t="n">
        <v>0</v>
      </c>
      <c r="BI38" s="2" t="n">
        <v>14562.02</v>
      </c>
      <c r="BJ38" s="2" t="n">
        <v>58.77173913043478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553.17222</v>
      </c>
      <c r="BQ38" s="2" t="n">
        <v>25.51304347826087</v>
      </c>
      <c r="BR38" s="2" t="n">
        <v>15224.4770026087</v>
      </c>
      <c r="BS38" s="2" t="n">
        <v>855.0899130434782</v>
      </c>
      <c r="BT38" s="2" t="n">
        <v>0</v>
      </c>
      <c r="BU38" s="2" t="n">
        <v>3105.278939130435</v>
      </c>
      <c r="BV38" s="2" t="n">
        <v>3960.368852173914</v>
      </c>
      <c r="BW38" s="2" t="n">
        <v>19184.84585478261</v>
      </c>
      <c r="BX38" s="2" t="n">
        <v>38631.46000000001</v>
      </c>
      <c r="BY38" s="2" t="n">
        <v>2344.26</v>
      </c>
      <c r="BZ38" s="2" t="n">
        <v>8529.529999999999</v>
      </c>
      <c r="CA38" s="2" t="n">
        <v>40975.72000000001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1204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8019.76</v>
      </c>
      <c r="L39" s="2" t="n">
        <v>667.570762962963</v>
      </c>
      <c r="M39" s="2" t="n">
        <v>7425.703703703703</v>
      </c>
      <c r="N39" s="2" t="n">
        <v>1324.36</v>
      </c>
      <c r="O39" s="2" t="n">
        <v>6256.26</v>
      </c>
      <c r="P39" s="2" t="n">
        <v>439.14</v>
      </c>
      <c r="Q39" s="2" t="n">
        <v>21326.82</v>
      </c>
      <c r="R39" s="2" t="n">
        <v>1600</v>
      </c>
      <c r="S39" s="2" t="n">
        <v>19747.05555555556</v>
      </c>
      <c r="T39" s="2" t="n">
        <v>2821.61</v>
      </c>
      <c r="U39" s="2" t="n">
        <v>17892.81</v>
      </c>
      <c r="V39" s="2" t="n">
        <v>612.4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8672.93</v>
      </c>
      <c r="AP39" s="2" t="n">
        <v>634.4087685185185</v>
      </c>
      <c r="AQ39" s="2" t="n">
        <v>8030.490740740741</v>
      </c>
      <c r="AR39" s="2" t="n">
        <v>1024.18</v>
      </c>
      <c r="AS39" s="2" t="n">
        <v>7395.35</v>
      </c>
      <c r="AT39" s="2" t="n">
        <v>253.4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38019.51</v>
      </c>
      <c r="BB39" s="2" t="n">
        <v>32849.36</v>
      </c>
      <c r="BC39" s="2">
        <f>F39+L39+R39+X39+AD39+AJ39+AP39+AV39+IF(BE39="",0,BE39)</f>
        <v/>
      </c>
      <c r="BD39" s="2" t="n">
        <v>505.8801440000001</v>
      </c>
      <c r="BE39" s="2" t="n"/>
      <c r="BF39" s="2" t="n">
        <v>35203.25</v>
      </c>
      <c r="BG39" s="2" t="n">
        <v>652.9399999999999</v>
      </c>
      <c r="BH39" s="2" t="n">
        <v>82</v>
      </c>
      <c r="BI39" s="2" t="n">
        <v>14562.02</v>
      </c>
      <c r="BJ39" s="2" t="n">
        <v>58.77173913043478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443.4663600000001</v>
      </c>
      <c r="BQ39" s="2" t="n">
        <v>25.51304347826087</v>
      </c>
      <c r="BR39" s="2" t="n">
        <v>15849.7111426087</v>
      </c>
      <c r="BS39" s="2" t="n">
        <v>855.0899130434782</v>
      </c>
      <c r="BT39" s="2" t="n">
        <v>0</v>
      </c>
      <c r="BU39" s="2" t="n">
        <v>3252.266939130435</v>
      </c>
      <c r="BV39" s="2" t="n">
        <v>4107.356852173913</v>
      </c>
      <c r="BW39" s="2" t="n">
        <v>19957.06799478261</v>
      </c>
      <c r="BX39" s="2" t="n">
        <v>31544.42</v>
      </c>
      <c r="BY39" s="2" t="n">
        <v>1304.94</v>
      </c>
      <c r="BZ39" s="2" t="n">
        <v>5170.150000000001</v>
      </c>
      <c r="CA39" s="2" t="n">
        <v>32849.36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1206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11741.16</v>
      </c>
      <c r="L40" s="2" t="n">
        <v>977.3428555555555</v>
      </c>
      <c r="M40" s="2" t="n">
        <v>10871.44444444444</v>
      </c>
      <c r="N40" s="2" t="n">
        <v>3068.48</v>
      </c>
      <c r="O40" s="2" t="n">
        <v>7794.75</v>
      </c>
      <c r="P40" s="2" t="n">
        <v>877.9299999999999</v>
      </c>
      <c r="Q40" s="2" t="n">
        <v>30054.64</v>
      </c>
      <c r="R40" s="2" t="n">
        <v>1600</v>
      </c>
      <c r="S40" s="2" t="n">
        <v>27828.37037037037</v>
      </c>
      <c r="T40" s="2" t="n">
        <v>3816.5</v>
      </c>
      <c r="U40" s="2" t="n">
        <v>24487.49</v>
      </c>
      <c r="V40" s="2" t="n">
        <v>1750.65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8607.360000000001</v>
      </c>
      <c r="AP40" s="2" t="n">
        <v>629.6124444444445</v>
      </c>
      <c r="AQ40" s="2" t="n">
        <v>7969.777777777777</v>
      </c>
      <c r="AR40" s="2" t="n">
        <v>1249.82</v>
      </c>
      <c r="AS40" s="2" t="n">
        <v>6777.64</v>
      </c>
      <c r="AT40" s="2" t="n">
        <v>579.9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50403.16</v>
      </c>
      <c r="BB40" s="2" t="n">
        <v>42268.36000000001</v>
      </c>
      <c r="BC40" s="2">
        <f>F40+L40+R40+X40+AD40+AJ40+AP40+AV40+IF(BE40="",0,BE40)</f>
        <v/>
      </c>
      <c r="BD40" s="2" t="n">
        <v>650.9327440000001</v>
      </c>
      <c r="BE40" s="2" t="n"/>
      <c r="BF40" s="2" t="n">
        <v>46669.5925925926</v>
      </c>
      <c r="BG40" s="2" t="n">
        <v>652.9399999999999</v>
      </c>
      <c r="BH40" s="2" t="n">
        <v>82</v>
      </c>
      <c r="BI40" s="2" t="n">
        <v>14562.02</v>
      </c>
      <c r="BJ40" s="2" t="n">
        <v>58.77173913043478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570.6228600000001</v>
      </c>
      <c r="BQ40" s="2" t="n">
        <v>25.51304347826087</v>
      </c>
      <c r="BR40" s="2" t="n">
        <v>15976.86764260869</v>
      </c>
      <c r="BS40" s="2" t="n">
        <v>855.0899130434782</v>
      </c>
      <c r="BT40" s="2" t="n">
        <v>0</v>
      </c>
      <c r="BU40" s="2" t="n">
        <v>3252.266939130435</v>
      </c>
      <c r="BV40" s="2" t="n">
        <v>4107.356852173913</v>
      </c>
      <c r="BW40" s="2" t="n">
        <v>20084.22449478261</v>
      </c>
      <c r="BX40" s="2" t="n">
        <v>39059.88</v>
      </c>
      <c r="BY40" s="2" t="n">
        <v>3208.48</v>
      </c>
      <c r="BZ40" s="2" t="n">
        <v>8134.799999999999</v>
      </c>
      <c r="CA40" s="2" t="n">
        <v>42268.36000000001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1207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10727.61</v>
      </c>
      <c r="L41" s="2" t="n">
        <v>892.9742027777779</v>
      </c>
      <c r="M41" s="2" t="n">
        <v>9932.972222222223</v>
      </c>
      <c r="N41" s="2" t="n">
        <v>2435.58</v>
      </c>
      <c r="O41" s="2" t="n">
        <v>7561.3</v>
      </c>
      <c r="P41" s="2" t="n">
        <v>730.73</v>
      </c>
      <c r="Q41" s="2" t="n">
        <v>31615.96</v>
      </c>
      <c r="R41" s="2" t="n">
        <v>1600</v>
      </c>
      <c r="S41" s="2" t="n">
        <v>29274.03703703703</v>
      </c>
      <c r="T41" s="2" t="n">
        <v>6366.14</v>
      </c>
      <c r="U41" s="2" t="n">
        <v>24328.6</v>
      </c>
      <c r="V41" s="2" t="n">
        <v>921.22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8120.8</v>
      </c>
      <c r="AP41" s="2" t="n">
        <v>594.0214814814815</v>
      </c>
      <c r="AQ41" s="2" t="n">
        <v>7519.259259259259</v>
      </c>
      <c r="AR41" s="2" t="n">
        <v>1977.82</v>
      </c>
      <c r="AS41" s="2" t="n">
        <v>5928.81</v>
      </c>
      <c r="AT41" s="2" t="n">
        <v>214.17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50464.37</v>
      </c>
      <c r="BB41" s="2" t="n">
        <v>39684.83</v>
      </c>
      <c r="BC41" s="2">
        <f>F41+L41+R41+X41+AD41+AJ41+AP41+AV41+IF(BE41="",0,BE41)</f>
        <v/>
      </c>
      <c r="BD41" s="2" t="n">
        <v>611.146382</v>
      </c>
      <c r="BE41" s="2" t="n"/>
      <c r="BF41" s="2" t="n">
        <v>46726.26851851851</v>
      </c>
      <c r="BG41" s="2" t="n">
        <v>652.9399999999999</v>
      </c>
      <c r="BH41" s="2" t="n">
        <v>82</v>
      </c>
      <c r="BI41" s="2" t="n">
        <v>14562.02</v>
      </c>
      <c r="BJ41" s="2" t="n">
        <v>58.77173913043478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535.7452050000001</v>
      </c>
      <c r="BQ41" s="2" t="n">
        <v>25.51304347826087</v>
      </c>
      <c r="BR41" s="2" t="n">
        <v>15941.98998760869</v>
      </c>
      <c r="BS41" s="2" t="n">
        <v>855.0899130434782</v>
      </c>
      <c r="BT41" s="2" t="n">
        <v>0</v>
      </c>
      <c r="BU41" s="2" t="n">
        <v>3252.266939130435</v>
      </c>
      <c r="BV41" s="2" t="n">
        <v>4107.356852173913</v>
      </c>
      <c r="BW41" s="2" t="n">
        <v>20049.34683978261</v>
      </c>
      <c r="BX41" s="2" t="n">
        <v>37818.71</v>
      </c>
      <c r="BY41" s="2" t="n">
        <v>1866.12</v>
      </c>
      <c r="BZ41" s="2" t="n">
        <v>10779.54</v>
      </c>
      <c r="CA41" s="2" t="n">
        <v>39684.83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1208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4569.6</v>
      </c>
      <c r="L42" s="2" t="n">
        <v>380.3768888888889</v>
      </c>
      <c r="M42" s="2" t="n">
        <v>4231.111111111111</v>
      </c>
      <c r="N42" s="2" t="n">
        <v>756.76</v>
      </c>
      <c r="O42" s="2" t="n">
        <v>3541.91</v>
      </c>
      <c r="P42" s="2" t="n">
        <v>270.93</v>
      </c>
      <c r="Q42" s="2" t="n">
        <v>17899.57</v>
      </c>
      <c r="R42" s="2" t="n">
        <v>1600</v>
      </c>
      <c r="S42" s="2" t="n">
        <v>16573.67592592592</v>
      </c>
      <c r="T42" s="2" t="n">
        <v>2903.34</v>
      </c>
      <c r="U42" s="2" t="n">
        <v>13862.54</v>
      </c>
      <c r="V42" s="2" t="n">
        <v>1133.69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5656.39</v>
      </c>
      <c r="AP42" s="2" t="n">
        <v>413.7544537037037</v>
      </c>
      <c r="AQ42" s="2" t="n">
        <v>5237.398148148148</v>
      </c>
      <c r="AR42" s="2" t="n">
        <v>904.01</v>
      </c>
      <c r="AS42" s="2" t="n">
        <v>4509.93</v>
      </c>
      <c r="AT42" s="2" t="n">
        <v>242.45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28125.56</v>
      </c>
      <c r="BB42" s="2" t="n">
        <v>23561.45</v>
      </c>
      <c r="BC42" s="2">
        <f>F42+L42+R42+X42+AD42+AJ42+AP42+AV42+IF(BE42="",0,BE42)</f>
        <v/>
      </c>
      <c r="BD42" s="2" t="n">
        <v>362.8463300000001</v>
      </c>
      <c r="BE42" s="2" t="n"/>
      <c r="BF42" s="2" t="n">
        <v>26042.18518518518</v>
      </c>
      <c r="BG42" s="2" t="n">
        <v>652.9399999999999</v>
      </c>
      <c r="BH42" s="2" t="n">
        <v>82</v>
      </c>
      <c r="BI42" s="2" t="n">
        <v>14562.02</v>
      </c>
      <c r="BJ42" s="2" t="n">
        <v>58.77173913043478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318.079575</v>
      </c>
      <c r="BQ42" s="2" t="n">
        <v>25.51304347826087</v>
      </c>
      <c r="BR42" s="2" t="n">
        <v>15724.3243576087</v>
      </c>
      <c r="BS42" s="2" t="n">
        <v>855.0899130434782</v>
      </c>
      <c r="BT42" s="2" t="n">
        <v>0</v>
      </c>
      <c r="BU42" s="2" t="n">
        <v>3252.266939130435</v>
      </c>
      <c r="BV42" s="2" t="n">
        <v>4107.356852173913</v>
      </c>
      <c r="BW42" s="2" t="n">
        <v>19831.68120978261</v>
      </c>
      <c r="BX42" s="2" t="n">
        <v>21914.38</v>
      </c>
      <c r="BY42" s="2" t="n">
        <v>1647.07</v>
      </c>
      <c r="BZ42" s="2" t="n">
        <v>4564.110000000001</v>
      </c>
      <c r="CA42" s="2" t="n">
        <v>23561.45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1210</v>
      </c>
      <c r="B43" t="inlineStr">
        <is>
          <t>Piłsudskiego 105, 50-085 Wrocław</t>
        </is>
      </c>
      <c r="C43" t="inlineStr">
        <is>
          <t>Wrocław Główny</t>
        </is>
      </c>
      <c r="D43" t="inlineStr">
        <is>
          <t>FAA2000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19590.99</v>
      </c>
      <c r="L43" s="2" t="n">
        <v>1630.768519444445</v>
      </c>
      <c r="M43" s="2" t="n">
        <v>18139.80555555555</v>
      </c>
      <c r="N43" s="2" t="n">
        <v>689.25</v>
      </c>
      <c r="O43" s="2" t="n">
        <v>17316.86</v>
      </c>
      <c r="P43" s="2" t="n">
        <v>1584.88</v>
      </c>
      <c r="Q43" s="2" t="n">
        <v>22307.56</v>
      </c>
      <c r="R43" s="2" t="n">
        <v>1600</v>
      </c>
      <c r="S43" s="2" t="n">
        <v>20655.14814814815</v>
      </c>
      <c r="T43" s="2" t="n">
        <v>979.21</v>
      </c>
      <c r="U43" s="2" t="n">
        <v>19837.25</v>
      </c>
      <c r="V43" s="2" t="n">
        <v>1491.1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11717.88</v>
      </c>
      <c r="AP43" s="2" t="n">
        <v>857.141222222222</v>
      </c>
      <c r="AQ43" s="2" t="n">
        <v>10849.88888888889</v>
      </c>
      <c r="AR43" s="2" t="n">
        <v>490.81</v>
      </c>
      <c r="AS43" s="2" t="n">
        <v>10490.64</v>
      </c>
      <c r="AT43" s="2" t="n">
        <v>736.4299999999999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53616.43</v>
      </c>
      <c r="BB43" s="2" t="n">
        <v>51457.16</v>
      </c>
      <c r="BC43" s="2">
        <f>F43+L43+R43+X43+AD43+AJ43+AP43+AV43+IF(BE43="",0,BE43)</f>
        <v/>
      </c>
      <c r="BD43" s="2" t="n">
        <v>792.4402640000001</v>
      </c>
      <c r="BE43" s="2" t="n"/>
      <c r="BF43" s="2" t="n">
        <v>49644.84259259258</v>
      </c>
      <c r="BG43" s="2" t="n">
        <v>760.5599999999999</v>
      </c>
      <c r="BH43" s="2" t="n">
        <v>260</v>
      </c>
      <c r="BI43" s="2" t="n">
        <v>14562.02</v>
      </c>
      <c r="BJ43" s="2" t="n">
        <v>58.77173913043478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694.67166</v>
      </c>
      <c r="BQ43" s="2" t="n">
        <v>25.51304347826087</v>
      </c>
      <c r="BR43" s="2" t="n">
        <v>16386.5364426087</v>
      </c>
      <c r="BS43" s="2" t="n">
        <v>855.0899130434782</v>
      </c>
      <c r="BT43" s="2" t="n">
        <v>0</v>
      </c>
      <c r="BU43" s="2" t="n">
        <v>3309.390939130435</v>
      </c>
      <c r="BV43" s="2" t="n">
        <v>4164.480852173913</v>
      </c>
      <c r="BW43" s="2" t="n">
        <v>20551.01729478261</v>
      </c>
      <c r="BX43" s="2" t="n">
        <v>47644.75</v>
      </c>
      <c r="BY43" s="2" t="n">
        <v>3812.41</v>
      </c>
      <c r="BZ43" s="2" t="n">
        <v>2159.27</v>
      </c>
      <c r="CA43" s="2" t="n">
        <v>51457.16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1211</v>
      </c>
      <c r="B44" t="inlineStr">
        <is>
          <t>Kolejowa, 59-300 Lubin</t>
        </is>
      </c>
      <c r="C44" t="inlineStr">
        <is>
          <t>Lubin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23642.21</v>
      </c>
      <c r="R44" s="2" t="n">
        <v>1600</v>
      </c>
      <c r="S44" s="2" t="n">
        <v>21890.93518518518</v>
      </c>
      <c r="T44" s="2" t="n">
        <v>9581.01</v>
      </c>
      <c r="U44" s="2" t="n">
        <v>12808.92</v>
      </c>
      <c r="V44" s="2" t="n">
        <v>1252.28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23642.21</v>
      </c>
      <c r="BB44" s="2" t="n">
        <v>14061.2</v>
      </c>
      <c r="BC44" s="2">
        <f>F44+L44+R44+X44+AD44+AJ44+AP44+AV44+IF(BE44="",0,BE44)</f>
        <v/>
      </c>
      <c r="BD44" s="2" t="n">
        <v>216.54248</v>
      </c>
      <c r="BE44" s="2" t="n"/>
      <c r="BF44" s="2" t="n">
        <v>21890.93518518518</v>
      </c>
      <c r="BG44" s="2" t="n">
        <v>0</v>
      </c>
      <c r="BH44" s="2" t="n">
        <v>0</v>
      </c>
      <c r="BI44" s="2" t="n">
        <v>14562.02</v>
      </c>
      <c r="BJ44" s="2" t="n">
        <v>58.77173913043478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189.8262</v>
      </c>
      <c r="BQ44" s="2" t="n">
        <v>25.51304347826087</v>
      </c>
      <c r="BR44" s="2" t="n">
        <v>14861.13098260869</v>
      </c>
      <c r="BS44" s="2" t="n">
        <v>855.0899130434782</v>
      </c>
      <c r="BT44" s="2" t="n">
        <v>0</v>
      </c>
      <c r="BU44" s="2" t="n">
        <v>3105.278939130435</v>
      </c>
      <c r="BV44" s="2" t="n">
        <v>3960.368852173914</v>
      </c>
      <c r="BW44" s="2" t="n">
        <v>18821.49983478261</v>
      </c>
      <c r="BX44" s="2" t="n">
        <v>12808.92</v>
      </c>
      <c r="BY44" s="2" t="n">
        <v>1252.28</v>
      </c>
      <c r="BZ44" s="2" t="n">
        <v>9581.01</v>
      </c>
      <c r="CA44" s="2" t="n">
        <v>14061.2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1212</v>
      </c>
      <c r="B45" t="inlineStr">
        <is>
          <t>Armii Krajowej 26C, 58-302 Wałbrzych</t>
        </is>
      </c>
      <c r="C45" t="inlineStr">
        <is>
          <t>Wałbrzych Miasto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1166.07</v>
      </c>
      <c r="L45" s="2" t="n">
        <v>97.06453055555555</v>
      </c>
      <c r="M45" s="2" t="n">
        <v>1079.694444444444</v>
      </c>
      <c r="N45" s="2" t="n">
        <v>484.65</v>
      </c>
      <c r="O45" s="2" t="n">
        <v>646.42</v>
      </c>
      <c r="P45" s="2" t="n">
        <v>35</v>
      </c>
      <c r="Q45" s="2" t="n">
        <v>8759.139999999999</v>
      </c>
      <c r="R45" s="2" t="n">
        <v>1600</v>
      </c>
      <c r="S45" s="2" t="n">
        <v>8110.314814814814</v>
      </c>
      <c r="T45" s="2" t="n">
        <v>1480.12</v>
      </c>
      <c r="U45" s="2" t="n">
        <v>7115.61</v>
      </c>
      <c r="V45" s="2" t="n">
        <v>163.41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154.46</v>
      </c>
      <c r="AP45" s="2" t="n">
        <v>11.29846296296296</v>
      </c>
      <c r="AQ45" s="2" t="n">
        <v>143.0185185185185</v>
      </c>
      <c r="AR45" s="2" t="n">
        <v>40.7</v>
      </c>
      <c r="AS45" s="2" t="n">
        <v>113.76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10079.67</v>
      </c>
      <c r="BB45" s="2" t="n">
        <v>8074.2</v>
      </c>
      <c r="BC45" s="2">
        <f>F45+L45+R45+X45+AD45+AJ45+AP45+AV45+IF(BE45="",0,BE45)</f>
        <v/>
      </c>
      <c r="BD45" s="2" t="n">
        <v>124.34268</v>
      </c>
      <c r="BE45" s="2" t="n"/>
      <c r="BF45" s="2" t="n">
        <v>9333.027777777777</v>
      </c>
      <c r="BG45" s="2" t="n">
        <v>573.92</v>
      </c>
      <c r="BH45" s="2" t="n">
        <v>108.9</v>
      </c>
      <c r="BI45" s="2" t="n">
        <v>14562.02</v>
      </c>
      <c r="BJ45" s="2" t="n">
        <v>58.77173913043478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109.0017</v>
      </c>
      <c r="BQ45" s="2" t="n">
        <v>25.51304347826087</v>
      </c>
      <c r="BR45" s="2" t="n">
        <v>15463.1264826087</v>
      </c>
      <c r="BS45" s="2" t="n">
        <v>855.0899130434782</v>
      </c>
      <c r="BT45" s="2" t="n">
        <v>0</v>
      </c>
      <c r="BU45" s="2" t="n">
        <v>3241.842939130435</v>
      </c>
      <c r="BV45" s="2" t="n">
        <v>4096.932852173913</v>
      </c>
      <c r="BW45" s="2" t="n">
        <v>19560.05933478261</v>
      </c>
      <c r="BX45" s="2" t="n">
        <v>7875.79</v>
      </c>
      <c r="BY45" s="2" t="n">
        <v>198.41</v>
      </c>
      <c r="BZ45" s="2" t="n">
        <v>2005.47</v>
      </c>
      <c r="CA45" s="2" t="n">
        <v>8074.2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1213</v>
      </c>
      <c r="B46" t="inlineStr">
        <is>
          <t>Plac 1000-Lecia 1, 67-200 Głogów</t>
        </is>
      </c>
      <c r="C46" t="inlineStr">
        <is>
          <t>Głogów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3776.59</v>
      </c>
      <c r="L46" s="2" t="n">
        <v>314.3661490740741</v>
      </c>
      <c r="M46" s="2" t="n">
        <v>3496.842592592592</v>
      </c>
      <c r="N46" s="2" t="n">
        <v>1739.43</v>
      </c>
      <c r="O46" s="2" t="n">
        <v>1880.19</v>
      </c>
      <c r="P46" s="2" t="n">
        <v>156.97</v>
      </c>
      <c r="Q46" s="2" t="n">
        <v>22462.55</v>
      </c>
      <c r="R46" s="2" t="n">
        <v>1600</v>
      </c>
      <c r="S46" s="2" t="n">
        <v>20798.65740740741</v>
      </c>
      <c r="T46" s="2" t="n">
        <v>6979.16</v>
      </c>
      <c r="U46" s="2" t="n">
        <v>14562.87</v>
      </c>
      <c r="V46" s="2" t="n">
        <v>920.52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3603.09</v>
      </c>
      <c r="AP46" s="2" t="n">
        <v>263.5593611111111</v>
      </c>
      <c r="AQ46" s="2" t="n">
        <v>3336.194444444444</v>
      </c>
      <c r="AR46" s="2" t="n">
        <v>1517.97</v>
      </c>
      <c r="AS46" s="2" t="n">
        <v>1994.45</v>
      </c>
      <c r="AT46" s="2" t="n">
        <v>90.67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29842.23</v>
      </c>
      <c r="BB46" s="2" t="n">
        <v>19605.67</v>
      </c>
      <c r="BC46" s="2">
        <f>F46+L46+R46+X46+AD46+AJ46+AP46+AV46+IF(BE46="",0,BE46)</f>
        <v/>
      </c>
      <c r="BD46" s="2" t="n">
        <v>301.927318</v>
      </c>
      <c r="BE46" s="2" t="n"/>
      <c r="BF46" s="2" t="n">
        <v>27631.69444444444</v>
      </c>
      <c r="BG46" s="2" t="n">
        <v>573.92</v>
      </c>
      <c r="BH46" s="2" t="n">
        <v>115.2</v>
      </c>
      <c r="BI46" s="2" t="n">
        <v>14562.02</v>
      </c>
      <c r="BJ46" s="2" t="n">
        <v>58.77173913043478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264.676545</v>
      </c>
      <c r="BQ46" s="2" t="n">
        <v>25.51304347826087</v>
      </c>
      <c r="BR46" s="2" t="n">
        <v>15625.1013276087</v>
      </c>
      <c r="BS46" s="2" t="n">
        <v>855.0899130434782</v>
      </c>
      <c r="BT46" s="2" t="n">
        <v>0</v>
      </c>
      <c r="BU46" s="2" t="n">
        <v>3243.102939130435</v>
      </c>
      <c r="BV46" s="2" t="n">
        <v>4098.192852173914</v>
      </c>
      <c r="BW46" s="2" t="n">
        <v>19723.29417978261</v>
      </c>
      <c r="BX46" s="2" t="n">
        <v>18437.51</v>
      </c>
      <c r="BY46" s="2" t="n">
        <v>1168.16</v>
      </c>
      <c r="BZ46" s="2" t="n">
        <v>10236.56</v>
      </c>
      <c r="CA46" s="2" t="n">
        <v>19605.67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1214</v>
      </c>
      <c r="B47" t="inlineStr">
        <is>
          <t>Dworcowa 72A, 69-110 Rzepin</t>
        </is>
      </c>
      <c r="C47" t="inlineStr">
        <is>
          <t>Rzepin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5670.02</v>
      </c>
      <c r="L47" s="2" t="n">
        <v>471.9766648148149</v>
      </c>
      <c r="M47" s="2" t="n">
        <v>5250.018518518518</v>
      </c>
      <c r="N47" s="2" t="n">
        <v>2278.86</v>
      </c>
      <c r="O47" s="2" t="n">
        <v>3259.16</v>
      </c>
      <c r="P47" s="2" t="n">
        <v>132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5670.02</v>
      </c>
      <c r="BB47" s="2" t="n">
        <v>3391.16</v>
      </c>
      <c r="BC47" s="2">
        <f>F47+L47+R47+X47+AD47+AJ47+AP47+AV47+IF(BE47="",0,BE47)</f>
        <v/>
      </c>
      <c r="BD47" s="2" t="n">
        <v>52.223864</v>
      </c>
      <c r="BE47" s="2" t="n"/>
      <c r="BF47" s="2" t="n">
        <v>5250.018518518518</v>
      </c>
      <c r="BG47" s="2" t="n">
        <v>430.45</v>
      </c>
      <c r="BH47" s="2" t="n">
        <v>0</v>
      </c>
      <c r="BI47" s="2" t="n">
        <v>14562.02</v>
      </c>
      <c r="BJ47" s="2" t="n">
        <v>58.77173913043478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45.78066</v>
      </c>
      <c r="BQ47" s="2" t="n">
        <v>25.51304347826087</v>
      </c>
      <c r="BR47" s="2" t="n">
        <v>15147.5354426087</v>
      </c>
      <c r="BS47" s="2" t="n">
        <v>855.0899130434782</v>
      </c>
      <c r="BT47" s="2" t="n">
        <v>0</v>
      </c>
      <c r="BU47" s="2" t="n">
        <v>3191.368939130435</v>
      </c>
      <c r="BV47" s="2" t="n">
        <v>4046.458852173913</v>
      </c>
      <c r="BW47" s="2" t="n">
        <v>19193.99429478261</v>
      </c>
      <c r="BX47" s="2" t="n">
        <v>3259.16</v>
      </c>
      <c r="BY47" s="2" t="n">
        <v>132</v>
      </c>
      <c r="BZ47" s="2" t="n">
        <v>2278.86</v>
      </c>
      <c r="CA47" s="2" t="n">
        <v>3391.16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1217</v>
      </c>
      <c r="B48" t="inlineStr">
        <is>
          <t>pl. Marii i Lecha Kaczyńskiego 2, 40-098 Katowice</t>
        </is>
      </c>
      <c r="C48" t="inlineStr">
        <is>
          <t>Katowice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12161.79</v>
      </c>
      <c r="L48" s="2" t="n">
        <v>1012.356408333333</v>
      </c>
      <c r="M48" s="2" t="n">
        <v>11260.91666666666</v>
      </c>
      <c r="N48" s="2" t="n">
        <v>2518.27</v>
      </c>
      <c r="O48" s="2" t="n">
        <v>9451.379999999999</v>
      </c>
      <c r="P48" s="2" t="n">
        <v>192.14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10746.1</v>
      </c>
      <c r="AP48" s="2" t="n">
        <v>786.0573148148148</v>
      </c>
      <c r="AQ48" s="2" t="n">
        <v>9950.092592592593</v>
      </c>
      <c r="AR48" s="2" t="n">
        <v>1115.12</v>
      </c>
      <c r="AS48" s="2" t="n">
        <v>9269.700000000001</v>
      </c>
      <c r="AT48" s="2" t="n">
        <v>361.28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22907.89</v>
      </c>
      <c r="BB48" s="2" t="n">
        <v>19274.5</v>
      </c>
      <c r="BC48" s="2">
        <f>F48+L48+R48+X48+AD48+AJ48+AP48+AV48+IF(BE48="",0,BE48)</f>
        <v/>
      </c>
      <c r="BD48" s="2" t="n">
        <v>296.8273</v>
      </c>
      <c r="BE48" s="2" t="n"/>
      <c r="BF48" s="2" t="n">
        <v>21211.00925925926</v>
      </c>
      <c r="BG48" s="2" t="n">
        <v>775</v>
      </c>
      <c r="BH48" s="2" t="n">
        <v>540</v>
      </c>
      <c r="BI48" s="2" t="n">
        <v>14562.02</v>
      </c>
      <c r="BJ48" s="2" t="n">
        <v>58.77173913043478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260.20575</v>
      </c>
      <c r="BQ48" s="2" t="n">
        <v>25.51304347826087</v>
      </c>
      <c r="BR48" s="2" t="n">
        <v>16246.51053260869</v>
      </c>
      <c r="BS48" s="2" t="n">
        <v>855.0899130434782</v>
      </c>
      <c r="BT48" s="2" t="n">
        <v>0</v>
      </c>
      <c r="BU48" s="2" t="n">
        <v>3368.278939130435</v>
      </c>
      <c r="BV48" s="2" t="n">
        <v>4223.368852173913</v>
      </c>
      <c r="BW48" s="2" t="n">
        <v>20469.87938478261</v>
      </c>
      <c r="BX48" s="2" t="n">
        <v>18721.08</v>
      </c>
      <c r="BY48" s="2" t="n">
        <v>553.42</v>
      </c>
      <c r="BZ48" s="2" t="n">
        <v>3633.39</v>
      </c>
      <c r="CA48" s="2" t="n">
        <v>19274.5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1219</v>
      </c>
      <c r="B49" t="inlineStr">
        <is>
          <t>Armii Krajowej 3, 75-200 Koszalin</t>
        </is>
      </c>
      <c r="C49" t="inlineStr">
        <is>
          <t>Koszalin</t>
        </is>
      </c>
      <c r="D49" t="inlineStr">
        <is>
          <t>FAA2000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2540.29</v>
      </c>
      <c r="L49" s="2" t="n">
        <v>211.4556212962963</v>
      </c>
      <c r="M49" s="2" t="n">
        <v>2352.12037037037</v>
      </c>
      <c r="N49" s="2" t="n">
        <v>891.29</v>
      </c>
      <c r="O49" s="2" t="n">
        <v>1521.77</v>
      </c>
      <c r="P49" s="2" t="n">
        <v>127.23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4836.21</v>
      </c>
      <c r="AP49" s="2" t="n">
        <v>353.7598055555555</v>
      </c>
      <c r="AQ49" s="2" t="n">
        <v>4477.972222222222</v>
      </c>
      <c r="AR49" s="2" t="n">
        <v>1084.53</v>
      </c>
      <c r="AS49" s="2" t="n">
        <v>3329.84</v>
      </c>
      <c r="AT49" s="2" t="n">
        <v>421.84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7376.5</v>
      </c>
      <c r="BB49" s="2" t="n">
        <v>5400.68</v>
      </c>
      <c r="BC49" s="2">
        <f>F49+L49+R49+X49+AD49+AJ49+AP49+AV49+IF(BE49="",0,BE49)</f>
        <v/>
      </c>
      <c r="BD49" s="2" t="n">
        <v>83.170472</v>
      </c>
      <c r="BE49" s="2" t="n"/>
      <c r="BF49" s="2" t="n">
        <v>6830.092592592591</v>
      </c>
      <c r="BG49" s="2" t="n">
        <v>0</v>
      </c>
      <c r="BH49" s="2" t="n">
        <v>0</v>
      </c>
      <c r="BI49" s="2" t="n">
        <v>14562.02</v>
      </c>
      <c r="BJ49" s="2" t="n">
        <v>58.77173913043478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72.90917999999999</v>
      </c>
      <c r="BQ49" s="2" t="n">
        <v>25.51304347826087</v>
      </c>
      <c r="BR49" s="2" t="n">
        <v>14744.2139626087</v>
      </c>
      <c r="BS49" s="2" t="n">
        <v>855.0899130434782</v>
      </c>
      <c r="BT49" s="2" t="n">
        <v>0</v>
      </c>
      <c r="BU49" s="2" t="n">
        <v>3105.278939130435</v>
      </c>
      <c r="BV49" s="2" t="n">
        <v>3960.368852173914</v>
      </c>
      <c r="BW49" s="2" t="n">
        <v>18704.58281478261</v>
      </c>
      <c r="BX49" s="2" t="n">
        <v>4851.610000000001</v>
      </c>
      <c r="BY49" s="2" t="n">
        <v>549.0699999999999</v>
      </c>
      <c r="BZ49" s="2" t="n">
        <v>1975.82</v>
      </c>
      <c r="CA49" s="2" t="n">
        <v>5400.68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1220</v>
      </c>
      <c r="B50" t="inlineStr">
        <is>
          <t>Kotłątaja 32, 76-200 Słupsk</t>
        </is>
      </c>
      <c r="C50" t="inlineStr">
        <is>
          <t>Słupsk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1796.49</v>
      </c>
      <c r="L50" s="2" t="n">
        <v>149.5411583333333</v>
      </c>
      <c r="M50" s="2" t="n">
        <v>1663.416666666667</v>
      </c>
      <c r="N50" s="2" t="n">
        <v>924.9</v>
      </c>
      <c r="O50" s="2" t="n">
        <v>770.59</v>
      </c>
      <c r="P50" s="2" t="n">
        <v>101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4368.870000000001</v>
      </c>
      <c r="AP50" s="2" t="n">
        <v>4144</v>
      </c>
      <c r="AQ50" s="2" t="n">
        <v>4045.25</v>
      </c>
      <c r="AR50" s="2" t="n">
        <v>2258.56</v>
      </c>
      <c r="AS50" s="2" t="n">
        <v>1845.21</v>
      </c>
      <c r="AT50" s="2" t="n">
        <v>265.1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6165.360000000001</v>
      </c>
      <c r="BB50" s="2" t="n">
        <v>2981.9</v>
      </c>
      <c r="BC50" s="2">
        <f>F50+L50+R50+X50+AD50+AJ50+AP50+AV50+IF(BE50="",0,BE50)</f>
        <v/>
      </c>
      <c r="BD50" s="2" t="n">
        <v>45.92126</v>
      </c>
      <c r="BE50" s="2" t="n"/>
      <c r="BF50" s="2" t="n">
        <v>5708.666666666667</v>
      </c>
      <c r="BG50" s="2" t="n">
        <v>0</v>
      </c>
      <c r="BH50" s="2" t="n">
        <v>0</v>
      </c>
      <c r="BI50" s="2" t="n">
        <v>14562.02</v>
      </c>
      <c r="BJ50" s="2" t="n">
        <v>58.77173913043478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40.25565</v>
      </c>
      <c r="BQ50" s="2" t="n">
        <v>25.51304347826087</v>
      </c>
      <c r="BR50" s="2" t="n">
        <v>14711.56043260869</v>
      </c>
      <c r="BS50" s="2" t="n">
        <v>855.0899130434782</v>
      </c>
      <c r="BT50" s="2" t="n">
        <v>0</v>
      </c>
      <c r="BU50" s="2" t="n">
        <v>3105.278939130435</v>
      </c>
      <c r="BV50" s="2" t="n">
        <v>3960.368852173914</v>
      </c>
      <c r="BW50" s="2" t="n">
        <v>18671.92928478261</v>
      </c>
      <c r="BX50" s="2" t="n">
        <v>2615.8</v>
      </c>
      <c r="BY50" s="2" t="n">
        <v>366.1</v>
      </c>
      <c r="BZ50" s="2" t="n">
        <v>3183.46</v>
      </c>
      <c r="CA50" s="2" t="n">
        <v>2981.9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1221</v>
      </c>
      <c r="B51" t="inlineStr">
        <is>
          <t>Dworcowa 2, 58-100 Świdnica</t>
        </is>
      </c>
      <c r="C51" t="inlineStr">
        <is>
          <t>Świdnica</t>
        </is>
      </c>
      <c r="D51" t="inlineStr">
        <is>
          <t>ST|40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26521.71</v>
      </c>
      <c r="R51" s="2" t="n">
        <v>1600</v>
      </c>
      <c r="S51" s="2" t="n">
        <v>24557.13888888889</v>
      </c>
      <c r="T51" s="2" t="n">
        <v>2951.86</v>
      </c>
      <c r="U51" s="2" t="n">
        <v>22111.81</v>
      </c>
      <c r="V51" s="2" t="n">
        <v>1458.04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26521.71</v>
      </c>
      <c r="BB51" s="2" t="n">
        <v>23569.85</v>
      </c>
      <c r="BC51" s="2">
        <f>F51+L51+R51+X51+AD51+AJ51+AP51+AV51+IF(BE51="",0,BE51)</f>
        <v/>
      </c>
      <c r="BD51" s="2" t="n">
        <v>362.97569</v>
      </c>
      <c r="BE51" s="2" t="n"/>
      <c r="BF51" s="2" t="n">
        <v>24557.13888888889</v>
      </c>
      <c r="BG51" s="2" t="n">
        <v>200</v>
      </c>
      <c r="BH51" s="2" t="n">
        <v>0</v>
      </c>
      <c r="BI51" s="2" t="n">
        <v>14562.02</v>
      </c>
      <c r="BJ51" s="2" t="n">
        <v>58.77173913043478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318.192975</v>
      </c>
      <c r="BQ51" s="2" t="n">
        <v>25.51304347826087</v>
      </c>
      <c r="BR51" s="2" t="n">
        <v>15189.49775760869</v>
      </c>
      <c r="BS51" s="2" t="n">
        <v>855.0899130434782</v>
      </c>
      <c r="BT51" s="2" t="n">
        <v>0</v>
      </c>
      <c r="BU51" s="2" t="n">
        <v>3145.278939130435</v>
      </c>
      <c r="BV51" s="2" t="n">
        <v>4000.368852173914</v>
      </c>
      <c r="BW51" s="2" t="n">
        <v>19189.86660978261</v>
      </c>
      <c r="BX51" s="2" t="n">
        <v>22111.81</v>
      </c>
      <c r="BY51" s="2" t="n">
        <v>1458.04</v>
      </c>
      <c r="BZ51" s="2" t="n">
        <v>2951.86</v>
      </c>
      <c r="CA51" s="2" t="n">
        <v>23569.85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1222</v>
      </c>
      <c r="B52" t="inlineStr">
        <is>
          <t>Dworcowa 33, 83-400 Kościerzyna</t>
        </is>
      </c>
      <c r="C52" t="inlineStr">
        <is>
          <t>Kościerzyna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640.9100000000001</v>
      </c>
      <c r="AP52" s="2" t="n">
        <v>4050</v>
      </c>
      <c r="AQ52" s="2" t="n">
        <v>593.4351851851852</v>
      </c>
      <c r="AR52" s="2" t="n">
        <v>0</v>
      </c>
      <c r="AS52" s="2" t="n">
        <v>556.4400000000001</v>
      </c>
      <c r="AT52" s="2" t="n">
        <v>84.47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640.9100000000001</v>
      </c>
      <c r="BB52" s="2" t="n">
        <v>640.9100000000001</v>
      </c>
      <c r="BC52" s="2">
        <f>F52+L52+R52+X52+AD52+AJ52+AP52+AV52+IF(BE52="",0,BE52)</f>
        <v/>
      </c>
      <c r="BD52" s="2" t="n">
        <v>9.870014000000001</v>
      </c>
      <c r="BE52" s="2" t="n"/>
      <c r="BF52" s="2" t="n">
        <v>593.4351851851852</v>
      </c>
      <c r="BG52" s="2" t="n">
        <v>0</v>
      </c>
      <c r="BH52" s="2" t="n">
        <v>0</v>
      </c>
      <c r="BI52" s="2" t="n">
        <v>14562.02</v>
      </c>
      <c r="BJ52" s="2" t="n">
        <v>58.77173913043478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8.652285000000001</v>
      </c>
      <c r="BQ52" s="2" t="n">
        <v>25.51304347826087</v>
      </c>
      <c r="BR52" s="2" t="n">
        <v>14679.9570676087</v>
      </c>
      <c r="BS52" s="2" t="n">
        <v>855.0899130434782</v>
      </c>
      <c r="BT52" s="2" t="n">
        <v>0</v>
      </c>
      <c r="BU52" s="2" t="n">
        <v>3105.278939130435</v>
      </c>
      <c r="BV52" s="2" t="n">
        <v>3960.368852173914</v>
      </c>
      <c r="BW52" s="2" t="n">
        <v>18640.32591978261</v>
      </c>
      <c r="BX52" s="2" t="n">
        <v>556.4400000000001</v>
      </c>
      <c r="BY52" s="2" t="n">
        <v>84.47</v>
      </c>
      <c r="BZ52" s="2" t="n">
        <v>0</v>
      </c>
      <c r="CA52" s="2" t="n">
        <v>640.9100000000001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1223</v>
      </c>
      <c r="B53" t="inlineStr">
        <is>
          <t>Dworcowa 17, 82-200 Malbork</t>
        </is>
      </c>
      <c r="C53" t="inlineStr">
        <is>
          <t>Malbork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5781.77</v>
      </c>
      <c r="L53" s="2" t="n">
        <v>481.2788175925926</v>
      </c>
      <c r="M53" s="2" t="n">
        <v>5353.490740740741</v>
      </c>
      <c r="N53" s="2" t="n">
        <v>659.09</v>
      </c>
      <c r="O53" s="2" t="n">
        <v>4911.75</v>
      </c>
      <c r="P53" s="2" t="n">
        <v>210.93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15524.7</v>
      </c>
      <c r="AP53" s="2" t="n">
        <v>1135.603055555556</v>
      </c>
      <c r="AQ53" s="2" t="n">
        <v>14374.72222222222</v>
      </c>
      <c r="AR53" s="2" t="n">
        <v>3998.17</v>
      </c>
      <c r="AS53" s="2" t="n">
        <v>10741.03</v>
      </c>
      <c r="AT53" s="2" t="n">
        <v>785.5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21306.47</v>
      </c>
      <c r="BB53" s="2" t="n">
        <v>16649.21</v>
      </c>
      <c r="BC53" s="2">
        <f>F53+L53+R53+X53+AD53+AJ53+AP53+AV53+IF(BE53="",0,BE53)</f>
        <v/>
      </c>
      <c r="BD53" s="2" t="n">
        <v>256.397834</v>
      </c>
      <c r="BE53" s="2" t="n"/>
      <c r="BF53" s="2" t="n">
        <v>19728.21296296296</v>
      </c>
      <c r="BG53" s="2" t="n">
        <v>1380</v>
      </c>
      <c r="BH53" s="2" t="n">
        <v>107</v>
      </c>
      <c r="BI53" s="2" t="n">
        <v>14562.02</v>
      </c>
      <c r="BJ53" s="2" t="n">
        <v>58.77173913043478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224.764335</v>
      </c>
      <c r="BQ53" s="2" t="n">
        <v>25.51304347826087</v>
      </c>
      <c r="BR53" s="2" t="n">
        <v>16383.06911760869</v>
      </c>
      <c r="BS53" s="2" t="n">
        <v>855.0899130434782</v>
      </c>
      <c r="BT53" s="2" t="n">
        <v>0</v>
      </c>
      <c r="BU53" s="2" t="n">
        <v>3402.678939130436</v>
      </c>
      <c r="BV53" s="2" t="n">
        <v>4257.768852173914</v>
      </c>
      <c r="BW53" s="2" t="n">
        <v>20640.83796978261</v>
      </c>
      <c r="BX53" s="2" t="n">
        <v>15652.78</v>
      </c>
      <c r="BY53" s="2" t="n">
        <v>996.4300000000001</v>
      </c>
      <c r="BZ53" s="2" t="n">
        <v>4657.26</v>
      </c>
      <c r="CA53" s="2" t="n">
        <v>16649.21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1224</v>
      </c>
      <c r="B54" t="inlineStr">
        <is>
          <t>Kuznica</t>
        </is>
      </c>
      <c r="C54" t="inlineStr">
        <is>
          <t>Kuźnica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900.42</v>
      </c>
      <c r="AP54" s="2" t="n">
        <v>4052</v>
      </c>
      <c r="AQ54" s="2" t="n">
        <v>833.7222222222222</v>
      </c>
      <c r="AR54" s="2" t="n">
        <v>0</v>
      </c>
      <c r="AS54" s="2" t="n">
        <v>710.4299999999999</v>
      </c>
      <c r="AT54" s="2" t="n">
        <v>189.99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900.42</v>
      </c>
      <c r="BB54" s="2" t="n">
        <v>900.42</v>
      </c>
      <c r="BC54" s="2">
        <f>F54+L54+R54+X54+AD54+AJ54+AP54+AV54+IF(BE54="",0,BE54)</f>
        <v/>
      </c>
      <c r="BD54" s="2" t="n">
        <v>13.866468</v>
      </c>
      <c r="BE54" s="2" t="n"/>
      <c r="BF54" s="2" t="n">
        <v>833.7222222222222</v>
      </c>
      <c r="BG54" s="2" t="n">
        <v>456.34</v>
      </c>
      <c r="BH54" s="2" t="n">
        <v>123</v>
      </c>
      <c r="BI54" s="2" t="n">
        <v>14562.02</v>
      </c>
      <c r="BJ54" s="2" t="n">
        <v>58.77173913043478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12.15567</v>
      </c>
      <c r="BQ54" s="2" t="n">
        <v>25.51304347826087</v>
      </c>
      <c r="BR54" s="2" t="n">
        <v>15262.8004526087</v>
      </c>
      <c r="BS54" s="2" t="n">
        <v>855.0899130434782</v>
      </c>
      <c r="BT54" s="2" t="n">
        <v>0</v>
      </c>
      <c r="BU54" s="2" t="n">
        <v>3221.146939130435</v>
      </c>
      <c r="BV54" s="2" t="n">
        <v>4076.236852173914</v>
      </c>
      <c r="BW54" s="2" t="n">
        <v>19339.03730478261</v>
      </c>
      <c r="BX54" s="2" t="n">
        <v>710.4299999999999</v>
      </c>
      <c r="BY54" s="2" t="n">
        <v>189.99</v>
      </c>
      <c r="BZ54" s="2" t="n">
        <v>0</v>
      </c>
      <c r="CA54" s="2" t="n">
        <v>900.42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1225</v>
      </c>
      <c r="B55" t="inlineStr">
        <is>
          <t>Plac Legionów 2, 37-700 Przemyśl</t>
        </is>
      </c>
      <c r="C55" t="inlineStr">
        <is>
          <t>Przemyśl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14747.84</v>
      </c>
      <c r="L55" s="2" t="n">
        <v>1227.621125925926</v>
      </c>
      <c r="M55" s="2" t="n">
        <v>13655.40740740741</v>
      </c>
      <c r="N55" s="2" t="n">
        <v>1899.97</v>
      </c>
      <c r="O55" s="2" t="n">
        <v>12843.87</v>
      </c>
      <c r="P55" s="2" t="n">
        <v>4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4098.53</v>
      </c>
      <c r="AP55" s="2" t="n">
        <v>299.7998796296296</v>
      </c>
      <c r="AQ55" s="2" t="n">
        <v>3794.935185185185</v>
      </c>
      <c r="AR55" s="2" t="n">
        <v>734.5599999999999</v>
      </c>
      <c r="AS55" s="2" t="n">
        <v>3261.68</v>
      </c>
      <c r="AT55" s="2" t="n">
        <v>102.29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18846.37</v>
      </c>
      <c r="BB55" s="2" t="n">
        <v>16211.84</v>
      </c>
      <c r="BC55" s="2">
        <f>F55+L55+R55+X55+AD55+AJ55+AP55+AV55+IF(BE55="",0,BE55)</f>
        <v/>
      </c>
      <c r="BD55" s="2" t="n">
        <v>249.662336</v>
      </c>
      <c r="BE55" s="2" t="n"/>
      <c r="BF55" s="2" t="n">
        <v>17450.34259259259</v>
      </c>
      <c r="BG55" s="2" t="n">
        <v>456.34</v>
      </c>
      <c r="BH55" s="2" t="n">
        <v>129</v>
      </c>
      <c r="BI55" s="2" t="n">
        <v>14562.02</v>
      </c>
      <c r="BJ55" s="2" t="n">
        <v>58.77173913043478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218.85984</v>
      </c>
      <c r="BQ55" s="2" t="n">
        <v>25.51304347826087</v>
      </c>
      <c r="BR55" s="2" t="n">
        <v>15475.50462260869</v>
      </c>
      <c r="BS55" s="2" t="n">
        <v>855.0899130434782</v>
      </c>
      <c r="BT55" s="2" t="n">
        <v>0</v>
      </c>
      <c r="BU55" s="2" t="n">
        <v>3222.346939130435</v>
      </c>
      <c r="BV55" s="2" t="n">
        <v>4077.436852173913</v>
      </c>
      <c r="BW55" s="2" t="n">
        <v>19552.94147478261</v>
      </c>
      <c r="BX55" s="2" t="n">
        <v>16105.55</v>
      </c>
      <c r="BY55" s="2" t="n">
        <v>106.29</v>
      </c>
      <c r="BZ55" s="2" t="n">
        <v>2634.53</v>
      </c>
      <c r="CA55" s="2" t="n">
        <v>16211.84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1226</v>
      </c>
      <c r="B56" t="inlineStr">
        <is>
          <t>Plac Dworcowy 3, 33-100 Tarnów</t>
        </is>
      </c>
      <c r="C56" t="inlineStr">
        <is>
          <t>Tarnów</t>
        </is>
      </c>
      <c r="D56" t="inlineStr">
        <is>
          <t>FAA2000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5727</v>
      </c>
      <c r="L56" s="2" t="n">
        <v>476.7197222222222</v>
      </c>
      <c r="M56" s="2" t="n">
        <v>5302.777777777777</v>
      </c>
      <c r="N56" s="2" t="n">
        <v>951.4400000000001</v>
      </c>
      <c r="O56" s="2" t="n">
        <v>4564.96</v>
      </c>
      <c r="P56" s="2" t="n">
        <v>210.6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7859.62</v>
      </c>
      <c r="AP56" s="2" t="n">
        <v>574.9166481481481</v>
      </c>
      <c r="AQ56" s="2" t="n">
        <v>7277.425925925925</v>
      </c>
      <c r="AR56" s="2" t="n">
        <v>1397.97</v>
      </c>
      <c r="AS56" s="2" t="n">
        <v>6262.57</v>
      </c>
      <c r="AT56" s="2" t="n">
        <v>199.08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13586.62</v>
      </c>
      <c r="BB56" s="2" t="n">
        <v>11237.21</v>
      </c>
      <c r="BC56" s="2">
        <f>F56+L56+R56+X56+AD56+AJ56+AP56+AV56+IF(BE56="",0,BE56)</f>
        <v/>
      </c>
      <c r="BD56" s="2" t="n">
        <v>173.053034</v>
      </c>
      <c r="BE56" s="2" t="n"/>
      <c r="BF56" s="2" t="n">
        <v>12580.2037037037</v>
      </c>
      <c r="BG56" s="2" t="n">
        <v>456.34</v>
      </c>
      <c r="BH56" s="2" t="n">
        <v>131</v>
      </c>
      <c r="BI56" s="2" t="n">
        <v>14562.02</v>
      </c>
      <c r="BJ56" s="2" t="n">
        <v>58.77173913043478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151.702335</v>
      </c>
      <c r="BQ56" s="2" t="n">
        <v>25.51304347826087</v>
      </c>
      <c r="BR56" s="2" t="n">
        <v>15410.3471176087</v>
      </c>
      <c r="BS56" s="2" t="n">
        <v>855.0899130434782</v>
      </c>
      <c r="BT56" s="2" t="n">
        <v>0</v>
      </c>
      <c r="BU56" s="2" t="n">
        <v>3222.746939130435</v>
      </c>
      <c r="BV56" s="2" t="n">
        <v>4077.836852173913</v>
      </c>
      <c r="BW56" s="2" t="n">
        <v>19488.18396978261</v>
      </c>
      <c r="BX56" s="2" t="n">
        <v>10827.53</v>
      </c>
      <c r="BY56" s="2" t="n">
        <v>409.68</v>
      </c>
      <c r="BZ56" s="2" t="n">
        <v>2349.41</v>
      </c>
      <c r="CA56" s="2" t="n">
        <v>11237.21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1230</v>
      </c>
      <c r="B57" t="inlineStr">
        <is>
          <t>Bohaterów Getta Warszawskiego 12, 44-100 Gliwice</t>
        </is>
      </c>
      <c r="C57" t="inlineStr">
        <is>
          <t>Gliwice</t>
        </is>
      </c>
      <c r="D57" t="inlineStr">
        <is>
          <t>ST|40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7922.32</v>
      </c>
      <c r="L57" s="2" t="n">
        <v>659.4597851851852</v>
      </c>
      <c r="M57" s="2" t="n">
        <v>7335.481481481481</v>
      </c>
      <c r="N57" s="2" t="n">
        <v>988.12</v>
      </c>
      <c r="O57" s="2" t="n">
        <v>6287.68</v>
      </c>
      <c r="P57" s="2" t="n">
        <v>646.52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7922.32</v>
      </c>
      <c r="BB57" s="2" t="n">
        <v>6934.200000000001</v>
      </c>
      <c r="BC57" s="2">
        <f>F57+L57+R57+X57+AD57+AJ57+AP57+AV57+IF(BE57="",0,BE57)</f>
        <v/>
      </c>
      <c r="BD57" s="2" t="n">
        <v>106.78668</v>
      </c>
      <c r="BE57" s="2" t="n"/>
      <c r="BF57" s="2" t="n">
        <v>7335.481481481481</v>
      </c>
      <c r="BG57" s="2" t="n">
        <v>500</v>
      </c>
      <c r="BH57" s="2" t="n">
        <v>109.6</v>
      </c>
      <c r="BI57" s="2" t="n">
        <v>14562.02</v>
      </c>
      <c r="BJ57" s="2" t="n">
        <v>58.77173913043478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93.61170000000001</v>
      </c>
      <c r="BQ57" s="2" t="n">
        <v>25.51304347826087</v>
      </c>
      <c r="BR57" s="2" t="n">
        <v>15374.51648260869</v>
      </c>
      <c r="BS57" s="2" t="n">
        <v>855.0899130434782</v>
      </c>
      <c r="BT57" s="2" t="n">
        <v>0</v>
      </c>
      <c r="BU57" s="2" t="n">
        <v>3227.198939130435</v>
      </c>
      <c r="BV57" s="2" t="n">
        <v>4082.288852173913</v>
      </c>
      <c r="BW57" s="2" t="n">
        <v>19456.80533478261</v>
      </c>
      <c r="BX57" s="2" t="n">
        <v>6287.68</v>
      </c>
      <c r="BY57" s="2" t="n">
        <v>646.52</v>
      </c>
      <c r="BZ57" s="2" t="n">
        <v>988.12</v>
      </c>
      <c r="CA57" s="2" t="n">
        <v>6934.200000000001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1232</v>
      </c>
      <c r="B58" t="inlineStr">
        <is>
          <t>Olawa Zachodnia</t>
        </is>
      </c>
      <c r="C58" t="inlineStr">
        <is>
          <t>Oława Zachodnia</t>
        </is>
      </c>
      <c r="D58" t="inlineStr">
        <is>
          <t>ST|40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55.23</v>
      </c>
      <c r="L58" s="2" t="n">
        <v>4.597386111111112</v>
      </c>
      <c r="M58" s="2" t="n">
        <v>51.13888888888889</v>
      </c>
      <c r="N58" s="2" t="n">
        <v>4</v>
      </c>
      <c r="O58" s="2" t="n">
        <v>39.82</v>
      </c>
      <c r="P58" s="2" t="n">
        <v>11.41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55.23</v>
      </c>
      <c r="BB58" s="2" t="n">
        <v>51.23</v>
      </c>
      <c r="BC58" s="2">
        <f>F58+L58+R58+X58+AD58+AJ58+AP58+AV58+IF(BE58="",0,BE58)</f>
        <v/>
      </c>
      <c r="BD58" s="2" t="n">
        <v>0.788942</v>
      </c>
      <c r="BE58" s="2" t="n"/>
      <c r="BF58" s="2" t="n">
        <v>51.13888888888889</v>
      </c>
      <c r="BG58" s="2" t="n">
        <v>596.39</v>
      </c>
      <c r="BH58" s="2" t="n">
        <v>27.6</v>
      </c>
      <c r="BI58" s="2" t="n">
        <v>14562.02</v>
      </c>
      <c r="BJ58" s="2" t="n">
        <v>58.77173913043478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0.691605</v>
      </c>
      <c r="BQ58" s="2" t="n">
        <v>25.51304347826087</v>
      </c>
      <c r="BR58" s="2" t="n">
        <v>15295.98638760869</v>
      </c>
      <c r="BS58" s="2" t="n">
        <v>855.0899130434782</v>
      </c>
      <c r="BT58" s="2" t="n">
        <v>0</v>
      </c>
      <c r="BU58" s="2" t="n">
        <v>3230.076939130435</v>
      </c>
      <c r="BV58" s="2" t="n">
        <v>4085.166852173913</v>
      </c>
      <c r="BW58" s="2" t="n">
        <v>19381.15323978261</v>
      </c>
      <c r="BX58" s="2" t="n">
        <v>39.82</v>
      </c>
      <c r="BY58" s="2" t="n">
        <v>11.41</v>
      </c>
      <c r="BZ58" s="2" t="n">
        <v>4</v>
      </c>
      <c r="CA58" s="2" t="n">
        <v>51.23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1234</v>
      </c>
      <c r="B59" t="inlineStr">
        <is>
          <t>Kolejowa 88, 68-100 Żagań</t>
        </is>
      </c>
      <c r="C59" t="inlineStr">
        <is>
          <t>Żagań</t>
        </is>
      </c>
      <c r="D59" t="inlineStr">
        <is>
          <t>FAA2000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406.5</v>
      </c>
      <c r="L59" s="2" t="n">
        <v>33.83736111111111</v>
      </c>
      <c r="M59" s="2" t="n">
        <v>376.3888888888889</v>
      </c>
      <c r="N59" s="2" t="n">
        <v>192</v>
      </c>
      <c r="O59" s="2" t="n">
        <v>167.5</v>
      </c>
      <c r="P59" s="2" t="n">
        <v>47</v>
      </c>
      <c r="Q59" s="2" t="n">
        <v>4375.13</v>
      </c>
      <c r="R59" s="2" t="n">
        <v>1600</v>
      </c>
      <c r="S59" s="2" t="n">
        <v>4051.046296296296</v>
      </c>
      <c r="T59" s="2" t="n">
        <v>1173.64</v>
      </c>
      <c r="U59" s="2" t="n">
        <v>3018.43</v>
      </c>
      <c r="V59" s="2" t="n">
        <v>183.06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3405.4</v>
      </c>
      <c r="AP59" s="2" t="n">
        <v>249.0987037037037</v>
      </c>
      <c r="AQ59" s="2" t="n">
        <v>3153.148148148148</v>
      </c>
      <c r="AR59" s="2" t="n">
        <v>1001.29</v>
      </c>
      <c r="AS59" s="2" t="n">
        <v>2182.96</v>
      </c>
      <c r="AT59" s="2" t="n">
        <v>221.15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8187.030000000001</v>
      </c>
      <c r="BB59" s="2" t="n">
        <v>5820.1</v>
      </c>
      <c r="BC59" s="2">
        <f>F59+L59+R59+X59+AD59+AJ59+AP59+AV59+IF(BE59="",0,BE59)</f>
        <v/>
      </c>
      <c r="BD59" s="2" t="n">
        <v>89.62953999999999</v>
      </c>
      <c r="BE59" s="2" t="n"/>
      <c r="BF59" s="2" t="n">
        <v>7580.583333333333</v>
      </c>
      <c r="BG59" s="2" t="n">
        <v>594.14</v>
      </c>
      <c r="BH59" s="2" t="n">
        <v>219</v>
      </c>
      <c r="BI59" s="2" t="n">
        <v>14562.02</v>
      </c>
      <c r="BJ59" s="2" t="n">
        <v>58.77173913043478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78.57135</v>
      </c>
      <c r="BQ59" s="2" t="n">
        <v>25.51304347826087</v>
      </c>
      <c r="BR59" s="2" t="n">
        <v>15563.01613260869</v>
      </c>
      <c r="BS59" s="2" t="n">
        <v>855.0899130434782</v>
      </c>
      <c r="BT59" s="2" t="n">
        <v>0</v>
      </c>
      <c r="BU59" s="2" t="n">
        <v>3267.906939130435</v>
      </c>
      <c r="BV59" s="2" t="n">
        <v>4122.996852173914</v>
      </c>
      <c r="BW59" s="2" t="n">
        <v>19686.01298478261</v>
      </c>
      <c r="BX59" s="2" t="n">
        <v>5368.889999999999</v>
      </c>
      <c r="BY59" s="2" t="n">
        <v>451.21</v>
      </c>
      <c r="BZ59" s="2" t="n">
        <v>2366.93</v>
      </c>
      <c r="CA59" s="2" t="n">
        <v>5820.099999999999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1235</v>
      </c>
      <c r="B60" t="inlineStr">
        <is>
          <t>Dworcowa 2, 61-801 Poznań</t>
        </is>
      </c>
      <c r="C60" t="inlineStr">
        <is>
          <t>Poznań Główny, Dworzec Zachodni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9541.5</v>
      </c>
      <c r="L60" s="2" t="n">
        <v>794.2415277777777</v>
      </c>
      <c r="M60" s="2" t="n">
        <v>8834.722222222221</v>
      </c>
      <c r="N60" s="2" t="n">
        <v>1825.99</v>
      </c>
      <c r="O60" s="2" t="n">
        <v>7715.51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16711.62</v>
      </c>
      <c r="AD60" s="2" t="n">
        <v>1067.686833333333</v>
      </c>
      <c r="AE60" s="2" t="n">
        <v>15473.72222222222</v>
      </c>
      <c r="AF60" s="2" t="n">
        <v>2478.66</v>
      </c>
      <c r="AG60" s="2" t="n">
        <v>14232.96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7145.950000000001</v>
      </c>
      <c r="AP60" s="2" t="n">
        <v>522.7130092592593</v>
      </c>
      <c r="AQ60" s="2" t="n">
        <v>6616.62037037037</v>
      </c>
      <c r="AR60" s="2" t="n">
        <v>1371.89</v>
      </c>
      <c r="AS60" s="2" t="n">
        <v>5774.06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33399.07</v>
      </c>
      <c r="BB60" s="2" t="n">
        <v>27722.53</v>
      </c>
      <c r="BC60" s="2">
        <f>F60+L60+R60+X60+AD60+AJ60+AP60+AV60+IF(BE60="",0,BE60)</f>
        <v/>
      </c>
      <c r="BD60" s="2" t="n">
        <v>426.926962</v>
      </c>
      <c r="BE60" s="2" t="n"/>
      <c r="BF60" s="2" t="n">
        <v>30925.06481481481</v>
      </c>
      <c r="BG60" s="2" t="n">
        <v>458.58</v>
      </c>
      <c r="BH60" s="2" t="n">
        <v>0</v>
      </c>
      <c r="BI60" s="2" t="n">
        <v>14562.02</v>
      </c>
      <c r="BJ60" s="2" t="n">
        <v>58.77173913043478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374.254155</v>
      </c>
      <c r="BQ60" s="2" t="n">
        <v>25.51304347826087</v>
      </c>
      <c r="BR60" s="2" t="n">
        <v>15504.1389376087</v>
      </c>
      <c r="BS60" s="2" t="n">
        <v>855.0899130434782</v>
      </c>
      <c r="BT60" s="2" t="n">
        <v>0</v>
      </c>
      <c r="BU60" s="2" t="n">
        <v>3196.994939130435</v>
      </c>
      <c r="BV60" s="2" t="n">
        <v>4052.084852173913</v>
      </c>
      <c r="BW60" s="2" t="n">
        <v>19556.22378978261</v>
      </c>
      <c r="BX60" s="2" t="n">
        <v>27722.53</v>
      </c>
      <c r="BY60" s="2" t="n">
        <v>0</v>
      </c>
      <c r="BZ60" s="2" t="n">
        <v>5676.54</v>
      </c>
      <c r="CA60" s="2" t="n">
        <v>27722.53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1236</v>
      </c>
      <c r="B61" t="inlineStr">
        <is>
          <t>Pelplin</t>
        </is>
      </c>
      <c r="C61" t="inlineStr">
        <is>
          <t>Pelplin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1915.14</v>
      </c>
      <c r="AP61" s="2" t="n">
        <v>3900</v>
      </c>
      <c r="AQ61" s="2" t="n">
        <v>1773.277777777778</v>
      </c>
      <c r="AR61" s="2" t="n">
        <v>0</v>
      </c>
      <c r="AS61" s="2" t="n">
        <v>1868.23</v>
      </c>
      <c r="AT61" s="2" t="n">
        <v>46.91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1915.14</v>
      </c>
      <c r="BB61" s="2" t="n">
        <v>1915.14</v>
      </c>
      <c r="BC61" s="2">
        <f>F61+L61+R61+X61+AD61+AJ61+AP61+AV61+IF(BE61="",0,BE61)</f>
        <v/>
      </c>
      <c r="BD61" s="2" t="n">
        <v>29.493156</v>
      </c>
      <c r="BE61" s="2" t="n"/>
      <c r="BF61" s="2" t="n">
        <v>1773.277777777778</v>
      </c>
      <c r="BG61" s="2" t="n">
        <v>458.58</v>
      </c>
      <c r="BH61" s="2" t="n">
        <v>0</v>
      </c>
      <c r="BI61" s="2" t="n">
        <v>14562.02</v>
      </c>
      <c r="BJ61" s="2" t="n">
        <v>58.77173913043478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25.85439</v>
      </c>
      <c r="BQ61" s="2" t="n">
        <v>25.51304347826087</v>
      </c>
      <c r="BR61" s="2" t="n">
        <v>15155.7391726087</v>
      </c>
      <c r="BS61" s="2" t="n">
        <v>855.0899130434782</v>
      </c>
      <c r="BT61" s="2" t="n">
        <v>0</v>
      </c>
      <c r="BU61" s="2" t="n">
        <v>3196.994939130435</v>
      </c>
      <c r="BV61" s="2" t="n">
        <v>4052.084852173913</v>
      </c>
      <c r="BW61" s="2" t="n">
        <v>19207.82402478261</v>
      </c>
      <c r="BX61" s="2" t="n">
        <v>1868.23</v>
      </c>
      <c r="BY61" s="2" t="n">
        <v>46.91</v>
      </c>
      <c r="BZ61" s="2" t="n">
        <v>0</v>
      </c>
      <c r="CA61" s="2" t="n">
        <v>1915.14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1237</v>
      </c>
      <c r="B62" t="inlineStr">
        <is>
          <t>Dworcowa 2, 61-801 Poznań</t>
        </is>
      </c>
      <c r="C62" t="inlineStr">
        <is>
          <t>Poznań Główny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12120.43</v>
      </c>
      <c r="L62" s="2" t="n">
        <v>1008.913571296296</v>
      </c>
      <c r="M62" s="2" t="n">
        <v>11222.62037037037</v>
      </c>
      <c r="N62" s="2" t="n">
        <v>1674.3</v>
      </c>
      <c r="O62" s="2" t="n">
        <v>9481.85</v>
      </c>
      <c r="P62" s="2" t="n">
        <v>964.28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23976.49</v>
      </c>
      <c r="AD62" s="2" t="n">
        <v>1531.831305555555</v>
      </c>
      <c r="AE62" s="2" t="n">
        <v>22200.4537037037</v>
      </c>
      <c r="AF62" s="2" t="n">
        <v>2930.7</v>
      </c>
      <c r="AG62" s="2" t="n">
        <v>19159.62</v>
      </c>
      <c r="AH62" s="2" t="n">
        <v>1886.17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9888.449999999999</v>
      </c>
      <c r="AP62" s="2" t="n">
        <v>723.3218055555554</v>
      </c>
      <c r="AQ62" s="2" t="n">
        <v>9155.972222222221</v>
      </c>
      <c r="AR62" s="2" t="n">
        <v>1595.1</v>
      </c>
      <c r="AS62" s="2" t="n">
        <v>7032.46</v>
      </c>
      <c r="AT62" s="2" t="n">
        <v>1260.89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45985.37</v>
      </c>
      <c r="BB62" s="2" t="n">
        <v>39785.27</v>
      </c>
      <c r="BC62" s="2">
        <f>F62+L62+R62+X62+AD62+AJ62+AP62+AV62+IF(BE62="",0,BE62)</f>
        <v/>
      </c>
      <c r="BD62" s="2" t="n">
        <v>612.693158</v>
      </c>
      <c r="BE62" s="2" t="n"/>
      <c r="BF62" s="2" t="n">
        <v>42579.04629629629</v>
      </c>
      <c r="BG62" s="2" t="n">
        <v>458.58</v>
      </c>
      <c r="BH62" s="2" t="n">
        <v>0</v>
      </c>
      <c r="BI62" s="2" t="n">
        <v>14562.02</v>
      </c>
      <c r="BJ62" s="2" t="n">
        <v>58.77173913043478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537.1011450000001</v>
      </c>
      <c r="BQ62" s="2" t="n">
        <v>25.51304347826087</v>
      </c>
      <c r="BR62" s="2" t="n">
        <v>15666.9859276087</v>
      </c>
      <c r="BS62" s="2" t="n">
        <v>855.0899130434782</v>
      </c>
      <c r="BT62" s="2" t="n">
        <v>0</v>
      </c>
      <c r="BU62" s="2" t="n">
        <v>3196.994939130435</v>
      </c>
      <c r="BV62" s="2" t="n">
        <v>4052.084852173913</v>
      </c>
      <c r="BW62" s="2" t="n">
        <v>19719.07077978261</v>
      </c>
      <c r="BX62" s="2" t="n">
        <v>35673.93</v>
      </c>
      <c r="BY62" s="2" t="n">
        <v>4111.34</v>
      </c>
      <c r="BZ62" s="2" t="n">
        <v>6200.1</v>
      </c>
      <c r="CA62" s="2" t="n">
        <v>39785.27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1238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674.8</v>
      </c>
      <c r="L63" s="2" t="n">
        <v>56.17085185185185</v>
      </c>
      <c r="M63" s="2" t="n">
        <v>624.8148148148148</v>
      </c>
      <c r="N63" s="2" t="n">
        <v>10.45</v>
      </c>
      <c r="O63" s="2" t="n">
        <v>638.04</v>
      </c>
      <c r="P63" s="2" t="n">
        <v>26.31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4428.04</v>
      </c>
      <c r="AD63" s="2" t="n">
        <v>282.9025555555555</v>
      </c>
      <c r="AE63" s="2" t="n">
        <v>4100.037037037036</v>
      </c>
      <c r="AF63" s="2" t="n">
        <v>1624.89</v>
      </c>
      <c r="AG63" s="2" t="n">
        <v>2738.96</v>
      </c>
      <c r="AH63" s="2" t="n">
        <v>64.19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1204.07</v>
      </c>
      <c r="AP63" s="2" t="n">
        <v>88.07549074074073</v>
      </c>
      <c r="AQ63" s="2" t="n">
        <v>1114.87962962963</v>
      </c>
      <c r="AR63" s="2" t="n">
        <v>673.2</v>
      </c>
      <c r="AS63" s="2" t="n">
        <v>516.17</v>
      </c>
      <c r="AT63" s="2" t="n">
        <v>14.7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6306.91</v>
      </c>
      <c r="BB63" s="2" t="n">
        <v>3998.37</v>
      </c>
      <c r="BC63" s="2">
        <f>F63+L63+R63+X63+AD63+AJ63+AP63+AV63+IF(BE63="",0,BE63)</f>
        <v/>
      </c>
      <c r="BD63" s="2" t="n">
        <v>61.574898</v>
      </c>
      <c r="BE63" s="2" t="n"/>
      <c r="BF63" s="2" t="n">
        <v>5839.731481481481</v>
      </c>
      <c r="BG63" s="2" t="n">
        <v>458.58</v>
      </c>
      <c r="BH63" s="2" t="n">
        <v>0</v>
      </c>
      <c r="BI63" s="2" t="n">
        <v>14562.02</v>
      </c>
      <c r="BJ63" s="2" t="n">
        <v>58.77173913043478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53.977995</v>
      </c>
      <c r="BQ63" s="2" t="n">
        <v>25.51304347826087</v>
      </c>
      <c r="BR63" s="2" t="n">
        <v>15183.86277760869</v>
      </c>
      <c r="BS63" s="2" t="n">
        <v>855.0899130434782</v>
      </c>
      <c r="BT63" s="2" t="n">
        <v>0</v>
      </c>
      <c r="BU63" s="2" t="n">
        <v>3196.994939130435</v>
      </c>
      <c r="BV63" s="2" t="n">
        <v>4052.084852173913</v>
      </c>
      <c r="BW63" s="2" t="n">
        <v>19235.94762978261</v>
      </c>
      <c r="BX63" s="2" t="n">
        <v>3893.17</v>
      </c>
      <c r="BY63" s="2" t="n">
        <v>105.2</v>
      </c>
      <c r="BZ63" s="2" t="n">
        <v>2308.54</v>
      </c>
      <c r="CA63" s="2" t="n">
        <v>3998.37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1239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19360.26</v>
      </c>
      <c r="L64" s="2" t="n">
        <v>1611.562383333334</v>
      </c>
      <c r="M64" s="2" t="n">
        <v>17926.16666666667</v>
      </c>
      <c r="N64" s="2" t="n">
        <v>3784.11</v>
      </c>
      <c r="O64" s="2" t="n">
        <v>14446.82</v>
      </c>
      <c r="P64" s="2" t="n">
        <v>1129.33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38825.35999999999</v>
      </c>
      <c r="AD64" s="2" t="n">
        <v>2480.509111111111</v>
      </c>
      <c r="AE64" s="2" t="n">
        <v>35949.4074074074</v>
      </c>
      <c r="AF64" s="2" t="n">
        <v>7166.98</v>
      </c>
      <c r="AG64" s="2" t="n">
        <v>29558.78</v>
      </c>
      <c r="AH64" s="2" t="n">
        <v>2099.6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10952.13</v>
      </c>
      <c r="AP64" s="2" t="n">
        <v>801.1280277777778</v>
      </c>
      <c r="AQ64" s="2" t="n">
        <v>10140.86111111111</v>
      </c>
      <c r="AR64" s="2" t="n">
        <v>2259.19</v>
      </c>
      <c r="AS64" s="2" t="n">
        <v>8234.92</v>
      </c>
      <c r="AT64" s="2" t="n">
        <v>458.02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69137.75</v>
      </c>
      <c r="BB64" s="2" t="n">
        <v>55927.47</v>
      </c>
      <c r="BC64" s="2">
        <f>F64+L64+R64+X64+AD64+AJ64+AP64+AV64+IF(BE64="",0,BE64)</f>
        <v/>
      </c>
      <c r="BD64" s="2" t="n">
        <v>861.283038</v>
      </c>
      <c r="BE64" s="2" t="n"/>
      <c r="BF64" s="2" t="n">
        <v>64016.43518518518</v>
      </c>
      <c r="BG64" s="2" t="n">
        <v>458.58</v>
      </c>
      <c r="BH64" s="2" t="n">
        <v>0</v>
      </c>
      <c r="BI64" s="2" t="n">
        <v>14562.02</v>
      </c>
      <c r="BJ64" s="2" t="n">
        <v>58.77173913043478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755.0208449999999</v>
      </c>
      <c r="BQ64" s="2" t="n">
        <v>25.51304347826087</v>
      </c>
      <c r="BR64" s="2" t="n">
        <v>15884.90562760869</v>
      </c>
      <c r="BS64" s="2" t="n">
        <v>855.0899130434782</v>
      </c>
      <c r="BT64" s="2" t="n">
        <v>0</v>
      </c>
      <c r="BU64" s="2" t="n">
        <v>3196.994939130435</v>
      </c>
      <c r="BV64" s="2" t="n">
        <v>4052.084852173913</v>
      </c>
      <c r="BW64" s="2" t="n">
        <v>19936.99047978261</v>
      </c>
      <c r="BX64" s="2" t="n">
        <v>52240.52</v>
      </c>
      <c r="BY64" s="2" t="n">
        <v>3686.95</v>
      </c>
      <c r="BZ64" s="2" t="n">
        <v>13210.28</v>
      </c>
      <c r="CA64" s="2" t="n">
        <v>55927.46999999999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1240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24512.17</v>
      </c>
      <c r="L65" s="2" t="n">
        <v>2040.411187962963</v>
      </c>
      <c r="M65" s="2" t="n">
        <v>22696.4537037037</v>
      </c>
      <c r="N65" s="2" t="n">
        <v>3805.54</v>
      </c>
      <c r="O65" s="2" t="n">
        <v>18961.18</v>
      </c>
      <c r="P65" s="2" t="n">
        <v>1745.45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57293.96000000001</v>
      </c>
      <c r="AD65" s="2" t="n">
        <v>3660.447444444445</v>
      </c>
      <c r="AE65" s="2" t="n">
        <v>53049.96296296296</v>
      </c>
      <c r="AF65" s="2" t="n">
        <v>9251.549999999999</v>
      </c>
      <c r="AG65" s="2" t="n">
        <v>44172.11</v>
      </c>
      <c r="AH65" s="2" t="n">
        <v>3870.3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16995.34</v>
      </c>
      <c r="AP65" s="2" t="n">
        <v>1243.177648148148</v>
      </c>
      <c r="AQ65" s="2" t="n">
        <v>15736.42592592593</v>
      </c>
      <c r="AR65" s="2" t="n">
        <v>2091.12</v>
      </c>
      <c r="AS65" s="2" t="n">
        <v>13885.1</v>
      </c>
      <c r="AT65" s="2" t="n">
        <v>1019.12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98801.47</v>
      </c>
      <c r="BB65" s="2" t="n">
        <v>83653.26000000001</v>
      </c>
      <c r="BC65" s="2">
        <f>F65+L65+R65+X65+AD65+AJ65+AP65+AV65+IF(BE65="",0,BE65)</f>
        <v/>
      </c>
      <c r="BD65" s="2" t="n">
        <v>1288.260204</v>
      </c>
      <c r="BE65" s="2" t="n"/>
      <c r="BF65" s="2" t="n">
        <v>91482.8425925926</v>
      </c>
      <c r="BG65" s="2" t="n">
        <v>458.58</v>
      </c>
      <c r="BH65" s="2" t="n">
        <v>0</v>
      </c>
      <c r="BI65" s="2" t="n">
        <v>14562.02</v>
      </c>
      <c r="BJ65" s="2" t="n">
        <v>58.77173913043478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1129.31901</v>
      </c>
      <c r="BQ65" s="2" t="n">
        <v>25.51304347826087</v>
      </c>
      <c r="BR65" s="2" t="n">
        <v>16259.20379260869</v>
      </c>
      <c r="BS65" s="2" t="n">
        <v>855.0899130434782</v>
      </c>
      <c r="BT65" s="2" t="n">
        <v>0</v>
      </c>
      <c r="BU65" s="2" t="n">
        <v>3196.994939130435</v>
      </c>
      <c r="BV65" s="2" t="n">
        <v>4052.084852173913</v>
      </c>
      <c r="BW65" s="2" t="n">
        <v>20311.28864478261</v>
      </c>
      <c r="BX65" s="2" t="n">
        <v>77018.39</v>
      </c>
      <c r="BY65" s="2" t="n">
        <v>6634.87</v>
      </c>
      <c r="BZ65" s="2" t="n">
        <v>15148.21</v>
      </c>
      <c r="CA65" s="2" t="n">
        <v>83653.25999999999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1241</v>
      </c>
      <c r="B66" t="inlineStr">
        <is>
          <t>Kolejowa 1, 62-510 Konin</t>
        </is>
      </c>
      <c r="C66" t="inlineStr">
        <is>
          <t>Konin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2041.92</v>
      </c>
      <c r="L66" s="2" t="n">
        <v>169.9709333333333</v>
      </c>
      <c r="M66" s="2" t="n">
        <v>1890.666666666667</v>
      </c>
      <c r="N66" s="2" t="n">
        <v>645.2</v>
      </c>
      <c r="O66" s="2" t="n">
        <v>1396.72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7709.929999999999</v>
      </c>
      <c r="AD66" s="2" t="n">
        <v>492.5788611111111</v>
      </c>
      <c r="AE66" s="2" t="n">
        <v>7138.824074074073</v>
      </c>
      <c r="AF66" s="2" t="n">
        <v>1178.78</v>
      </c>
      <c r="AG66" s="2" t="n">
        <v>6268.44</v>
      </c>
      <c r="AH66" s="2" t="n">
        <v>262.71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9751.849999999999</v>
      </c>
      <c r="BB66" s="2" t="n">
        <v>7927.87</v>
      </c>
      <c r="BC66" s="2">
        <f>F66+L66+R66+X66+AD66+AJ66+AP66+AV66+IF(BE66="",0,BE66)</f>
        <v/>
      </c>
      <c r="BD66" s="2" t="n">
        <v>122.089198</v>
      </c>
      <c r="BE66" s="2" t="n"/>
      <c r="BF66" s="2" t="n">
        <v>9029.490740740739</v>
      </c>
      <c r="BG66" s="2" t="n">
        <v>420</v>
      </c>
      <c r="BH66" s="2" t="n">
        <v>187</v>
      </c>
      <c r="BI66" s="2" t="n">
        <v>14562.02</v>
      </c>
      <c r="BJ66" s="2" t="n">
        <v>58.77173913043478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107.026245</v>
      </c>
      <c r="BQ66" s="2" t="n">
        <v>25.51304347826087</v>
      </c>
      <c r="BR66" s="2" t="n">
        <v>15385.33102760869</v>
      </c>
      <c r="BS66" s="2" t="n">
        <v>855.0899130434782</v>
      </c>
      <c r="BT66" s="2" t="n">
        <v>0</v>
      </c>
      <c r="BU66" s="2" t="n">
        <v>3226.678939130436</v>
      </c>
      <c r="BV66" s="2" t="n">
        <v>4081.768852173914</v>
      </c>
      <c r="BW66" s="2" t="n">
        <v>19467.09987978261</v>
      </c>
      <c r="BX66" s="2" t="n">
        <v>7665.16</v>
      </c>
      <c r="BY66" s="2" t="n">
        <v>262.71</v>
      </c>
      <c r="BZ66" s="2" t="n">
        <v>1823.98</v>
      </c>
      <c r="CA66" s="2" t="n">
        <v>7927.87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1242</v>
      </c>
      <c r="B67" t="inlineStr">
        <is>
          <t>Dworcowa 1, 62-800 Kalisz</t>
        </is>
      </c>
      <c r="C67" t="inlineStr">
        <is>
          <t>Kalisz</t>
        </is>
      </c>
      <c r="D67" t="inlineStr">
        <is>
          <t>ST|40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7914.38</v>
      </c>
      <c r="L67" s="2" t="n">
        <v>658.7988537037038</v>
      </c>
      <c r="M67" s="2" t="n">
        <v>7328.12962962963</v>
      </c>
      <c r="N67" s="2" t="n">
        <v>2932.5</v>
      </c>
      <c r="O67" s="2" t="n">
        <v>4635.81</v>
      </c>
      <c r="P67" s="2" t="n">
        <v>346.07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2692.83</v>
      </c>
      <c r="AD67" s="2" t="n">
        <v>172.0419166666667</v>
      </c>
      <c r="AE67" s="2" t="n">
        <v>2493.361111111111</v>
      </c>
      <c r="AF67" s="2" t="n">
        <v>691.65</v>
      </c>
      <c r="AG67" s="2" t="n">
        <v>1890.68</v>
      </c>
      <c r="AH67" s="2" t="n">
        <v>110.5</v>
      </c>
      <c r="AI67" s="2" t="n">
        <v>18.1</v>
      </c>
      <c r="AJ67" s="2" t="n">
        <v>1.256944444444444</v>
      </c>
      <c r="AK67" s="2" t="n">
        <v>16.75925925925926</v>
      </c>
      <c r="AL67" s="2" t="n">
        <v>0</v>
      </c>
      <c r="AM67" s="2" t="n">
        <v>18.1</v>
      </c>
      <c r="AN67" s="2" t="n">
        <v>0</v>
      </c>
      <c r="AO67" s="2" t="n">
        <v>6478.62</v>
      </c>
      <c r="AP67" s="2" t="n">
        <v>473.8990555555555</v>
      </c>
      <c r="AQ67" s="2" t="n">
        <v>5998.722222222222</v>
      </c>
      <c r="AR67" s="2" t="n">
        <v>1978.18</v>
      </c>
      <c r="AS67" s="2" t="n">
        <v>4230.37</v>
      </c>
      <c r="AT67" s="2" t="n">
        <v>270.07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17103.93</v>
      </c>
      <c r="BB67" s="2" t="n">
        <v>11501.6</v>
      </c>
      <c r="BC67" s="2">
        <f>F67+L67+R67+X67+AD67+AJ67+AP67+AV67+IF(BE67="",0,BE67)</f>
        <v/>
      </c>
      <c r="BD67" s="2" t="n">
        <v>177.12464</v>
      </c>
      <c r="BE67" s="2" t="n"/>
      <c r="BF67" s="2" t="n">
        <v>15836.97222222222</v>
      </c>
      <c r="BG67" s="2" t="n">
        <v>550.4299999999999</v>
      </c>
      <c r="BH67" s="2" t="n">
        <v>213</v>
      </c>
      <c r="BI67" s="2" t="n">
        <v>14562.02</v>
      </c>
      <c r="BJ67" s="2" t="n">
        <v>58.77173913043478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155.2716</v>
      </c>
      <c r="BQ67" s="2" t="n">
        <v>25.51304347826087</v>
      </c>
      <c r="BR67" s="2" t="n">
        <v>15590.0063826087</v>
      </c>
      <c r="BS67" s="2" t="n">
        <v>855.0899130434782</v>
      </c>
      <c r="BT67" s="2" t="n">
        <v>0</v>
      </c>
      <c r="BU67" s="2" t="n">
        <v>3257.964939130435</v>
      </c>
      <c r="BV67" s="2" t="n">
        <v>4113.054852173913</v>
      </c>
      <c r="BW67" s="2" t="n">
        <v>19703.06123478261</v>
      </c>
      <c r="BX67" s="2" t="n">
        <v>10774.96</v>
      </c>
      <c r="BY67" s="2" t="n">
        <v>726.64</v>
      </c>
      <c r="BZ67" s="2" t="n">
        <v>5602.33</v>
      </c>
      <c r="CA67" s="2" t="n">
        <v>11501.6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1243</v>
      </c>
      <c r="B68" t="inlineStr">
        <is>
          <t>Garbary 89, 61-757 Poznań</t>
        </is>
      </c>
      <c r="C68" t="inlineStr">
        <is>
          <t>Poznań Garbary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16481.7</v>
      </c>
      <c r="AD68" s="2" t="n">
        <v>1052.9975</v>
      </c>
      <c r="AE68" s="2" t="n">
        <v>15260.83333333333</v>
      </c>
      <c r="AF68" s="2" t="n">
        <v>2442.99</v>
      </c>
      <c r="AG68" s="2" t="n">
        <v>13005.88</v>
      </c>
      <c r="AH68" s="2" t="n">
        <v>1032.83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2682.809999999999</v>
      </c>
      <c r="AP68" s="2" t="n">
        <v>196.2425833333333</v>
      </c>
      <c r="AQ68" s="2" t="n">
        <v>2484.083333333333</v>
      </c>
      <c r="AR68" s="2" t="n">
        <v>517.77</v>
      </c>
      <c r="AS68" s="2" t="n">
        <v>1955.8</v>
      </c>
      <c r="AT68" s="2" t="n">
        <v>209.24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19164.50999999999</v>
      </c>
      <c r="BB68" s="2" t="n">
        <v>16203.75</v>
      </c>
      <c r="BC68" s="2">
        <f>F68+L68+R68+X68+AD68+AJ68+AP68+AV68+IF(BE68="",0,BE68)</f>
        <v/>
      </c>
      <c r="BD68" s="2" t="n">
        <v>249.53775</v>
      </c>
      <c r="BE68" s="2" t="n"/>
      <c r="BF68" s="2" t="n">
        <v>17744.91666666666</v>
      </c>
      <c r="BG68" s="2" t="n">
        <v>587.13</v>
      </c>
      <c r="BH68" s="2" t="n">
        <v>187</v>
      </c>
      <c r="BI68" s="2" t="n">
        <v>14562.02</v>
      </c>
      <c r="BJ68" s="2" t="n">
        <v>58.77173913043478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218.750625</v>
      </c>
      <c r="BQ68" s="2" t="n">
        <v>25.51304347826087</v>
      </c>
      <c r="BR68" s="2" t="n">
        <v>15664.18540760869</v>
      </c>
      <c r="BS68" s="2" t="n">
        <v>855.0899130434782</v>
      </c>
      <c r="BT68" s="2" t="n">
        <v>0</v>
      </c>
      <c r="BU68" s="2" t="n">
        <v>3260.104939130435</v>
      </c>
      <c r="BV68" s="2" t="n">
        <v>4115.194852173913</v>
      </c>
      <c r="BW68" s="2" t="n">
        <v>19779.38025978261</v>
      </c>
      <c r="BX68" s="2" t="n">
        <v>14961.68</v>
      </c>
      <c r="BY68" s="2" t="n">
        <v>1242.07</v>
      </c>
      <c r="BZ68" s="2" t="n">
        <v>2960.76</v>
      </c>
      <c r="CA68" s="2" t="n">
        <v>16203.75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1244</v>
      </c>
      <c r="B69" t="inlineStr">
        <is>
          <t>Dworcowa 7, 62-200 Gniezno</t>
        </is>
      </c>
      <c r="C69" t="inlineStr">
        <is>
          <t>Gniezno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13407.76</v>
      </c>
      <c r="L69" s="2" t="n">
        <v>1116.071874074074</v>
      </c>
      <c r="M69" s="2" t="n">
        <v>12414.59259259259</v>
      </c>
      <c r="N69" s="2" t="n">
        <v>2162.79</v>
      </c>
      <c r="O69" s="2" t="n">
        <v>10303.92</v>
      </c>
      <c r="P69" s="2" t="n">
        <v>941.05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12550.08</v>
      </c>
      <c r="AD69" s="2" t="n">
        <v>801.8106666666666</v>
      </c>
      <c r="AE69" s="2" t="n">
        <v>11620.44444444444</v>
      </c>
      <c r="AF69" s="2" t="n">
        <v>3120.84</v>
      </c>
      <c r="AG69" s="2" t="n">
        <v>8491.629999999999</v>
      </c>
      <c r="AH69" s="2" t="n">
        <v>937.61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6388.89</v>
      </c>
      <c r="AP69" s="2" t="n">
        <v>467.3354722222222</v>
      </c>
      <c r="AQ69" s="2" t="n">
        <v>5915.638888888889</v>
      </c>
      <c r="AR69" s="2" t="n">
        <v>1593.41</v>
      </c>
      <c r="AS69" s="2" t="n">
        <v>4398.27</v>
      </c>
      <c r="AT69" s="2" t="n">
        <v>397.21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32346.73</v>
      </c>
      <c r="BB69" s="2" t="n">
        <v>25469.69</v>
      </c>
      <c r="BC69" s="2">
        <f>F69+L69+R69+X69+AD69+AJ69+AP69+AV69+IF(BE69="",0,BE69)</f>
        <v/>
      </c>
      <c r="BD69" s="2" t="n">
        <v>392.233226</v>
      </c>
      <c r="BE69" s="2" t="n"/>
      <c r="BF69" s="2" t="n">
        <v>29950.67592592592</v>
      </c>
      <c r="BG69" s="2" t="n">
        <v>0</v>
      </c>
      <c r="BH69" s="2" t="n">
        <v>0</v>
      </c>
      <c r="BI69" s="2" t="n">
        <v>14562.02</v>
      </c>
      <c r="BJ69" s="2" t="n">
        <v>58.77173913043478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343.840815</v>
      </c>
      <c r="BQ69" s="2" t="n">
        <v>25.51304347826087</v>
      </c>
      <c r="BR69" s="2" t="n">
        <v>15015.14559760869</v>
      </c>
      <c r="BS69" s="2" t="n">
        <v>855.0899130434782</v>
      </c>
      <c r="BT69" s="2" t="n">
        <v>0</v>
      </c>
      <c r="BU69" s="2" t="n">
        <v>3105.278939130435</v>
      </c>
      <c r="BV69" s="2" t="n">
        <v>3960.368852173914</v>
      </c>
      <c r="BW69" s="2" t="n">
        <v>18975.51444978261</v>
      </c>
      <c r="BX69" s="2" t="n">
        <v>23193.82</v>
      </c>
      <c r="BY69" s="2" t="n">
        <v>2275.87</v>
      </c>
      <c r="BZ69" s="2" t="n">
        <v>6877.04</v>
      </c>
      <c r="CA69" s="2" t="n">
        <v>25469.69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1245</v>
      </c>
      <c r="B70" t="inlineStr">
        <is>
          <t>Plac Dworcowy 1, 80-321 Gdańsk</t>
        </is>
      </c>
      <c r="C70" t="inlineStr">
        <is>
          <t>Gdańsk Oliwa</t>
        </is>
      </c>
      <c r="D70" t="inlineStr">
        <is>
          <t>ST|40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2847.93</v>
      </c>
      <c r="L70" s="2" t="n">
        <v>237.0638027777778</v>
      </c>
      <c r="M70" s="2" t="n">
        <v>2636.972222222222</v>
      </c>
      <c r="N70" s="2" t="n">
        <v>570.86</v>
      </c>
      <c r="O70" s="2" t="n">
        <v>2177.78</v>
      </c>
      <c r="P70" s="2" t="n">
        <v>99.29000000000001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3727.6</v>
      </c>
      <c r="AP70" s="2" t="n">
        <v>272.6670370370371</v>
      </c>
      <c r="AQ70" s="2" t="n">
        <v>3451.481481481482</v>
      </c>
      <c r="AR70" s="2" t="n">
        <v>1063.4</v>
      </c>
      <c r="AS70" s="2" t="n">
        <v>2425.57</v>
      </c>
      <c r="AT70" s="2" t="n">
        <v>238.63</v>
      </c>
      <c r="AU70" s="2" t="n">
        <v>1221.7</v>
      </c>
      <c r="AV70" s="2" t="n">
        <v>48.64175925925925</v>
      </c>
      <c r="AW70" s="2" t="n">
        <v>1131.203703703704</v>
      </c>
      <c r="AX70" s="2" t="n">
        <v>295.75</v>
      </c>
      <c r="AY70" s="2" t="n">
        <v>901.2</v>
      </c>
      <c r="AZ70" s="2" t="n">
        <v>24.75</v>
      </c>
      <c r="BA70" s="2" t="n">
        <v>7797.23</v>
      </c>
      <c r="BB70" s="2" t="n">
        <v>5867.22</v>
      </c>
      <c r="BC70" s="2">
        <f>F70+L70+R70+X70+AD70+AJ70+AP70+AV70+IF(BE70="",0,BE70)</f>
        <v/>
      </c>
      <c r="BD70" s="2" t="n">
        <v>90.35518800000001</v>
      </c>
      <c r="BE70" s="2" t="n"/>
      <c r="BF70" s="2" t="n">
        <v>7219.657407407408</v>
      </c>
      <c r="BG70" s="2" t="n">
        <v>0</v>
      </c>
      <c r="BH70" s="2" t="n">
        <v>0</v>
      </c>
      <c r="BI70" s="2" t="n">
        <v>6795.609333333333</v>
      </c>
      <c r="BJ70" s="2" t="n">
        <v>58.77173913043478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79.20747</v>
      </c>
      <c r="BQ70" s="2" t="n">
        <v>25.51304347826087</v>
      </c>
      <c r="BR70" s="2" t="n">
        <v>6984.101585942029</v>
      </c>
      <c r="BS70" s="2" t="n">
        <v>855.0899130434782</v>
      </c>
      <c r="BT70" s="2" t="n">
        <v>0</v>
      </c>
      <c r="BU70" s="2" t="n">
        <v>1551.996805797101</v>
      </c>
      <c r="BV70" s="2" t="n">
        <v>2407.08671884058</v>
      </c>
      <c r="BW70" s="2" t="n">
        <v>9391.188304782609</v>
      </c>
      <c r="BX70" s="2" t="n">
        <v>5504.55</v>
      </c>
      <c r="BY70" s="2" t="n">
        <v>362.67</v>
      </c>
      <c r="BZ70" s="2" t="n">
        <v>1930.01</v>
      </c>
      <c r="CA70" s="2" t="n">
        <v>5867.22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1246</v>
      </c>
      <c r="B71" t="inlineStr">
        <is>
          <t>Dworcowa 1, 63-400 Ostrów Wlkp.</t>
        </is>
      </c>
      <c r="C71" t="inlineStr">
        <is>
          <t>Ostrów Wielkopolski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3666.97</v>
      </c>
      <c r="L71" s="2" t="n">
        <v>305.241299074074</v>
      </c>
      <c r="M71" s="2" t="n">
        <v>3395.342592592592</v>
      </c>
      <c r="N71" s="2" t="n">
        <v>1422.04</v>
      </c>
      <c r="O71" s="2" t="n">
        <v>2111.93</v>
      </c>
      <c r="P71" s="2" t="n">
        <v>133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7158.549999999999</v>
      </c>
      <c r="AD71" s="2" t="n">
        <v>457.3518055555555</v>
      </c>
      <c r="AE71" s="2" t="n">
        <v>6628.287037037036</v>
      </c>
      <c r="AF71" s="2" t="n">
        <v>2019.11</v>
      </c>
      <c r="AG71" s="2" t="n">
        <v>4887.57</v>
      </c>
      <c r="AH71" s="2" t="n">
        <v>251.87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8258.289999999999</v>
      </c>
      <c r="AP71" s="2" t="n">
        <v>604.0786203703703</v>
      </c>
      <c r="AQ71" s="2" t="n">
        <v>7646.564814814814</v>
      </c>
      <c r="AR71" s="2" t="n">
        <v>2474.61</v>
      </c>
      <c r="AS71" s="2" t="n">
        <v>5529.8</v>
      </c>
      <c r="AT71" s="2" t="n">
        <v>253.88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19083.81</v>
      </c>
      <c r="BB71" s="2" t="n">
        <v>13168.05</v>
      </c>
      <c r="BC71" s="2">
        <f>F71+L71+R71+X71+AD71+AJ71+AP71+AV71+IF(BE71="",0,BE71)</f>
        <v/>
      </c>
      <c r="BD71" s="2" t="n">
        <v>202.78797</v>
      </c>
      <c r="BE71" s="2" t="n"/>
      <c r="BF71" s="2" t="n">
        <v>17670.19444444444</v>
      </c>
      <c r="BG71" s="2" t="n">
        <v>0</v>
      </c>
      <c r="BH71" s="2" t="n">
        <v>113.4</v>
      </c>
      <c r="BI71" s="2" t="n">
        <v>14562.02</v>
      </c>
      <c r="BJ71" s="2" t="n">
        <v>58.77173913043478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177.768675</v>
      </c>
      <c r="BQ71" s="2" t="n">
        <v>25.51304347826087</v>
      </c>
      <c r="BR71" s="2" t="n">
        <v>14962.47345760869</v>
      </c>
      <c r="BS71" s="2" t="n">
        <v>855.0899130434782</v>
      </c>
      <c r="BT71" s="2" t="n">
        <v>0</v>
      </c>
      <c r="BU71" s="2" t="n">
        <v>3127.958939130435</v>
      </c>
      <c r="BV71" s="2" t="n">
        <v>3983.048852173913</v>
      </c>
      <c r="BW71" s="2" t="n">
        <v>18945.52230978261</v>
      </c>
      <c r="BX71" s="2" t="n">
        <v>12529.3</v>
      </c>
      <c r="BY71" s="2" t="n">
        <v>638.75</v>
      </c>
      <c r="BZ71" s="2" t="n">
        <v>5915.76</v>
      </c>
      <c r="CA71" s="2" t="n">
        <v>13168.05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1247</v>
      </c>
      <c r="B72" t="inlineStr">
        <is>
          <t>Kujawska 1, 87-100 Toruń</t>
        </is>
      </c>
      <c r="C72" t="inlineStr">
        <is>
          <t>Toruń</t>
        </is>
      </c>
      <c r="D72" t="inlineStr">
        <is>
          <t>FAA2000</t>
        </is>
      </c>
      <c r="E72" s="2" t="n">
        <v>617.86</v>
      </c>
      <c r="F72" s="2" t="n">
        <v>1000</v>
      </c>
      <c r="G72" s="2" t="n">
        <v>572.0925925925926</v>
      </c>
      <c r="H72" s="2" t="n">
        <v>441.78</v>
      </c>
      <c r="I72" s="2" t="n">
        <v>176.08</v>
      </c>
      <c r="J72" s="2" t="n">
        <v>0</v>
      </c>
      <c r="K72" s="2" t="n">
        <v>1404.55</v>
      </c>
      <c r="L72" s="2" t="n">
        <v>116.9157824074074</v>
      </c>
      <c r="M72" s="2" t="n">
        <v>1300.509259259259</v>
      </c>
      <c r="N72" s="2" t="n">
        <v>656.04</v>
      </c>
      <c r="O72" s="2" t="n">
        <v>705.8099999999999</v>
      </c>
      <c r="P72" s="2" t="n">
        <v>42.7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4721.349999999999</v>
      </c>
      <c r="AP72" s="2" t="n">
        <v>345.3580092592592</v>
      </c>
      <c r="AQ72" s="2" t="n">
        <v>4371.62037037037</v>
      </c>
      <c r="AR72" s="2" t="n">
        <v>2851.77</v>
      </c>
      <c r="AS72" s="2" t="n">
        <v>1849.38</v>
      </c>
      <c r="AT72" s="2" t="n">
        <v>20.2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6743.759999999999</v>
      </c>
      <c r="BB72" s="2" t="n">
        <v>2794.17</v>
      </c>
      <c r="BC72" s="2">
        <f>F72+L72+R72+X72+AD72+AJ72+AP72+AV72+IF(BE72="",0,BE72)</f>
        <v/>
      </c>
      <c r="BD72" s="2" t="n">
        <v>43.030218</v>
      </c>
      <c r="BE72" s="2" t="n"/>
      <c r="BF72" s="2" t="n">
        <v>6244.222222222221</v>
      </c>
      <c r="BG72" s="2" t="n">
        <v>0</v>
      </c>
      <c r="BH72" s="2" t="n">
        <v>0</v>
      </c>
      <c r="BI72" s="2" t="n">
        <v>14562.02</v>
      </c>
      <c r="BJ72" s="2" t="n">
        <v>58.77173913043478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37.721295</v>
      </c>
      <c r="BQ72" s="2" t="n">
        <v>25.51304347826087</v>
      </c>
      <c r="BR72" s="2" t="n">
        <v>14709.02607760869</v>
      </c>
      <c r="BS72" s="2" t="n">
        <v>855.0899130434782</v>
      </c>
      <c r="BT72" s="2" t="n">
        <v>0</v>
      </c>
      <c r="BU72" s="2" t="n">
        <v>3105.278939130435</v>
      </c>
      <c r="BV72" s="2" t="n">
        <v>3960.368852173914</v>
      </c>
      <c r="BW72" s="2" t="n">
        <v>18669.39492978261</v>
      </c>
      <c r="BX72" s="2" t="n">
        <v>2731.27</v>
      </c>
      <c r="BY72" s="2" t="n">
        <v>62.90000000000001</v>
      </c>
      <c r="BZ72" s="2" t="n">
        <v>3949.59</v>
      </c>
      <c r="CA72" s="2" t="n">
        <v>2794.17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1249</v>
      </c>
      <c r="B73" t="inlineStr">
        <is>
          <t>Stefana Okrzei 65, 87-810 Włocławek</t>
        </is>
      </c>
      <c r="C73" t="inlineStr">
        <is>
          <t>Włocławek</t>
        </is>
      </c>
      <c r="D73" t="inlineStr">
        <is>
          <t>FAA2000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1071.82</v>
      </c>
      <c r="L73" s="2" t="n">
        <v>89.21909074074074</v>
      </c>
      <c r="M73" s="2" t="n">
        <v>992.4259259259258</v>
      </c>
      <c r="N73" s="2" t="n">
        <v>232.38</v>
      </c>
      <c r="O73" s="2" t="n">
        <v>658.86</v>
      </c>
      <c r="P73" s="2" t="n">
        <v>180.58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4416.72</v>
      </c>
      <c r="AP73" s="2" t="n">
        <v>323.0748888888889</v>
      </c>
      <c r="AQ73" s="2" t="n">
        <v>4089.555555555556</v>
      </c>
      <c r="AR73" s="2" t="n">
        <v>1620.96</v>
      </c>
      <c r="AS73" s="2" t="n">
        <v>2593.12</v>
      </c>
      <c r="AT73" s="2" t="n">
        <v>202.64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5488.54</v>
      </c>
      <c r="BB73" s="2" t="n">
        <v>3635.2</v>
      </c>
      <c r="BC73" s="2">
        <f>F73+L73+R73+X73+AD73+AJ73+AP73+AV73+IF(BE73="",0,BE73)</f>
        <v/>
      </c>
      <c r="BD73" s="2" t="n">
        <v>55.98208</v>
      </c>
      <c r="BE73" s="2" t="n"/>
      <c r="BF73" s="2" t="n">
        <v>5081.981481481482</v>
      </c>
      <c r="BG73" s="2" t="n">
        <v>694.6900000000001</v>
      </c>
      <c r="BH73" s="2" t="n">
        <v>106</v>
      </c>
      <c r="BI73" s="2" t="n">
        <v>14562.02</v>
      </c>
      <c r="BJ73" s="2" t="n">
        <v>58.77173913043478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49.0752</v>
      </c>
      <c r="BQ73" s="2" t="n">
        <v>25.51304347826087</v>
      </c>
      <c r="BR73" s="2" t="n">
        <v>15521.06998260869</v>
      </c>
      <c r="BS73" s="2" t="n">
        <v>855.0899130434782</v>
      </c>
      <c r="BT73" s="2" t="n">
        <v>0</v>
      </c>
      <c r="BU73" s="2" t="n">
        <v>3265.416939130435</v>
      </c>
      <c r="BV73" s="2" t="n">
        <v>4120.506852173913</v>
      </c>
      <c r="BW73" s="2" t="n">
        <v>19641.57683478261</v>
      </c>
      <c r="BX73" s="2" t="n">
        <v>3251.98</v>
      </c>
      <c r="BY73" s="2" t="n">
        <v>383.22</v>
      </c>
      <c r="BZ73" s="2" t="n">
        <v>1853.34</v>
      </c>
      <c r="CA73" s="2" t="n">
        <v>3635.2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1250</v>
      </c>
      <c r="B74" t="inlineStr">
        <is>
          <t>Kolejowa 3, 58-540 Karpacz</t>
        </is>
      </c>
      <c r="C74" t="inlineStr">
        <is>
          <t>Karpacz</t>
        </is>
      </c>
      <c r="D74" t="inlineStr">
        <is>
          <t>ST|40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10924.03</v>
      </c>
      <c r="R74" s="2" t="n">
        <v>2500</v>
      </c>
      <c r="S74" s="2" t="n">
        <v>10114.84259259259</v>
      </c>
      <c r="T74" s="2" t="n">
        <v>0</v>
      </c>
      <c r="U74" s="2" t="n">
        <v>9037.5</v>
      </c>
      <c r="V74" s="2" t="n">
        <v>1886.53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10924.03</v>
      </c>
      <c r="BB74" s="2" t="n">
        <v>10924.03</v>
      </c>
      <c r="BC74" s="2">
        <f>F74+L74+R74+X74+AD74+AJ74+AP74+AV74+IF(BE74="",0,BE74)</f>
        <v/>
      </c>
      <c r="BD74" s="2" t="n">
        <v>168.230062</v>
      </c>
      <c r="BE74" s="2" t="n"/>
      <c r="BF74" s="2" t="n">
        <v>10114.84259259259</v>
      </c>
      <c r="BG74" s="2" t="n">
        <v>0</v>
      </c>
      <c r="BH74" s="2" t="n">
        <v>0</v>
      </c>
      <c r="BI74" s="2" t="n">
        <v>14562.02</v>
      </c>
      <c r="BJ74" s="2" t="n">
        <v>58.77173913043478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147.474405</v>
      </c>
      <c r="BQ74" s="2" t="n">
        <v>25.51304347826087</v>
      </c>
      <c r="BR74" s="2" t="n">
        <v>14818.7791876087</v>
      </c>
      <c r="BS74" s="2" t="n">
        <v>855.0899130434782</v>
      </c>
      <c r="BT74" s="2" t="n">
        <v>0</v>
      </c>
      <c r="BU74" s="2" t="n">
        <v>3105.278939130435</v>
      </c>
      <c r="BV74" s="2" t="n">
        <v>3960.368852173914</v>
      </c>
      <c r="BW74" s="2" t="n">
        <v>18779.14803978261</v>
      </c>
      <c r="BX74" s="2" t="n">
        <v>9037.5</v>
      </c>
      <c r="BY74" s="2" t="n">
        <v>1886.53</v>
      </c>
      <c r="BZ74" s="2" t="n">
        <v>0</v>
      </c>
      <c r="CA74" s="2" t="n">
        <v>10924.03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1252</v>
      </c>
      <c r="B75" t="inlineStr">
        <is>
          <t>Krakowska 48, 46-020 Opole</t>
        </is>
      </c>
      <c r="C75" t="inlineStr">
        <is>
          <t>Opole Główne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6771.959999999999</v>
      </c>
      <c r="L75" s="2" t="n">
        <v>563.7029666666666</v>
      </c>
      <c r="M75" s="2" t="n">
        <v>6270.333333333332</v>
      </c>
      <c r="N75" s="2" t="n">
        <v>1968.6</v>
      </c>
      <c r="O75" s="2" t="n">
        <v>4803.36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12714.77</v>
      </c>
      <c r="AP75" s="2" t="n">
        <v>930.0618796296295</v>
      </c>
      <c r="AQ75" s="2" t="n">
        <v>11772.93518518518</v>
      </c>
      <c r="AR75" s="2" t="n">
        <v>3651.53</v>
      </c>
      <c r="AS75" s="2" t="n">
        <v>9063.24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19486.73</v>
      </c>
      <c r="BB75" s="2" t="n">
        <v>13866.6</v>
      </c>
      <c r="BC75" s="2">
        <f>F75+L75+R75+X75+AD75+AJ75+AP75+AV75+IF(BE75="",0,BE75)</f>
        <v/>
      </c>
      <c r="BD75" s="2" t="n">
        <v>213.54564</v>
      </c>
      <c r="BE75" s="2" t="n"/>
      <c r="BF75" s="2" t="n">
        <v>18043.26851851852</v>
      </c>
      <c r="BG75" s="2" t="n">
        <v>0</v>
      </c>
      <c r="BH75" s="2" t="n">
        <v>0</v>
      </c>
      <c r="BI75" s="2" t="n">
        <v>14562.02</v>
      </c>
      <c r="BJ75" s="2" t="n">
        <v>58.77173913043478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187.1991</v>
      </c>
      <c r="BQ75" s="2" t="n">
        <v>25.51304347826087</v>
      </c>
      <c r="BR75" s="2" t="n">
        <v>14858.50388260869</v>
      </c>
      <c r="BS75" s="2" t="n">
        <v>855.0899130434782</v>
      </c>
      <c r="BT75" s="2" t="n">
        <v>0</v>
      </c>
      <c r="BU75" s="2" t="n">
        <v>3105.278939130435</v>
      </c>
      <c r="BV75" s="2" t="n">
        <v>3960.368852173914</v>
      </c>
      <c r="BW75" s="2" t="n">
        <v>18818.87273478261</v>
      </c>
      <c r="BX75" s="2" t="n">
        <v>13866.6</v>
      </c>
      <c r="BY75" s="2" t="n">
        <v>0</v>
      </c>
      <c r="BZ75" s="2" t="n">
        <v>5620.13</v>
      </c>
      <c r="CA75" s="2" t="n">
        <v>13866.6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1254</v>
      </c>
      <c r="B76" t="inlineStr">
        <is>
          <t>Stacyjna 5, 53-600 Wrocław</t>
        </is>
      </c>
      <c r="C76" t="inlineStr">
        <is>
          <t>Wrocław Mikołajów</t>
        </is>
      </c>
      <c r="D76" t="inlineStr">
        <is>
          <t>FAA2000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2582.54</v>
      </c>
      <c r="L76" s="2" t="n">
        <v>214.9725425925926</v>
      </c>
      <c r="M76" s="2" t="n">
        <v>2391.24074074074</v>
      </c>
      <c r="N76" s="2" t="n">
        <v>952.75</v>
      </c>
      <c r="O76" s="2" t="n">
        <v>1518.29</v>
      </c>
      <c r="P76" s="2" t="n">
        <v>111.5</v>
      </c>
      <c r="Q76" s="2" t="n">
        <v>10110.78</v>
      </c>
      <c r="R76" s="2" t="n">
        <v>1600</v>
      </c>
      <c r="S76" s="2" t="n">
        <v>9361.833333333332</v>
      </c>
      <c r="T76" s="2" t="n">
        <v>1793.33</v>
      </c>
      <c r="U76" s="2" t="n">
        <v>7842.36</v>
      </c>
      <c r="V76" s="2" t="n">
        <v>475.09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8211.25</v>
      </c>
      <c r="AP76" s="2" t="n">
        <v>600.6377314814815</v>
      </c>
      <c r="AQ76" s="2" t="n">
        <v>7603.009259259259</v>
      </c>
      <c r="AR76" s="2" t="n">
        <v>1984.67</v>
      </c>
      <c r="AS76" s="2" t="n">
        <v>5893.72</v>
      </c>
      <c r="AT76" s="2" t="n">
        <v>332.86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20904.57</v>
      </c>
      <c r="BB76" s="2" t="n">
        <v>16173.82</v>
      </c>
      <c r="BC76" s="2">
        <f>F76+L76+R76+X76+AD76+AJ76+AP76+AV76+IF(BE76="",0,BE76)</f>
        <v/>
      </c>
      <c r="BD76" s="2" t="n">
        <v>249.076828</v>
      </c>
      <c r="BE76" s="2" t="n"/>
      <c r="BF76" s="2" t="n">
        <v>19356.08333333333</v>
      </c>
      <c r="BG76" s="2" t="n">
        <v>0</v>
      </c>
      <c r="BH76" s="2" t="n">
        <v>0</v>
      </c>
      <c r="BI76" s="2" t="n">
        <v>14562.02</v>
      </c>
      <c r="BJ76" s="2" t="n">
        <v>58.77173913043478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218.34657</v>
      </c>
      <c r="BQ76" s="2" t="n">
        <v>25.51304347826087</v>
      </c>
      <c r="BR76" s="2" t="n">
        <v>14889.65135260869</v>
      </c>
      <c r="BS76" s="2" t="n">
        <v>855.0899130434782</v>
      </c>
      <c r="BT76" s="2" t="n">
        <v>0</v>
      </c>
      <c r="BU76" s="2" t="n">
        <v>3105.278939130435</v>
      </c>
      <c r="BV76" s="2" t="n">
        <v>3960.368852173914</v>
      </c>
      <c r="BW76" s="2" t="n">
        <v>18850.02020478261</v>
      </c>
      <c r="BX76" s="2" t="n">
        <v>15254.37</v>
      </c>
      <c r="BY76" s="2" t="n">
        <v>919.4499999999999</v>
      </c>
      <c r="BZ76" s="2" t="n">
        <v>4730.75</v>
      </c>
      <c r="CA76" s="2" t="n">
        <v>16173.82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1256</v>
      </c>
      <c r="B77" t="inlineStr">
        <is>
          <t>Dworcowa 2, 61-801 Poznań</t>
        </is>
      </c>
      <c r="C77" t="inlineStr">
        <is>
          <t>Poznań Główny</t>
        </is>
      </c>
      <c r="D77" t="inlineStr">
        <is>
          <t>FAA2000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2435.63</v>
      </c>
      <c r="L77" s="2" t="n">
        <v>202.7436453703704</v>
      </c>
      <c r="M77" s="2" t="n">
        <v>2255.212962962963</v>
      </c>
      <c r="N77" s="2" t="n">
        <v>351.07</v>
      </c>
      <c r="O77" s="2" t="n">
        <v>1879.32</v>
      </c>
      <c r="P77" s="2" t="n">
        <v>205.24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4844.35</v>
      </c>
      <c r="AD77" s="2" t="n">
        <v>309.5001388888889</v>
      </c>
      <c r="AE77" s="2" t="n">
        <v>4485.509259259259</v>
      </c>
      <c r="AF77" s="2" t="n">
        <v>585.52</v>
      </c>
      <c r="AG77" s="2" t="n">
        <v>4097.4</v>
      </c>
      <c r="AH77" s="2" t="n">
        <v>161.43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1159.98</v>
      </c>
      <c r="AP77" s="2" t="n">
        <v>84.85038888888889</v>
      </c>
      <c r="AQ77" s="2" t="n">
        <v>1074.055555555555</v>
      </c>
      <c r="AR77" s="2" t="n">
        <v>143.09</v>
      </c>
      <c r="AS77" s="2" t="n">
        <v>941.6900000000001</v>
      </c>
      <c r="AT77" s="2" t="n">
        <v>75.2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8439.960000000001</v>
      </c>
      <c r="BB77" s="2" t="n">
        <v>7360.28</v>
      </c>
      <c r="BC77" s="2">
        <f>F77+L77+R77+X77+AD77+AJ77+AP77+AV77+IF(BE77="",0,BE77)</f>
        <v/>
      </c>
      <c r="BD77" s="2" t="n">
        <v>113.348312</v>
      </c>
      <c r="BE77" s="2" t="n"/>
      <c r="BF77" s="2" t="n">
        <v>7814.777777777778</v>
      </c>
      <c r="BG77" s="2" t="n">
        <v>458.58</v>
      </c>
      <c r="BH77" s="2" t="n">
        <v>0</v>
      </c>
      <c r="BI77" s="2" t="n">
        <v>14562.02</v>
      </c>
      <c r="BJ77" s="2" t="n">
        <v>58.77173913043478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99.36377999999999</v>
      </c>
      <c r="BQ77" s="2" t="n">
        <v>25.51304347826087</v>
      </c>
      <c r="BR77" s="2" t="n">
        <v>15229.24856260869</v>
      </c>
      <c r="BS77" s="2" t="n">
        <v>855.0899130434782</v>
      </c>
      <c r="BT77" s="2" t="n">
        <v>0</v>
      </c>
      <c r="BU77" s="2" t="n">
        <v>3196.994939130435</v>
      </c>
      <c r="BV77" s="2" t="n">
        <v>4052.084852173913</v>
      </c>
      <c r="BW77" s="2" t="n">
        <v>19281.33341478261</v>
      </c>
      <c r="BX77" s="2" t="n">
        <v>6918.41</v>
      </c>
      <c r="BY77" s="2" t="n">
        <v>441.87</v>
      </c>
      <c r="BZ77" s="2" t="n">
        <v>1079.68</v>
      </c>
      <c r="CA77" s="2" t="n">
        <v>7360.28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1257</v>
      </c>
      <c r="B78" t="inlineStr">
        <is>
          <t>Dworcowa 2, 61-801 Poznań</t>
        </is>
      </c>
      <c r="C78" t="inlineStr">
        <is>
          <t>Poznań Główny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5470.349999999999</v>
      </c>
      <c r="L78" s="2" t="n">
        <v>455.3559861111111</v>
      </c>
      <c r="M78" s="2" t="n">
        <v>5065.138888888888</v>
      </c>
      <c r="N78" s="2" t="n">
        <v>757.45</v>
      </c>
      <c r="O78" s="2" t="n">
        <v>4712.9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13043.9</v>
      </c>
      <c r="AD78" s="2" t="n">
        <v>833.3602777777778</v>
      </c>
      <c r="AE78" s="2" t="n">
        <v>12077.68518518518</v>
      </c>
      <c r="AF78" s="2" t="n">
        <v>2275.22</v>
      </c>
      <c r="AG78" s="2" t="n">
        <v>10768.68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3631.43</v>
      </c>
      <c r="AP78" s="2" t="n">
        <v>265.6323796296296</v>
      </c>
      <c r="AQ78" s="2" t="n">
        <v>3362.435185185185</v>
      </c>
      <c r="AR78" s="2" t="n">
        <v>289.71</v>
      </c>
      <c r="AS78" s="2" t="n">
        <v>3341.72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22145.68</v>
      </c>
      <c r="BB78" s="2" t="n">
        <v>18823.3</v>
      </c>
      <c r="BC78" s="2">
        <f>F78+L78+R78+X78+AD78+AJ78+AP78+AV78+IF(BE78="",0,BE78)</f>
        <v/>
      </c>
      <c r="BD78" s="2" t="n">
        <v>289.87882</v>
      </c>
      <c r="BE78" s="2" t="n"/>
      <c r="BF78" s="2" t="n">
        <v>20505.25925925926</v>
      </c>
      <c r="BG78" s="2" t="n">
        <v>458.58</v>
      </c>
      <c r="BH78" s="2" t="n">
        <v>0</v>
      </c>
      <c r="BI78" s="2" t="n">
        <v>14562.02</v>
      </c>
      <c r="BJ78" s="2" t="n">
        <v>58.77173913043478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254.11455</v>
      </c>
      <c r="BQ78" s="2" t="n">
        <v>25.51304347826087</v>
      </c>
      <c r="BR78" s="2" t="n">
        <v>15383.9993326087</v>
      </c>
      <c r="BS78" s="2" t="n">
        <v>855.0899130434782</v>
      </c>
      <c r="BT78" s="2" t="n">
        <v>0</v>
      </c>
      <c r="BU78" s="2" t="n">
        <v>3196.994939130435</v>
      </c>
      <c r="BV78" s="2" t="n">
        <v>4052.084852173913</v>
      </c>
      <c r="BW78" s="2" t="n">
        <v>19436.08418478261</v>
      </c>
      <c r="BX78" s="2" t="n">
        <v>18823.3</v>
      </c>
      <c r="BY78" s="2" t="n">
        <v>0</v>
      </c>
      <c r="BZ78" s="2" t="n">
        <v>3322.38</v>
      </c>
      <c r="CA78" s="2" t="n">
        <v>18823.3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1259</v>
      </c>
      <c r="B79" t="inlineStr">
        <is>
          <t>Kolejowa 4, 64-020 Czempin</t>
        </is>
      </c>
      <c r="C79" t="inlineStr">
        <is>
          <t>Czempiń</t>
        </is>
      </c>
      <c r="D79" t="inlineStr">
        <is>
          <t>ST|40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2656.87</v>
      </c>
      <c r="AD79" s="2" t="n">
        <v>169.7444722222222</v>
      </c>
      <c r="AE79" s="2" t="n">
        <v>2460.064814814815</v>
      </c>
      <c r="AF79" s="2" t="n">
        <v>1134.53</v>
      </c>
      <c r="AG79" s="2" t="n">
        <v>1414.02</v>
      </c>
      <c r="AH79" s="2" t="n">
        <v>108.32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2098.02</v>
      </c>
      <c r="AP79" s="2" t="n">
        <v>153.4662777777777</v>
      </c>
      <c r="AQ79" s="2" t="n">
        <v>1942.611111111111</v>
      </c>
      <c r="AR79" s="2" t="n">
        <v>580.85</v>
      </c>
      <c r="AS79" s="2" t="n">
        <v>1427.27</v>
      </c>
      <c r="AT79" s="2" t="n">
        <v>89.90000000000001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4754.89</v>
      </c>
      <c r="BB79" s="2" t="n">
        <v>3039.51</v>
      </c>
      <c r="BC79" s="2">
        <f>F79+L79+R79+X79+AD79+AJ79+AP79+AV79+IF(BE79="",0,BE79)</f>
        <v/>
      </c>
      <c r="BD79" s="2" t="n">
        <v>46.808454</v>
      </c>
      <c r="BE79" s="2" t="n"/>
      <c r="BF79" s="2" t="n">
        <v>4402.675925925925</v>
      </c>
      <c r="BG79" s="2" t="n">
        <v>0</v>
      </c>
      <c r="BH79" s="2" t="n">
        <v>0</v>
      </c>
      <c r="BI79" s="2" t="n">
        <v>14562.02</v>
      </c>
      <c r="BJ79" s="2" t="n">
        <v>58.77173913043478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41.033385</v>
      </c>
      <c r="BQ79" s="2" t="n">
        <v>25.51304347826087</v>
      </c>
      <c r="BR79" s="2" t="n">
        <v>14712.3381676087</v>
      </c>
      <c r="BS79" s="2" t="n">
        <v>855.0899130434782</v>
      </c>
      <c r="BT79" s="2" t="n">
        <v>0</v>
      </c>
      <c r="BU79" s="2" t="n">
        <v>3105.278939130435</v>
      </c>
      <c r="BV79" s="2" t="n">
        <v>3960.368852173914</v>
      </c>
      <c r="BW79" s="2" t="n">
        <v>18672.70701978261</v>
      </c>
      <c r="BX79" s="2" t="n">
        <v>2841.29</v>
      </c>
      <c r="BY79" s="2" t="n">
        <v>198.22</v>
      </c>
      <c r="BZ79" s="2" t="n">
        <v>1715.38</v>
      </c>
      <c r="CA79" s="2" t="n">
        <v>3039.51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1261</v>
      </c>
      <c r="B80" t="inlineStr">
        <is>
          <t>Pawia 5a, 31-154 Kraków</t>
        </is>
      </c>
      <c r="C80" t="inlineStr">
        <is>
          <t>Kraków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11429.37</v>
      </c>
      <c r="L80" s="2" t="n">
        <v>951.3892249999999</v>
      </c>
      <c r="M80" s="2" t="n">
        <v>10582.75</v>
      </c>
      <c r="N80" s="2" t="n">
        <v>977.5700000000001</v>
      </c>
      <c r="O80" s="2" t="n">
        <v>10289.3</v>
      </c>
      <c r="P80" s="2" t="n">
        <v>162.5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16653.25</v>
      </c>
      <c r="X80" s="2" t="n">
        <v>750</v>
      </c>
      <c r="Y80" s="2" t="n">
        <v>15419.67592592593</v>
      </c>
      <c r="Z80" s="2" t="n">
        <v>1943.23</v>
      </c>
      <c r="AA80" s="2" t="n">
        <v>14420.34</v>
      </c>
      <c r="AB80" s="2" t="n">
        <v>289.68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6588.71</v>
      </c>
      <c r="AP80" s="2" t="n">
        <v>481.9519351851852</v>
      </c>
      <c r="AQ80" s="2" t="n">
        <v>6100.657407407407</v>
      </c>
      <c r="AR80" s="2" t="n">
        <v>1109.71</v>
      </c>
      <c r="AS80" s="2" t="n">
        <v>5447.82</v>
      </c>
      <c r="AT80" s="2" t="n">
        <v>31.18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34671.33</v>
      </c>
      <c r="BB80" s="2" t="n">
        <v>30640.82</v>
      </c>
      <c r="BC80" s="2">
        <f>F80+L80+R80+X80+AD80+AJ80+AP80+AV80+IF(BE80="",0,BE80)</f>
        <v/>
      </c>
      <c r="BD80" s="2" t="n">
        <v>443.91959</v>
      </c>
      <c r="BE80" s="2" t="n"/>
      <c r="BF80" s="2" t="n">
        <v>32103.08333333333</v>
      </c>
      <c r="BG80" s="2" t="n">
        <v>1380</v>
      </c>
      <c r="BH80" s="2" t="n">
        <v>0</v>
      </c>
      <c r="BI80" s="2" t="n">
        <v>14562.02</v>
      </c>
      <c r="BJ80" s="2" t="n">
        <v>58.77173913043478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413.65107</v>
      </c>
      <c r="BQ80" s="2" t="n">
        <v>25.51304347826087</v>
      </c>
      <c r="BR80" s="2" t="n">
        <v>16464.9558526087</v>
      </c>
      <c r="BS80" s="2" t="n">
        <v>855.0899130434782</v>
      </c>
      <c r="BT80" s="2" t="n">
        <v>0</v>
      </c>
      <c r="BU80" s="2" t="n">
        <v>3381.278939130435</v>
      </c>
      <c r="BV80" s="2" t="n">
        <v>4236.368852173913</v>
      </c>
      <c r="BW80" s="2" t="n">
        <v>20701.32470478261</v>
      </c>
      <c r="BX80" s="2" t="n">
        <v>30157.46</v>
      </c>
      <c r="BY80" s="2" t="n">
        <v>483.36</v>
      </c>
      <c r="BZ80" s="2" t="n">
        <v>4030.51</v>
      </c>
      <c r="CA80" s="2" t="n">
        <v>30640.82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1262</v>
      </c>
      <c r="B81" t="inlineStr">
        <is>
          <t>Pawia 5a, 31-154 Kraków</t>
        </is>
      </c>
      <c r="C81" t="inlineStr">
        <is>
          <t>Kraków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6885.33</v>
      </c>
      <c r="L81" s="2" t="n">
        <v>573.1399694444444</v>
      </c>
      <c r="M81" s="2" t="n">
        <v>6375.305555555555</v>
      </c>
      <c r="N81" s="2" t="n">
        <v>1081.49</v>
      </c>
      <c r="O81" s="2" t="n">
        <v>5706.74</v>
      </c>
      <c r="P81" s="2" t="n">
        <v>97.09999999999999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10914.75</v>
      </c>
      <c r="X81" s="2" t="n">
        <v>750</v>
      </c>
      <c r="Y81" s="2" t="n">
        <v>10106.25</v>
      </c>
      <c r="Z81" s="2" t="n">
        <v>1558.87</v>
      </c>
      <c r="AA81" s="2" t="n">
        <v>9237.74</v>
      </c>
      <c r="AB81" s="2" t="n">
        <v>118.14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5159.41</v>
      </c>
      <c r="AP81" s="2" t="n">
        <v>377.401287037037</v>
      </c>
      <c r="AQ81" s="2" t="n">
        <v>4777.231481481481</v>
      </c>
      <c r="AR81" s="2" t="n">
        <v>919.95</v>
      </c>
      <c r="AS81" s="2" t="n">
        <v>4138.45</v>
      </c>
      <c r="AT81" s="2" t="n">
        <v>101.01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22959.49</v>
      </c>
      <c r="BB81" s="2" t="n">
        <v>19399.18</v>
      </c>
      <c r="BC81" s="2">
        <f>F81+L81+R81+X81+AD81+AJ81+AP81+AV81+IF(BE81="",0,BE81)</f>
        <v/>
      </c>
      <c r="BD81" s="2" t="n">
        <v>280.9712</v>
      </c>
      <c r="BE81" s="2" t="n"/>
      <c r="BF81" s="2" t="n">
        <v>21258.78703703704</v>
      </c>
      <c r="BG81" s="2" t="n">
        <v>1380</v>
      </c>
      <c r="BH81" s="2" t="n">
        <v>0</v>
      </c>
      <c r="BI81" s="2" t="n">
        <v>14562.02</v>
      </c>
      <c r="BJ81" s="2" t="n">
        <v>58.77173913043478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261.88893</v>
      </c>
      <c r="BQ81" s="2" t="n">
        <v>25.51304347826087</v>
      </c>
      <c r="BR81" s="2" t="n">
        <v>16313.19371260869</v>
      </c>
      <c r="BS81" s="2" t="n">
        <v>855.0899130434782</v>
      </c>
      <c r="BT81" s="2" t="n">
        <v>0</v>
      </c>
      <c r="BU81" s="2" t="n">
        <v>3381.278939130435</v>
      </c>
      <c r="BV81" s="2" t="n">
        <v>4236.368852173913</v>
      </c>
      <c r="BW81" s="2" t="n">
        <v>20549.56256478261</v>
      </c>
      <c r="BX81" s="2" t="n">
        <v>19082.93</v>
      </c>
      <c r="BY81" s="2" t="n">
        <v>316.25</v>
      </c>
      <c r="BZ81" s="2" t="n">
        <v>3560.309999999999</v>
      </c>
      <c r="CA81" s="2" t="n">
        <v>19399.18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1263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32027.97</v>
      </c>
      <c r="L82" s="2" t="n">
        <v>2666.031947222222</v>
      </c>
      <c r="M82" s="2" t="n">
        <v>29655.52777777777</v>
      </c>
      <c r="N82" s="2" t="n">
        <v>5094.14</v>
      </c>
      <c r="O82" s="2" t="n">
        <v>25327.78</v>
      </c>
      <c r="P82" s="2" t="n">
        <v>1606.05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77197.32000000001</v>
      </c>
      <c r="X82" s="2" t="n">
        <v>750</v>
      </c>
      <c r="Y82" s="2" t="n">
        <v>71479</v>
      </c>
      <c r="Z82" s="2" t="n">
        <v>5796.14</v>
      </c>
      <c r="AA82" s="2" t="n">
        <v>70336.86</v>
      </c>
      <c r="AB82" s="2" t="n">
        <v>1064.32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19720.27</v>
      </c>
      <c r="AP82" s="2" t="n">
        <v>1442.501231481481</v>
      </c>
      <c r="AQ82" s="2" t="n">
        <v>18259.50925925926</v>
      </c>
      <c r="AR82" s="2" t="n">
        <v>2796.52</v>
      </c>
      <c r="AS82" s="2" t="n">
        <v>16372.76</v>
      </c>
      <c r="AT82" s="2" t="n">
        <v>550.99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128945.56</v>
      </c>
      <c r="BB82" s="2" t="n">
        <v>115258.76</v>
      </c>
      <c r="BC82" s="2">
        <f>F82+L82+R82+X82+AD82+AJ82+AP82+AV82+IF(BE82="",0,BE82)</f>
        <v/>
      </c>
      <c r="BD82" s="2" t="n">
        <v>1639.322662</v>
      </c>
      <c r="BE82" s="2" t="n"/>
      <c r="BF82" s="2" t="n">
        <v>119394.037037037</v>
      </c>
      <c r="BG82" s="2" t="n">
        <v>1380</v>
      </c>
      <c r="BH82" s="2" t="n">
        <v>0</v>
      </c>
      <c r="BI82" s="2" t="n">
        <v>14562.02</v>
      </c>
      <c r="BJ82" s="2" t="n">
        <v>58.77173913043478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1555.99326</v>
      </c>
      <c r="BQ82" s="2" t="n">
        <v>25.51304347826087</v>
      </c>
      <c r="BR82" s="2" t="n">
        <v>17607.2980426087</v>
      </c>
      <c r="BS82" s="2" t="n">
        <v>855.0899130434782</v>
      </c>
      <c r="BT82" s="2" t="n">
        <v>0</v>
      </c>
      <c r="BU82" s="2" t="n">
        <v>3381.278939130435</v>
      </c>
      <c r="BV82" s="2" t="n">
        <v>4236.368852173913</v>
      </c>
      <c r="BW82" s="2" t="n">
        <v>21843.66689478261</v>
      </c>
      <c r="BX82" s="2" t="n">
        <v>112037.4</v>
      </c>
      <c r="BY82" s="2" t="n">
        <v>3221.36</v>
      </c>
      <c r="BZ82" s="2" t="n">
        <v>13686.8</v>
      </c>
      <c r="CA82" s="2" t="n">
        <v>115258.76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1264</v>
      </c>
      <c r="B83" t="inlineStr">
        <is>
          <t>Dworcowa 1, 66-400 Gorzów Wlkp</t>
        </is>
      </c>
      <c r="C83" t="inlineStr">
        <is>
          <t>Gorzów Wielkopolski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801.73</v>
      </c>
      <c r="L83" s="2" t="n">
        <v>66.73659907407408</v>
      </c>
      <c r="M83" s="2" t="n">
        <v>742.3425925925926</v>
      </c>
      <c r="N83" s="2" t="n">
        <v>146.77</v>
      </c>
      <c r="O83" s="2" t="n">
        <v>485.95</v>
      </c>
      <c r="P83" s="2" t="n">
        <v>169.01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9180.18</v>
      </c>
      <c r="AP83" s="2" t="n">
        <v>671.5131666666666</v>
      </c>
      <c r="AQ83" s="2" t="n">
        <v>8500.166666666666</v>
      </c>
      <c r="AR83" s="2" t="n">
        <v>1571.86</v>
      </c>
      <c r="AS83" s="2" t="n">
        <v>6922.55</v>
      </c>
      <c r="AT83" s="2" t="n">
        <v>685.77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9981.91</v>
      </c>
      <c r="BB83" s="2" t="n">
        <v>8263.279999999999</v>
      </c>
      <c r="BC83" s="2">
        <f>F83+L83+R83+X83+AD83+AJ83+AP83+AV83+IF(BE83="",0,BE83)</f>
        <v/>
      </c>
      <c r="BD83" s="2" t="n">
        <v>127.254512</v>
      </c>
      <c r="BE83" s="2" t="n"/>
      <c r="BF83" s="2" t="n">
        <v>9242.509259259259</v>
      </c>
      <c r="BG83" s="2" t="n">
        <v>366.96</v>
      </c>
      <c r="BH83" s="2" t="n">
        <v>261</v>
      </c>
      <c r="BI83" s="2" t="n">
        <v>14562.02</v>
      </c>
      <c r="BJ83" s="2" t="n">
        <v>58.77173913043478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111.55428</v>
      </c>
      <c r="BQ83" s="2" t="n">
        <v>25.51304347826087</v>
      </c>
      <c r="BR83" s="2" t="n">
        <v>15410.81906260869</v>
      </c>
      <c r="BS83" s="2" t="n">
        <v>855.0899130434782</v>
      </c>
      <c r="BT83" s="2" t="n">
        <v>0</v>
      </c>
      <c r="BU83" s="2" t="n">
        <v>3230.870939130435</v>
      </c>
      <c r="BV83" s="2" t="n">
        <v>4085.960852173913</v>
      </c>
      <c r="BW83" s="2" t="n">
        <v>19496.77991478261</v>
      </c>
      <c r="BX83" s="2" t="n">
        <v>7408.5</v>
      </c>
      <c r="BY83" s="2" t="n">
        <v>854.78</v>
      </c>
      <c r="BZ83" s="2" t="n">
        <v>1718.63</v>
      </c>
      <c r="CA83" s="2" t="n">
        <v>8263.280000000001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1265</v>
      </c>
      <c r="B84" t="inlineStr">
        <is>
          <t>pl. Kolejarza 1, 65-024 Zielona Góra</t>
        </is>
      </c>
      <c r="C84" t="inlineStr">
        <is>
          <t>Zielona Góra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3550.24</v>
      </c>
      <c r="L84" s="2" t="n">
        <v>295.5246074074074</v>
      </c>
      <c r="M84" s="2" t="n">
        <v>3287.259259259259</v>
      </c>
      <c r="N84" s="2" t="n">
        <v>1257.42</v>
      </c>
      <c r="O84" s="2" t="n">
        <v>1732.09</v>
      </c>
      <c r="P84" s="2" t="n">
        <v>560.73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5271.27</v>
      </c>
      <c r="AP84" s="2" t="n">
        <v>385.5836388888889</v>
      </c>
      <c r="AQ84" s="2" t="n">
        <v>4880.805555555555</v>
      </c>
      <c r="AR84" s="2" t="n">
        <v>2718.94</v>
      </c>
      <c r="AS84" s="2" t="n">
        <v>2153.14</v>
      </c>
      <c r="AT84" s="2" t="n">
        <v>399.19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8821.51</v>
      </c>
      <c r="BB84" s="2" t="n">
        <v>4845.15</v>
      </c>
      <c r="BC84" s="2">
        <f>F84+L84+R84+X84+AD84+AJ84+AP84+AV84+IF(BE84="",0,BE84)</f>
        <v/>
      </c>
      <c r="BD84" s="2" t="n">
        <v>74.61530999999999</v>
      </c>
      <c r="BE84" s="2" t="n"/>
      <c r="BF84" s="2" t="n">
        <v>8168.064814814814</v>
      </c>
      <c r="BG84" s="2" t="n">
        <v>366.96</v>
      </c>
      <c r="BH84" s="2" t="n">
        <v>159</v>
      </c>
      <c r="BI84" s="2" t="n">
        <v>14562.02</v>
      </c>
      <c r="BJ84" s="2" t="n">
        <v>58.77173913043478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65.409525</v>
      </c>
      <c r="BQ84" s="2" t="n">
        <v>25.51304347826087</v>
      </c>
      <c r="BR84" s="2" t="n">
        <v>15262.67430760869</v>
      </c>
      <c r="BS84" s="2" t="n">
        <v>855.0899130434782</v>
      </c>
      <c r="BT84" s="2" t="n">
        <v>0</v>
      </c>
      <c r="BU84" s="2" t="n">
        <v>3210.470939130435</v>
      </c>
      <c r="BV84" s="2" t="n">
        <v>4065.560852173913</v>
      </c>
      <c r="BW84" s="2" t="n">
        <v>19328.23515978261</v>
      </c>
      <c r="BX84" s="2" t="n">
        <v>3885.23</v>
      </c>
      <c r="BY84" s="2" t="n">
        <v>959.9200000000001</v>
      </c>
      <c r="BZ84" s="2" t="n">
        <v>3976.36</v>
      </c>
      <c r="CA84" s="2" t="n">
        <v>4845.15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1266</v>
      </c>
      <c r="B85" t="inlineStr">
        <is>
          <t>Dworcowa 1, 64-100 Leszno</t>
        </is>
      </c>
      <c r="C85" t="inlineStr">
        <is>
          <t>Leszno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8820.219999999999</v>
      </c>
      <c r="L85" s="2" t="n">
        <v>734.2016462962963</v>
      </c>
      <c r="M85" s="2" t="n">
        <v>8166.87037037037</v>
      </c>
      <c r="N85" s="2" t="n">
        <v>100</v>
      </c>
      <c r="O85" s="2" t="n">
        <v>7755.12</v>
      </c>
      <c r="P85" s="2" t="n">
        <v>965.1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7372.13</v>
      </c>
      <c r="AD85" s="2" t="n">
        <v>470.9971944444445</v>
      </c>
      <c r="AE85" s="2" t="n">
        <v>6826.046296296296</v>
      </c>
      <c r="AF85" s="2" t="n">
        <v>0</v>
      </c>
      <c r="AG85" s="2" t="n">
        <v>6333.24</v>
      </c>
      <c r="AH85" s="2" t="n">
        <v>1038.89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5612.509999999999</v>
      </c>
      <c r="AP85" s="2" t="n">
        <v>410.5447129629629</v>
      </c>
      <c r="AQ85" s="2" t="n">
        <v>5196.768518518517</v>
      </c>
      <c r="AR85" s="2" t="n">
        <v>0</v>
      </c>
      <c r="AS85" s="2" t="n">
        <v>5232.73</v>
      </c>
      <c r="AT85" s="2" t="n">
        <v>379.78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21804.86</v>
      </c>
      <c r="BB85" s="2" t="n">
        <v>21704.86</v>
      </c>
      <c r="BC85" s="2">
        <f>F85+L85+R85+X85+AD85+AJ85+AP85+AV85+IF(BE85="",0,BE85)</f>
        <v/>
      </c>
      <c r="BD85" s="2" t="n">
        <v>334.2548439999999</v>
      </c>
      <c r="BE85" s="2" t="n"/>
      <c r="BF85" s="2" t="n">
        <v>20189.68518518518</v>
      </c>
      <c r="BG85" s="2" t="n">
        <v>0</v>
      </c>
      <c r="BH85" s="2" t="n">
        <v>121.8</v>
      </c>
      <c r="BI85" s="2" t="n">
        <v>14562.02</v>
      </c>
      <c r="BJ85" s="2" t="n">
        <v>58.77173913043478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293.0156099999999</v>
      </c>
      <c r="BQ85" s="2" t="n">
        <v>25.51304347826087</v>
      </c>
      <c r="BR85" s="2" t="n">
        <v>15086.12039260869</v>
      </c>
      <c r="BS85" s="2" t="n">
        <v>855.0899130434782</v>
      </c>
      <c r="BT85" s="2" t="n">
        <v>0</v>
      </c>
      <c r="BU85" s="2" t="n">
        <v>3129.638939130435</v>
      </c>
      <c r="BV85" s="2" t="n">
        <v>3984.728852173913</v>
      </c>
      <c r="BW85" s="2" t="n">
        <v>19070.84924478261</v>
      </c>
      <c r="BX85" s="2" t="n">
        <v>19321.09</v>
      </c>
      <c r="BY85" s="2" t="n">
        <v>2383.77</v>
      </c>
      <c r="BZ85" s="2" t="n">
        <v>100</v>
      </c>
      <c r="CA85" s="2" t="n">
        <v>21704.86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1267</v>
      </c>
      <c r="B86" t="inlineStr">
        <is>
          <t>Pawia 5a, 31-154 Kraków</t>
        </is>
      </c>
      <c r="C86" t="inlineStr">
        <is>
          <t>Kraków Główny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10036.83</v>
      </c>
      <c r="L86" s="2" t="n">
        <v>835.473163888889</v>
      </c>
      <c r="M86" s="2" t="n">
        <v>9293.361111111111</v>
      </c>
      <c r="N86" s="2" t="n">
        <v>1152.23</v>
      </c>
      <c r="O86" s="2" t="n">
        <v>8070.35</v>
      </c>
      <c r="P86" s="2" t="n">
        <v>814.25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28702.07</v>
      </c>
      <c r="X86" s="2" t="n">
        <v>750</v>
      </c>
      <c r="Y86" s="2" t="n">
        <v>26575.99074074074</v>
      </c>
      <c r="Z86" s="2" t="n">
        <v>2196.43</v>
      </c>
      <c r="AA86" s="2" t="n">
        <v>25612.7</v>
      </c>
      <c r="AB86" s="2" t="n">
        <v>892.9400000000001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5099.65</v>
      </c>
      <c r="AP86" s="2" t="n">
        <v>373.0299537037037</v>
      </c>
      <c r="AQ86" s="2" t="n">
        <v>4721.898148148148</v>
      </c>
      <c r="AR86" s="2" t="n">
        <v>825.27</v>
      </c>
      <c r="AS86" s="2" t="n">
        <v>4026.43</v>
      </c>
      <c r="AT86" s="2" t="n">
        <v>247.95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43838.55</v>
      </c>
      <c r="BB86" s="2" t="n">
        <v>39664.62</v>
      </c>
      <c r="BC86" s="2">
        <f>F86+L86+R86+X86+AD86+AJ86+AP86+AV86+IF(BE86="",0,BE86)</f>
        <v/>
      </c>
      <c r="BD86" s="2" t="n">
        <v>560.4744320000001</v>
      </c>
      <c r="BE86" s="2" t="n"/>
      <c r="BF86" s="2" t="n">
        <v>40591.24999999999</v>
      </c>
      <c r="BG86" s="2" t="n">
        <v>1056.72</v>
      </c>
      <c r="BH86" s="2" t="n">
        <v>276</v>
      </c>
      <c r="BI86" s="2" t="n">
        <v>14562.02</v>
      </c>
      <c r="BJ86" s="2" t="n">
        <v>58.77173913043478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535.47237</v>
      </c>
      <c r="BQ86" s="2" t="n">
        <v>25.51304347826087</v>
      </c>
      <c r="BR86" s="2" t="n">
        <v>16539.4971526087</v>
      </c>
      <c r="BS86" s="2" t="n">
        <v>855.0899130434782</v>
      </c>
      <c r="BT86" s="2" t="n">
        <v>0</v>
      </c>
      <c r="BU86" s="2" t="n">
        <v>3371.822939130435</v>
      </c>
      <c r="BV86" s="2" t="n">
        <v>4226.912852173913</v>
      </c>
      <c r="BW86" s="2" t="n">
        <v>20766.41000478261</v>
      </c>
      <c r="BX86" s="2" t="n">
        <v>37709.48</v>
      </c>
      <c r="BY86" s="2" t="n">
        <v>1955.14</v>
      </c>
      <c r="BZ86" s="2" t="n">
        <v>4173.93</v>
      </c>
      <c r="CA86" s="2" t="n">
        <v>39664.62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1268</v>
      </c>
      <c r="B87" t="inlineStr">
        <is>
          <t>Kolejowa 5, 83-200 Starogard Gdański</t>
        </is>
      </c>
      <c r="C87" t="inlineStr">
        <is>
          <t>Starogard Gdański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18426.01</v>
      </c>
      <c r="AP87" s="2" t="n">
        <v>4177</v>
      </c>
      <c r="AQ87" s="2" t="n">
        <v>17061.12037037037</v>
      </c>
      <c r="AR87" s="2" t="n">
        <v>7303.68</v>
      </c>
      <c r="AS87" s="2" t="n">
        <v>10319.59</v>
      </c>
      <c r="AT87" s="2" t="n">
        <v>802.74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18426.01</v>
      </c>
      <c r="BB87" s="2" t="n">
        <v>11122.33</v>
      </c>
      <c r="BC87" s="2">
        <f>F87+L87+R87+X87+AD87+AJ87+AP87+AV87+IF(BE87="",0,BE87)</f>
        <v/>
      </c>
      <c r="BD87" s="2" t="n">
        <v>171.283882</v>
      </c>
      <c r="BE87" s="2" t="n"/>
      <c r="BF87" s="2" t="n">
        <v>17061.12037037037</v>
      </c>
      <c r="BG87" s="2" t="n">
        <v>0</v>
      </c>
      <c r="BH87" s="2" t="n">
        <v>0</v>
      </c>
      <c r="BI87" s="2" t="n">
        <v>14562.02</v>
      </c>
      <c r="BJ87" s="2" t="n">
        <v>58.77173913043478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150.151455</v>
      </c>
      <c r="BQ87" s="2" t="n">
        <v>25.51304347826087</v>
      </c>
      <c r="BR87" s="2" t="n">
        <v>14821.45623760869</v>
      </c>
      <c r="BS87" s="2" t="n">
        <v>855.0899130434782</v>
      </c>
      <c r="BT87" s="2" t="n">
        <v>0</v>
      </c>
      <c r="BU87" s="2" t="n">
        <v>3105.278939130435</v>
      </c>
      <c r="BV87" s="2" t="n">
        <v>3960.368852173914</v>
      </c>
      <c r="BW87" s="2" t="n">
        <v>18781.82508978261</v>
      </c>
      <c r="BX87" s="2" t="n">
        <v>10319.59</v>
      </c>
      <c r="BY87" s="2" t="n">
        <v>802.74</v>
      </c>
      <c r="BZ87" s="2" t="n">
        <v>7303.68</v>
      </c>
      <c r="CA87" s="2" t="n">
        <v>11122.33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1269</v>
      </c>
      <c r="B88" t="inlineStr">
        <is>
          <t>Podwale Grodzkie 1, 80-895 Gdańsk</t>
        </is>
      </c>
      <c r="C88" t="inlineStr">
        <is>
          <t>Gdańsk Główny</t>
        </is>
      </c>
      <c r="D88" t="inlineStr">
        <is>
          <t>ST|40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10091.18</v>
      </c>
      <c r="L88" s="2" t="n">
        <v>839.9972981481482</v>
      </c>
      <c r="M88" s="2" t="n">
        <v>9343.685185185184</v>
      </c>
      <c r="N88" s="2" t="n">
        <v>2733.5</v>
      </c>
      <c r="O88" s="2" t="n">
        <v>6899.18</v>
      </c>
      <c r="P88" s="2" t="n">
        <v>458.5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6890.609999999999</v>
      </c>
      <c r="AP88" s="2" t="n">
        <v>504.0353611111109</v>
      </c>
      <c r="AQ88" s="2" t="n">
        <v>6380.194444444443</v>
      </c>
      <c r="AR88" s="2" t="n">
        <v>2270.81</v>
      </c>
      <c r="AS88" s="2" t="n">
        <v>4451.15</v>
      </c>
      <c r="AT88" s="2" t="n">
        <v>168.65</v>
      </c>
      <c r="AU88" s="2" t="n">
        <v>2539.4</v>
      </c>
      <c r="AV88" s="2" t="n">
        <v>101.1057407407407</v>
      </c>
      <c r="AW88" s="2" t="n">
        <v>2351.296296296296</v>
      </c>
      <c r="AX88" s="2" t="n">
        <v>388.45</v>
      </c>
      <c r="AY88" s="2" t="n">
        <v>2058.4</v>
      </c>
      <c r="AZ88" s="2" t="n">
        <v>92.55</v>
      </c>
      <c r="BA88" s="2" t="n">
        <v>19521.19</v>
      </c>
      <c r="BB88" s="2" t="n">
        <v>14128.43</v>
      </c>
      <c r="BC88" s="2">
        <f>F88+L88+R88+X88+AD88+AJ88+AP88+AV88+IF(BE88="",0,BE88)</f>
        <v/>
      </c>
      <c r="BD88" s="2" t="n">
        <v>217.577822</v>
      </c>
      <c r="BE88" s="2" t="n"/>
      <c r="BF88" s="2" t="n">
        <v>18075.17592592592</v>
      </c>
      <c r="BG88" s="2" t="n">
        <v>0</v>
      </c>
      <c r="BH88" s="2" t="n">
        <v>0</v>
      </c>
      <c r="BI88" s="2" t="n">
        <v>14562.02</v>
      </c>
      <c r="BJ88" s="2" t="n">
        <v>58.77173913043478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190.733805</v>
      </c>
      <c r="BQ88" s="2" t="n">
        <v>25.51304347826087</v>
      </c>
      <c r="BR88" s="2" t="n">
        <v>14862.03858760869</v>
      </c>
      <c r="BS88" s="2" t="n">
        <v>855.0899130434782</v>
      </c>
      <c r="BT88" s="2" t="n">
        <v>0</v>
      </c>
      <c r="BU88" s="2" t="n">
        <v>3105.278939130435</v>
      </c>
      <c r="BV88" s="2" t="n">
        <v>3960.368852173914</v>
      </c>
      <c r="BW88" s="2" t="n">
        <v>18822.40743978261</v>
      </c>
      <c r="BX88" s="2" t="n">
        <v>13408.73</v>
      </c>
      <c r="BY88" s="2" t="n">
        <v>719.6999999999999</v>
      </c>
      <c r="BZ88" s="2" t="n">
        <v>5392.759999999999</v>
      </c>
      <c r="CA88" s="2" t="n">
        <v>14128.43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1270</v>
      </c>
      <c r="B89" t="inlineStr">
        <is>
          <t>Marii Konopnickiej 10, 10-168 Olsztyn</t>
        </is>
      </c>
      <c r="C89" t="inlineStr">
        <is>
          <t>Olsztyn Zachodni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8058.24</v>
      </c>
      <c r="L89" s="2" t="n">
        <v>670.7738666666667</v>
      </c>
      <c r="M89" s="2" t="n">
        <v>7461.333333333333</v>
      </c>
      <c r="N89" s="2" t="n">
        <v>1668.84</v>
      </c>
      <c r="O89" s="2" t="n">
        <v>6218.46</v>
      </c>
      <c r="P89" s="2" t="n">
        <v>170.94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7244.52</v>
      </c>
      <c r="AP89" s="2" t="n">
        <v>529.9232222222222</v>
      </c>
      <c r="AQ89" s="2" t="n">
        <v>6707.888888888889</v>
      </c>
      <c r="AR89" s="2" t="n">
        <v>1418.58</v>
      </c>
      <c r="AS89" s="2" t="n">
        <v>5468.47</v>
      </c>
      <c r="AT89" s="2" t="n">
        <v>357.47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15302.76</v>
      </c>
      <c r="BB89" s="2" t="n">
        <v>12215.34</v>
      </c>
      <c r="BC89" s="2">
        <f>F89+L89+R89+X89+AD89+AJ89+AP89+AV89+IF(BE89="",0,BE89)</f>
        <v/>
      </c>
      <c r="BD89" s="2" t="n">
        <v>188.116236</v>
      </c>
      <c r="BE89" s="2" t="n"/>
      <c r="BF89" s="2" t="n">
        <v>14169.22222222222</v>
      </c>
      <c r="BG89" s="2" t="n">
        <v>343</v>
      </c>
      <c r="BH89" s="2" t="n">
        <v>0</v>
      </c>
      <c r="BI89" s="2" t="n">
        <v>14562.02</v>
      </c>
      <c r="BJ89" s="2" t="n">
        <v>58.77173913043478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164.90709</v>
      </c>
      <c r="BQ89" s="2" t="n">
        <v>25.51304347826087</v>
      </c>
      <c r="BR89" s="2" t="n">
        <v>15179.2118726087</v>
      </c>
      <c r="BS89" s="2" t="n">
        <v>855.0899130434782</v>
      </c>
      <c r="BT89" s="2" t="n">
        <v>0</v>
      </c>
      <c r="BU89" s="2" t="n">
        <v>3173.878939130435</v>
      </c>
      <c r="BV89" s="2" t="n">
        <v>4028.968852173914</v>
      </c>
      <c r="BW89" s="2" t="n">
        <v>19208.18072478261</v>
      </c>
      <c r="BX89" s="2" t="n">
        <v>11686.93</v>
      </c>
      <c r="BY89" s="2" t="n">
        <v>528.4100000000001</v>
      </c>
      <c r="BZ89" s="2" t="n">
        <v>3087.42</v>
      </c>
      <c r="CA89" s="2" t="n">
        <v>12215.34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1271</v>
      </c>
      <c r="B90" t="inlineStr">
        <is>
          <t>Zygmunta Augusta 7, 85-082 Bydgoszcz</t>
        </is>
      </c>
      <c r="C90" t="inlineStr">
        <is>
          <t>Bydgoszcz</t>
        </is>
      </c>
      <c r="D90" t="inlineStr">
        <is>
          <t>FAA2000</t>
        </is>
      </c>
      <c r="E90" s="2" t="n">
        <v>7564.830000000001</v>
      </c>
      <c r="F90" s="2" t="n">
        <v>1000</v>
      </c>
      <c r="G90" s="2" t="n">
        <v>7004.472222222223</v>
      </c>
      <c r="H90" s="2" t="n">
        <v>2000.38</v>
      </c>
      <c r="I90" s="2" t="n">
        <v>4898.85</v>
      </c>
      <c r="J90" s="2" t="n">
        <v>665.6</v>
      </c>
      <c r="K90" s="2" t="n">
        <v>10681.87</v>
      </c>
      <c r="L90" s="2" t="n">
        <v>889.1667712962964</v>
      </c>
      <c r="M90" s="2" t="n">
        <v>9890.62037037037</v>
      </c>
      <c r="N90" s="2" t="n">
        <v>2996.42</v>
      </c>
      <c r="O90" s="2" t="n">
        <v>7200.92</v>
      </c>
      <c r="P90" s="2" t="n">
        <v>484.53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16204.58</v>
      </c>
      <c r="AP90" s="2" t="n">
        <v>1185.335018518518</v>
      </c>
      <c r="AQ90" s="2" t="n">
        <v>15004.24074074074</v>
      </c>
      <c r="AR90" s="2" t="n">
        <v>3593.8</v>
      </c>
      <c r="AS90" s="2" t="n">
        <v>11550.11</v>
      </c>
      <c r="AT90" s="2" t="n">
        <v>1060.67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34451.28</v>
      </c>
      <c r="BB90" s="2" t="n">
        <v>25860.68</v>
      </c>
      <c r="BC90" s="2">
        <f>F90+L90+R90+X90+AD90+AJ90+AP90+AV90+IF(BE90="",0,BE90)</f>
        <v/>
      </c>
      <c r="BD90" s="2" t="n">
        <v>398.2544720000001</v>
      </c>
      <c r="BE90" s="2" t="n"/>
      <c r="BF90" s="2" t="n">
        <v>31899.33333333333</v>
      </c>
      <c r="BG90" s="2" t="n">
        <v>131.78</v>
      </c>
      <c r="BH90" s="2" t="n">
        <v>119.07</v>
      </c>
      <c r="BI90" s="2" t="n">
        <v>14562.02</v>
      </c>
      <c r="BJ90" s="2" t="n">
        <v>58.77173913043478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349.11918</v>
      </c>
      <c r="BQ90" s="2" t="n">
        <v>25.51304347826087</v>
      </c>
      <c r="BR90" s="2" t="n">
        <v>15271.2739626087</v>
      </c>
      <c r="BS90" s="2" t="n">
        <v>855.0899130434782</v>
      </c>
      <c r="BT90" s="2" t="n">
        <v>0</v>
      </c>
      <c r="BU90" s="2" t="n">
        <v>3155.448939130435</v>
      </c>
      <c r="BV90" s="2" t="n">
        <v>4010.538852173913</v>
      </c>
      <c r="BW90" s="2" t="n">
        <v>19281.81281478261</v>
      </c>
      <c r="BX90" s="2" t="n">
        <v>23649.88</v>
      </c>
      <c r="BY90" s="2" t="n">
        <v>2210.8</v>
      </c>
      <c r="BZ90" s="2" t="n">
        <v>8590.6</v>
      </c>
      <c r="CA90" s="2" t="n">
        <v>25860.68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1272</v>
      </c>
      <c r="B91" t="inlineStr">
        <is>
          <t>Dworcowa 115, 88-110 Inowrocław</t>
        </is>
      </c>
      <c r="C91" t="inlineStr">
        <is>
          <t>Inowrocław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7919.14</v>
      </c>
      <c r="L91" s="2" t="n">
        <v>659.1950796296296</v>
      </c>
      <c r="M91" s="2" t="n">
        <v>7332.537037037036</v>
      </c>
      <c r="N91" s="2" t="n">
        <v>2807.5</v>
      </c>
      <c r="O91" s="2" t="n">
        <v>4437.67</v>
      </c>
      <c r="P91" s="2" t="n">
        <v>673.97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8512.199999999999</v>
      </c>
      <c r="AP91" s="2" t="n">
        <v>622.6516666666665</v>
      </c>
      <c r="AQ91" s="2" t="n">
        <v>7881.666666666665</v>
      </c>
      <c r="AR91" s="2" t="n">
        <v>3156.15</v>
      </c>
      <c r="AS91" s="2" t="n">
        <v>4881.09</v>
      </c>
      <c r="AT91" s="2" t="n">
        <v>474.96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16431.34</v>
      </c>
      <c r="BB91" s="2" t="n">
        <v>10467.69</v>
      </c>
      <c r="BC91" s="2">
        <f>F91+L91+R91+X91+AD91+AJ91+AP91+AV91+IF(BE91="",0,BE91)</f>
        <v/>
      </c>
      <c r="BD91" s="2" t="n">
        <v>161.202426</v>
      </c>
      <c r="BE91" s="2" t="n"/>
      <c r="BF91" s="2" t="n">
        <v>15214.2037037037</v>
      </c>
      <c r="BG91" s="2" t="n">
        <v>382</v>
      </c>
      <c r="BH91" s="2" t="n">
        <v>143</v>
      </c>
      <c r="BI91" s="2" t="n">
        <v>14562.02</v>
      </c>
      <c r="BJ91" s="2" t="n">
        <v>58.77173913043478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141.313815</v>
      </c>
      <c r="BQ91" s="2" t="n">
        <v>25.51304347826087</v>
      </c>
      <c r="BR91" s="2" t="n">
        <v>15337.61859760869</v>
      </c>
      <c r="BS91" s="2" t="n">
        <v>855.0899130434782</v>
      </c>
      <c r="BT91" s="2" t="n">
        <v>0</v>
      </c>
      <c r="BU91" s="2" t="n">
        <v>3210.278939130435</v>
      </c>
      <c r="BV91" s="2" t="n">
        <v>4065.368852173914</v>
      </c>
      <c r="BW91" s="2" t="n">
        <v>19402.98744978261</v>
      </c>
      <c r="BX91" s="2" t="n">
        <v>9318.76</v>
      </c>
      <c r="BY91" s="2" t="n">
        <v>1148.93</v>
      </c>
      <c r="BZ91" s="2" t="n">
        <v>5963.65</v>
      </c>
      <c r="CA91" s="2" t="n">
        <v>10467.69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1273</v>
      </c>
      <c r="B92" t="inlineStr">
        <is>
          <t>Towarowa 5, 84-120 Władysławowo</t>
        </is>
      </c>
      <c r="C92" t="inlineStr">
        <is>
          <t>Władysławowo</t>
        </is>
      </c>
      <c r="D92" t="inlineStr">
        <is>
          <t>ST|40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414.2</v>
      </c>
      <c r="L92" s="2" t="n">
        <v>34.47831481481482</v>
      </c>
      <c r="M92" s="2" t="n">
        <v>383.5185185185185</v>
      </c>
      <c r="N92" s="2" t="n">
        <v>0</v>
      </c>
      <c r="O92" s="2" t="n">
        <v>414.2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7114.35</v>
      </c>
      <c r="AP92" s="2" t="n">
        <v>5475</v>
      </c>
      <c r="AQ92" s="2" t="n">
        <v>6587.361111111111</v>
      </c>
      <c r="AR92" s="2" t="n">
        <v>0</v>
      </c>
      <c r="AS92" s="2" t="n">
        <v>5097.75</v>
      </c>
      <c r="AT92" s="2" t="n">
        <v>2016.6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7528.55</v>
      </c>
      <c r="BB92" s="2" t="n">
        <v>7528.55</v>
      </c>
      <c r="BC92" s="2">
        <f>F92+L92+R92+X92+AD92+AJ92+AP92+AV92+IF(BE92="",0,BE92)</f>
        <v/>
      </c>
      <c r="BD92" s="2" t="n">
        <v>115.93967</v>
      </c>
      <c r="BE92" s="2" t="n"/>
      <c r="BF92" s="2" t="n">
        <v>6970.87962962963</v>
      </c>
      <c r="BG92" s="2" t="n">
        <v>0</v>
      </c>
      <c r="BH92" s="2" t="n">
        <v>0</v>
      </c>
      <c r="BI92" s="2" t="n">
        <v>14562.02</v>
      </c>
      <c r="BJ92" s="2" t="n">
        <v>58.77173913043478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101.635425</v>
      </c>
      <c r="BQ92" s="2" t="n">
        <v>25.51304347826087</v>
      </c>
      <c r="BR92" s="2" t="n">
        <v>14772.9402076087</v>
      </c>
      <c r="BS92" s="2" t="n">
        <v>855.0899130434782</v>
      </c>
      <c r="BT92" s="2" t="n">
        <v>0</v>
      </c>
      <c r="BU92" s="2" t="n">
        <v>3105.278939130435</v>
      </c>
      <c r="BV92" s="2" t="n">
        <v>3960.368852173914</v>
      </c>
      <c r="BW92" s="2" t="n">
        <v>18733.30905978261</v>
      </c>
      <c r="BX92" s="2" t="n">
        <v>5511.95</v>
      </c>
      <c r="BY92" s="2" t="n">
        <v>2016.6</v>
      </c>
      <c r="BZ92" s="2" t="n">
        <v>0</v>
      </c>
      <c r="CA92" s="2" t="n">
        <v>7528.549999999999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1274</v>
      </c>
      <c r="B93" t="inlineStr">
        <is>
          <t>Czersk</t>
        </is>
      </c>
      <c r="C93" t="inlineStr">
        <is>
          <t>Czersk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2685.58</v>
      </c>
      <c r="AP93" s="2" t="n">
        <v>3900</v>
      </c>
      <c r="AQ93" s="2" t="n">
        <v>2486.648148148148</v>
      </c>
      <c r="AR93" s="2" t="n">
        <v>0</v>
      </c>
      <c r="AS93" s="2" t="n">
        <v>2436.05</v>
      </c>
      <c r="AT93" s="2" t="n">
        <v>249.53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2685.58</v>
      </c>
      <c r="BB93" s="2" t="n">
        <v>2685.58</v>
      </c>
      <c r="BC93" s="2">
        <f>F93+L93+R93+X93+AD93+AJ93+AP93+AV93+IF(BE93="",0,BE93)</f>
        <v/>
      </c>
      <c r="BD93" s="2" t="n">
        <v>41.35793200000001</v>
      </c>
      <c r="BE93" s="2" t="n"/>
      <c r="BF93" s="2" t="n">
        <v>2486.648148148148</v>
      </c>
      <c r="BG93" s="2" t="n">
        <v>0</v>
      </c>
      <c r="BH93" s="2" t="n">
        <v>0</v>
      </c>
      <c r="BI93" s="2" t="n">
        <v>14562.02</v>
      </c>
      <c r="BJ93" s="2" t="n">
        <v>58.77173913043478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36.25533000000001</v>
      </c>
      <c r="BQ93" s="2" t="n">
        <v>25.51304347826087</v>
      </c>
      <c r="BR93" s="2" t="n">
        <v>14707.56011260869</v>
      </c>
      <c r="BS93" s="2" t="n">
        <v>855.0899130434782</v>
      </c>
      <c r="BT93" s="2" t="n">
        <v>0</v>
      </c>
      <c r="BU93" s="2" t="n">
        <v>3105.278939130435</v>
      </c>
      <c r="BV93" s="2" t="n">
        <v>3960.368852173914</v>
      </c>
      <c r="BW93" s="2" t="n">
        <v>18667.92896478261</v>
      </c>
      <c r="BX93" s="2" t="n">
        <v>2436.05</v>
      </c>
      <c r="BY93" s="2" t="n">
        <v>249.53</v>
      </c>
      <c r="BZ93" s="2" t="n">
        <v>0</v>
      </c>
      <c r="CA93" s="2" t="n">
        <v>2685.58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1276</v>
      </c>
      <c r="B94" t="inlineStr">
        <is>
          <t>GDA-STR</t>
        </is>
      </c>
      <c r="C94" t="inlineStr">
        <is>
          <t>Gdańsk Strzyża</t>
        </is>
      </c>
      <c r="D94" t="inlineStr">
        <is>
          <t>ST|40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7729.79</v>
      </c>
      <c r="AP94" s="2" t="n">
        <v>0</v>
      </c>
      <c r="AQ94" s="2" t="n">
        <v>7157.212962962963</v>
      </c>
      <c r="AR94" s="2" t="n">
        <v>1302.28</v>
      </c>
      <c r="AS94" s="2" t="n">
        <v>6272.6</v>
      </c>
      <c r="AT94" s="2" t="n">
        <v>154.91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7729.79</v>
      </c>
      <c r="BB94" s="2" t="n">
        <v>6427.51</v>
      </c>
      <c r="BC94" s="2">
        <f>F94+L94+R94+X94+AD94+AJ94+AP94+AV94+IF(BE94="",0,BE94)</f>
        <v/>
      </c>
      <c r="BD94" s="2" t="n">
        <v>98.983654</v>
      </c>
      <c r="BE94" s="2" t="n"/>
      <c r="BF94" s="2" t="n">
        <v>7157.212962962963</v>
      </c>
      <c r="BG94" s="2" t="n">
        <v>0</v>
      </c>
      <c r="BH94" s="2" t="n">
        <v>0</v>
      </c>
      <c r="BI94" s="2" t="n">
        <v>14562.02</v>
      </c>
      <c r="BJ94" s="2" t="n">
        <v>58.77173913043478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86.771385</v>
      </c>
      <c r="BQ94" s="2" t="n">
        <v>25.51304347826087</v>
      </c>
      <c r="BR94" s="2" t="n">
        <v>14758.07616760869</v>
      </c>
      <c r="BS94" s="2" t="n">
        <v>855.0899130434782</v>
      </c>
      <c r="BT94" s="2" t="n">
        <v>0</v>
      </c>
      <c r="BU94" s="2" t="n">
        <v>3105.278939130435</v>
      </c>
      <c r="BV94" s="2" t="n">
        <v>3960.368852173914</v>
      </c>
      <c r="BW94" s="2" t="n">
        <v>18718.44501978261</v>
      </c>
      <c r="BX94" s="2" t="n">
        <v>6272.6</v>
      </c>
      <c r="BY94" s="2" t="n">
        <v>154.91</v>
      </c>
      <c r="BZ94" s="2" t="n">
        <v>1302.28</v>
      </c>
      <c r="CA94" s="2" t="n">
        <v>6427.51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1277</v>
      </c>
      <c r="B95" t="inlineStr">
        <is>
          <t>Plac Konstytucji 1, 81-354 Gdynia</t>
        </is>
      </c>
      <c r="C95" t="inlineStr">
        <is>
          <t>Gdynia Główna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9206.91</v>
      </c>
      <c r="L95" s="2" t="n">
        <v>766.3900083333333</v>
      </c>
      <c r="M95" s="2" t="n">
        <v>8524.916666666666</v>
      </c>
      <c r="N95" s="2" t="n">
        <v>4354.18</v>
      </c>
      <c r="O95" s="2" t="n">
        <v>4629.92</v>
      </c>
      <c r="P95" s="2" t="n">
        <v>222.81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14147.19</v>
      </c>
      <c r="AP95" s="2" t="n">
        <v>1034.84075</v>
      </c>
      <c r="AQ95" s="2" t="n">
        <v>13099.25</v>
      </c>
      <c r="AR95" s="2" t="n">
        <v>4905.15</v>
      </c>
      <c r="AS95" s="2" t="n">
        <v>8738.35</v>
      </c>
      <c r="AT95" s="2" t="n">
        <v>503.69</v>
      </c>
      <c r="AU95" s="2" t="n">
        <v>15491.25</v>
      </c>
      <c r="AV95" s="2" t="n">
        <v>616.7812499999999</v>
      </c>
      <c r="AW95" s="2" t="n">
        <v>14343.75</v>
      </c>
      <c r="AX95" s="2" t="n">
        <v>3216.25</v>
      </c>
      <c r="AY95" s="2" t="n">
        <v>11397.15</v>
      </c>
      <c r="AZ95" s="2" t="n">
        <v>877.85</v>
      </c>
      <c r="BA95" s="2" t="n">
        <v>38845.35</v>
      </c>
      <c r="BB95" s="2" t="n">
        <v>26369.77</v>
      </c>
      <c r="BC95" s="2">
        <f>F95+L95+R95+X95+AD95+AJ95+AP95+AV95+IF(BE95="",0,BE95)</f>
        <v/>
      </c>
      <c r="BD95" s="2" t="n">
        <v>406.094458</v>
      </c>
      <c r="BE95" s="2" t="n"/>
      <c r="BF95" s="2" t="n">
        <v>35967.91666666666</v>
      </c>
      <c r="BG95" s="2" t="n">
        <v>971.34</v>
      </c>
      <c r="BH95" s="2" t="n">
        <v>93.59999999999999</v>
      </c>
      <c r="BI95" s="2" t="n">
        <v>4854.006666666667</v>
      </c>
      <c r="BJ95" s="2" t="n">
        <v>58.77173913043478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355.991895</v>
      </c>
      <c r="BQ95" s="2" t="n">
        <v>25.51304347826087</v>
      </c>
      <c r="BR95" s="2" t="n">
        <v>6384.223344275362</v>
      </c>
      <c r="BS95" s="2" t="n">
        <v>855.0899130434782</v>
      </c>
      <c r="BT95" s="2" t="n">
        <v>0</v>
      </c>
      <c r="BU95" s="2" t="n">
        <v>1376.664272463768</v>
      </c>
      <c r="BV95" s="2" t="n">
        <v>2231.754185507247</v>
      </c>
      <c r="BW95" s="2" t="n">
        <v>8615.977529782609</v>
      </c>
      <c r="BX95" s="2" t="n">
        <v>24765.42</v>
      </c>
      <c r="BY95" s="2" t="n">
        <v>1604.35</v>
      </c>
      <c r="BZ95" s="2" t="n">
        <v>12475.58</v>
      </c>
      <c r="CA95" s="2" t="n">
        <v>26369.77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1278</v>
      </c>
      <c r="B96" t="inlineStr">
        <is>
          <t>Plac Konstytucji 1, 81-354 Gdynia</t>
        </is>
      </c>
      <c r="C96" t="inlineStr">
        <is>
          <t>Gdynia Główna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3559.49</v>
      </c>
      <c r="L96" s="2" t="n">
        <v>296.2945842592592</v>
      </c>
      <c r="M96" s="2" t="n">
        <v>3295.824074074073</v>
      </c>
      <c r="N96" s="2" t="n">
        <v>160.1</v>
      </c>
      <c r="O96" s="2" t="n">
        <v>3196.54</v>
      </c>
      <c r="P96" s="2" t="n">
        <v>202.85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10756.63</v>
      </c>
      <c r="AP96" s="2" t="n">
        <v>786.8275648148148</v>
      </c>
      <c r="AQ96" s="2" t="n">
        <v>9959.842592592591</v>
      </c>
      <c r="AR96" s="2" t="n">
        <v>949.64</v>
      </c>
      <c r="AS96" s="2" t="n">
        <v>9162.129999999999</v>
      </c>
      <c r="AT96" s="2" t="n">
        <v>644.86</v>
      </c>
      <c r="AU96" s="2" t="n">
        <v>15407.25</v>
      </c>
      <c r="AV96" s="2" t="n">
        <v>613.4368055555555</v>
      </c>
      <c r="AW96" s="2" t="n">
        <v>14265.97222222222</v>
      </c>
      <c r="AX96" s="2" t="n">
        <v>1558.95</v>
      </c>
      <c r="AY96" s="2" t="n">
        <v>12594.65</v>
      </c>
      <c r="AZ96" s="2" t="n">
        <v>1253.65</v>
      </c>
      <c r="BA96" s="2" t="n">
        <v>29723.37</v>
      </c>
      <c r="BB96" s="2" t="n">
        <v>27054.68</v>
      </c>
      <c r="BC96" s="2">
        <f>F96+L96+R96+X96+AD96+AJ96+AP96+AV96+IF(BE96="",0,BE96)</f>
        <v/>
      </c>
      <c r="BD96" s="2" t="n">
        <v>416.642072</v>
      </c>
      <c r="BE96" s="2" t="n"/>
      <c r="BF96" s="2" t="n">
        <v>27521.63888888888</v>
      </c>
      <c r="BG96" s="2" t="n">
        <v>1216.91</v>
      </c>
      <c r="BH96" s="2" t="n">
        <v>117</v>
      </c>
      <c r="BI96" s="2" t="n">
        <v>4854.006666666667</v>
      </c>
      <c r="BJ96" s="2" t="n">
        <v>58.77173913043478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365.2381799999999</v>
      </c>
      <c r="BQ96" s="2" t="n">
        <v>25.51304347826087</v>
      </c>
      <c r="BR96" s="2" t="n">
        <v>6662.439629275363</v>
      </c>
      <c r="BS96" s="2" t="n">
        <v>855.0899130434782</v>
      </c>
      <c r="BT96" s="2" t="n">
        <v>0</v>
      </c>
      <c r="BU96" s="2" t="n">
        <v>1430.458272463768</v>
      </c>
      <c r="BV96" s="2" t="n">
        <v>2285.548185507247</v>
      </c>
      <c r="BW96" s="2" t="n">
        <v>8947.987814782609</v>
      </c>
      <c r="BX96" s="2" t="n">
        <v>24953.32</v>
      </c>
      <c r="BY96" s="2" t="n">
        <v>2101.36</v>
      </c>
      <c r="BZ96" s="2" t="n">
        <v>2668.69</v>
      </c>
      <c r="CA96" s="2" t="n">
        <v>27054.68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1279</v>
      </c>
      <c r="B97" t="inlineStr">
        <is>
          <t>GDA-GL</t>
        </is>
      </c>
      <c r="C97" t="inlineStr">
        <is>
          <t>Gdańsk Brętowo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3647.87</v>
      </c>
      <c r="AP97" s="2" t="n">
        <v>0</v>
      </c>
      <c r="AQ97" s="2" t="n">
        <v>3377.657407407407</v>
      </c>
      <c r="AR97" s="2" t="n">
        <v>445.67</v>
      </c>
      <c r="AS97" s="2" t="n">
        <v>3119.53</v>
      </c>
      <c r="AT97" s="2" t="n">
        <v>82.67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3647.87</v>
      </c>
      <c r="BB97" s="2" t="n">
        <v>3202.2</v>
      </c>
      <c r="BC97" s="2">
        <f>F97+L97+R97+X97+AD97+AJ97+AP97+AV97+IF(BE97="",0,BE97)</f>
        <v/>
      </c>
      <c r="BD97" s="2" t="n">
        <v>49.31388</v>
      </c>
      <c r="BE97" s="2" t="n"/>
      <c r="BF97" s="2" t="n">
        <v>3377.657407407407</v>
      </c>
      <c r="BG97" s="2" t="n">
        <v>0</v>
      </c>
      <c r="BH97" s="2" t="n">
        <v>0</v>
      </c>
      <c r="BI97" s="2" t="n">
        <v>14562.02</v>
      </c>
      <c r="BJ97" s="2" t="n">
        <v>58.77173913043478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43.2297</v>
      </c>
      <c r="BQ97" s="2" t="n">
        <v>25.51304347826087</v>
      </c>
      <c r="BR97" s="2" t="n">
        <v>14714.53448260869</v>
      </c>
      <c r="BS97" s="2" t="n">
        <v>855.0899130434782</v>
      </c>
      <c r="BT97" s="2" t="n">
        <v>0</v>
      </c>
      <c r="BU97" s="2" t="n">
        <v>3105.278939130435</v>
      </c>
      <c r="BV97" s="2" t="n">
        <v>3960.368852173914</v>
      </c>
      <c r="BW97" s="2" t="n">
        <v>18674.90333478261</v>
      </c>
      <c r="BX97" s="2" t="n">
        <v>3119.53</v>
      </c>
      <c r="BY97" s="2" t="n">
        <v>82.67</v>
      </c>
      <c r="BZ97" s="2" t="n">
        <v>445.67</v>
      </c>
      <c r="CA97" s="2" t="n">
        <v>3202.2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1280</v>
      </c>
      <c r="B98" t="inlineStr">
        <is>
          <t>GRODZW</t>
        </is>
      </c>
      <c r="C98" t="inlineStr">
        <is>
          <t>Gdańsk Jasień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7059.690000000001</v>
      </c>
      <c r="AP98" s="2" t="n">
        <v>0</v>
      </c>
      <c r="AQ98" s="2" t="n">
        <v>6536.75</v>
      </c>
      <c r="AR98" s="2" t="n">
        <v>1089.84</v>
      </c>
      <c r="AS98" s="2" t="n">
        <v>5738.88</v>
      </c>
      <c r="AT98" s="2" t="n">
        <v>230.97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7059.690000000001</v>
      </c>
      <c r="BB98" s="2" t="n">
        <v>5969.85</v>
      </c>
      <c r="BC98" s="2">
        <f>F98+L98+R98+X98+AD98+AJ98+AP98+AV98+IF(BE98="",0,BE98)</f>
        <v/>
      </c>
      <c r="BD98" s="2" t="n">
        <v>91.93569000000001</v>
      </c>
      <c r="BE98" s="2" t="n"/>
      <c r="BF98" s="2" t="n">
        <v>6536.75</v>
      </c>
      <c r="BG98" s="2" t="n">
        <v>0</v>
      </c>
      <c r="BH98" s="2" t="n">
        <v>0</v>
      </c>
      <c r="BI98" s="2" t="n">
        <v>14562.02</v>
      </c>
      <c r="BJ98" s="2" t="n">
        <v>58.77173913043478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80.59297500000001</v>
      </c>
      <c r="BQ98" s="2" t="n">
        <v>25.51304347826087</v>
      </c>
      <c r="BR98" s="2" t="n">
        <v>14751.89775760869</v>
      </c>
      <c r="BS98" s="2" t="n">
        <v>855.0899130434782</v>
      </c>
      <c r="BT98" s="2" t="n">
        <v>0</v>
      </c>
      <c r="BU98" s="2" t="n">
        <v>3105.278939130435</v>
      </c>
      <c r="BV98" s="2" t="n">
        <v>3960.368852173914</v>
      </c>
      <c r="BW98" s="2" t="n">
        <v>18712.26660978261</v>
      </c>
      <c r="BX98" s="2" t="n">
        <v>5738.88</v>
      </c>
      <c r="BY98" s="2" t="n">
        <v>230.97</v>
      </c>
      <c r="BZ98" s="2" t="n">
        <v>1089.84</v>
      </c>
      <c r="CA98" s="2" t="n">
        <v>5969.85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1281</v>
      </c>
      <c r="B99" t="inlineStr">
        <is>
          <t>GRANOW</t>
        </is>
      </c>
      <c r="C99" t="inlineStr">
        <is>
          <t>Gdańsk Kiełpinek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9056.730000000001</v>
      </c>
      <c r="AP99" s="2" t="n">
        <v>0</v>
      </c>
      <c r="AQ99" s="2" t="n">
        <v>8385.861111111111</v>
      </c>
      <c r="AR99" s="2" t="n">
        <v>1285.38</v>
      </c>
      <c r="AS99" s="2" t="n">
        <v>7589.41</v>
      </c>
      <c r="AT99" s="2" t="n">
        <v>181.94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9056.730000000001</v>
      </c>
      <c r="BB99" s="2" t="n">
        <v>7771.349999999999</v>
      </c>
      <c r="BC99" s="2">
        <f>F99+L99+R99+X99+AD99+AJ99+AP99+AV99+IF(BE99="",0,BE99)</f>
        <v/>
      </c>
      <c r="BD99" s="2" t="n">
        <v>119.67879</v>
      </c>
      <c r="BE99" s="2" t="n"/>
      <c r="BF99" s="2" t="n">
        <v>8385.861111111111</v>
      </c>
      <c r="BG99" s="2" t="n">
        <v>0</v>
      </c>
      <c r="BH99" s="2" t="n">
        <v>0</v>
      </c>
      <c r="BI99" s="2" t="n">
        <v>14562.02</v>
      </c>
      <c r="BJ99" s="2" t="n">
        <v>58.77173913043478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104.913225</v>
      </c>
      <c r="BQ99" s="2" t="n">
        <v>25.51304347826087</v>
      </c>
      <c r="BR99" s="2" t="n">
        <v>14776.2180076087</v>
      </c>
      <c r="BS99" s="2" t="n">
        <v>855.0899130434782</v>
      </c>
      <c r="BT99" s="2" t="n">
        <v>0</v>
      </c>
      <c r="BU99" s="2" t="n">
        <v>3105.278939130435</v>
      </c>
      <c r="BV99" s="2" t="n">
        <v>3960.368852173914</v>
      </c>
      <c r="BW99" s="2" t="n">
        <v>18736.58685978261</v>
      </c>
      <c r="BX99" s="2" t="n">
        <v>7589.41</v>
      </c>
      <c r="BY99" s="2" t="n">
        <v>181.94</v>
      </c>
      <c r="BZ99" s="2" t="n">
        <v>1285.38</v>
      </c>
      <c r="CA99" s="2" t="n">
        <v>7771.349999999999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1283</v>
      </c>
      <c r="B100" t="inlineStr">
        <is>
          <t>CZERWO</t>
        </is>
      </c>
      <c r="C100" t="inlineStr">
        <is>
          <t>Gdańsk Port Lotniczy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38444.39</v>
      </c>
      <c r="AP100" s="2" t="n">
        <v>0</v>
      </c>
      <c r="AQ100" s="2" t="n">
        <v>35596.6574074074</v>
      </c>
      <c r="AR100" s="2" t="n">
        <v>4729.98</v>
      </c>
      <c r="AS100" s="2" t="n">
        <v>32930.69</v>
      </c>
      <c r="AT100" s="2" t="n">
        <v>783.72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38444.39</v>
      </c>
      <c r="BB100" s="2" t="n">
        <v>33714.41</v>
      </c>
      <c r="BC100" s="2">
        <f>F100+L100+R100+X100+AD100+AJ100+AP100+AV100+IF(BE100="",0,BE100)</f>
        <v/>
      </c>
      <c r="BD100" s="2" t="n">
        <v>519.2019140000001</v>
      </c>
      <c r="BE100" s="2" t="n"/>
      <c r="BF100" s="2" t="n">
        <v>35596.6574074074</v>
      </c>
      <c r="BG100" s="2" t="n">
        <v>0</v>
      </c>
      <c r="BH100" s="2" t="n">
        <v>0</v>
      </c>
      <c r="BI100" s="2" t="n">
        <v>14562.02</v>
      </c>
      <c r="BJ100" s="2" t="n">
        <v>58.77173913043478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455.144535</v>
      </c>
      <c r="BQ100" s="2" t="n">
        <v>25.51304347826087</v>
      </c>
      <c r="BR100" s="2" t="n">
        <v>15126.44931760869</v>
      </c>
      <c r="BS100" s="2" t="n">
        <v>855.0899130434782</v>
      </c>
      <c r="BT100" s="2" t="n">
        <v>0</v>
      </c>
      <c r="BU100" s="2" t="n">
        <v>3105.278939130435</v>
      </c>
      <c r="BV100" s="2" t="n">
        <v>3960.368852173914</v>
      </c>
      <c r="BW100" s="2" t="n">
        <v>19086.81816978261</v>
      </c>
      <c r="BX100" s="2" t="n">
        <v>32930.69</v>
      </c>
      <c r="BY100" s="2" t="n">
        <v>783.72</v>
      </c>
      <c r="BZ100" s="2" t="n">
        <v>4729.98</v>
      </c>
      <c r="CA100" s="2" t="n">
        <v>33714.41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1284</v>
      </c>
      <c r="B101" t="inlineStr">
        <is>
          <t>OWINSK</t>
        </is>
      </c>
      <c r="C101" t="inlineStr">
        <is>
          <t>Gdańsk Rębiechowo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3912.57</v>
      </c>
      <c r="AP101" s="2" t="n">
        <v>0</v>
      </c>
      <c r="AQ101" s="2" t="n">
        <v>3622.75</v>
      </c>
      <c r="AR101" s="2" t="n">
        <v>360.41</v>
      </c>
      <c r="AS101" s="2" t="n">
        <v>3479.06</v>
      </c>
      <c r="AT101" s="2" t="n">
        <v>73.09999999999999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3912.57</v>
      </c>
      <c r="BB101" s="2" t="n">
        <v>3552.16</v>
      </c>
      <c r="BC101" s="2">
        <f>F101+L101+R101+X101+AD101+AJ101+AP101+AV101+IF(BE101="",0,BE101)</f>
        <v/>
      </c>
      <c r="BD101" s="2" t="n">
        <v>54.703264</v>
      </c>
      <c r="BE101" s="2" t="n"/>
      <c r="BF101" s="2" t="n">
        <v>3622.75</v>
      </c>
      <c r="BG101" s="2" t="n">
        <v>0</v>
      </c>
      <c r="BH101" s="2" t="n">
        <v>0</v>
      </c>
      <c r="BI101" s="2" t="n">
        <v>14562.02</v>
      </c>
      <c r="BJ101" s="2" t="n">
        <v>58.77173913043478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47.95415999999999</v>
      </c>
      <c r="BQ101" s="2" t="n">
        <v>25.51304347826087</v>
      </c>
      <c r="BR101" s="2" t="n">
        <v>14719.25894260869</v>
      </c>
      <c r="BS101" s="2" t="n">
        <v>855.0899130434782</v>
      </c>
      <c r="BT101" s="2" t="n">
        <v>0</v>
      </c>
      <c r="BU101" s="2" t="n">
        <v>3105.278939130435</v>
      </c>
      <c r="BV101" s="2" t="n">
        <v>3960.368852173914</v>
      </c>
      <c r="BW101" s="2" t="n">
        <v>18679.62779478261</v>
      </c>
      <c r="BX101" s="2" t="n">
        <v>3479.06</v>
      </c>
      <c r="BY101" s="2" t="n">
        <v>73.09999999999999</v>
      </c>
      <c r="BZ101" s="2" t="n">
        <v>360.41</v>
      </c>
      <c r="CA101" s="2" t="n">
        <v>3552.16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1285</v>
      </c>
      <c r="B102" t="inlineStr">
        <is>
          <t>ZIELWZG</t>
        </is>
      </c>
      <c r="C102" t="inlineStr">
        <is>
          <t>Gdańsk Osowa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6916.469999999999</v>
      </c>
      <c r="AP102" s="2" t="n">
        <v>0</v>
      </c>
      <c r="AQ102" s="2" t="n">
        <v>6404.138888888888</v>
      </c>
      <c r="AR102" s="2" t="n">
        <v>1557.24</v>
      </c>
      <c r="AS102" s="2" t="n">
        <v>5181.83</v>
      </c>
      <c r="AT102" s="2" t="n">
        <v>177.4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6916.469999999999</v>
      </c>
      <c r="BB102" s="2" t="n">
        <v>5359.23</v>
      </c>
      <c r="BC102" s="2">
        <f>F102+L102+R102+X102+AD102+AJ102+AP102+AV102+IF(BE102="",0,BE102)</f>
        <v/>
      </c>
      <c r="BD102" s="2" t="n">
        <v>82.53214199999999</v>
      </c>
      <c r="BE102" s="2" t="n"/>
      <c r="BF102" s="2" t="n">
        <v>6404.138888888888</v>
      </c>
      <c r="BG102" s="2" t="n">
        <v>0</v>
      </c>
      <c r="BH102" s="2" t="n">
        <v>0</v>
      </c>
      <c r="BI102" s="2" t="n">
        <v>14562.02</v>
      </c>
      <c r="BJ102" s="2" t="n">
        <v>58.77173913043478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72.349605</v>
      </c>
      <c r="BQ102" s="2" t="n">
        <v>25.51304347826087</v>
      </c>
      <c r="BR102" s="2" t="n">
        <v>14743.65438760869</v>
      </c>
      <c r="BS102" s="2" t="n">
        <v>855.0899130434782</v>
      </c>
      <c r="BT102" s="2" t="n">
        <v>0</v>
      </c>
      <c r="BU102" s="2" t="n">
        <v>3105.278939130435</v>
      </c>
      <c r="BV102" s="2" t="n">
        <v>3960.368852173914</v>
      </c>
      <c r="BW102" s="2" t="n">
        <v>18704.02323978261</v>
      </c>
      <c r="BX102" s="2" t="n">
        <v>5181.83</v>
      </c>
      <c r="BY102" s="2" t="n">
        <v>177.4</v>
      </c>
      <c r="BZ102" s="2" t="n">
        <v>1557.24</v>
      </c>
      <c r="CA102" s="2" t="n">
        <v>5359.23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1286</v>
      </c>
      <c r="B103" t="inlineStr">
        <is>
          <t>Dworcowa 2, 61-801 Poznań</t>
        </is>
      </c>
      <c r="C103" t="inlineStr">
        <is>
          <t>Poznań Główny</t>
        </is>
      </c>
      <c r="D103" t="inlineStr">
        <is>
          <t>FAA2000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4579.44</v>
      </c>
      <c r="L103" s="2" t="n">
        <v>381.1959777777778</v>
      </c>
      <c r="M103" s="2" t="n">
        <v>4240.222222222222</v>
      </c>
      <c r="N103" s="2" t="n">
        <v>1205.84</v>
      </c>
      <c r="O103" s="2" t="n">
        <v>3166.41</v>
      </c>
      <c r="P103" s="2" t="n">
        <v>207.19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10130.91</v>
      </c>
      <c r="AD103" s="2" t="n">
        <v>647.2525833333333</v>
      </c>
      <c r="AE103" s="2" t="n">
        <v>9380.472222222221</v>
      </c>
      <c r="AF103" s="2" t="n">
        <v>1508.64</v>
      </c>
      <c r="AG103" s="2" t="n">
        <v>8155.97</v>
      </c>
      <c r="AH103" s="2" t="n">
        <v>466.3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3439.74</v>
      </c>
      <c r="AP103" s="2" t="n">
        <v>251.6106111111111</v>
      </c>
      <c r="AQ103" s="2" t="n">
        <v>3184.944444444444</v>
      </c>
      <c r="AR103" s="2" t="n">
        <v>534.11</v>
      </c>
      <c r="AS103" s="2" t="n">
        <v>2803.13</v>
      </c>
      <c r="AT103" s="2" t="n">
        <v>102.5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18150.09</v>
      </c>
      <c r="BB103" s="2" t="n">
        <v>14901.5</v>
      </c>
      <c r="BC103" s="2">
        <f>F103+L103+R103+X103+AD103+AJ103+AP103+AV103+IF(BE103="",0,BE103)</f>
        <v/>
      </c>
      <c r="BD103" s="2" t="n">
        <v>229.4831</v>
      </c>
      <c r="BE103" s="2" t="n"/>
      <c r="BF103" s="2" t="n">
        <v>16805.63888888889</v>
      </c>
      <c r="BG103" s="2" t="n">
        <v>458.58</v>
      </c>
      <c r="BH103" s="2" t="n">
        <v>0</v>
      </c>
      <c r="BI103" s="2" t="n">
        <v>14562.02</v>
      </c>
      <c r="BJ103" s="2" t="n">
        <v>58.77173913043478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201.17025</v>
      </c>
      <c r="BQ103" s="2" t="n">
        <v>25.51304347826087</v>
      </c>
      <c r="BR103" s="2" t="n">
        <v>15331.05503260869</v>
      </c>
      <c r="BS103" s="2" t="n">
        <v>855.0899130434782</v>
      </c>
      <c r="BT103" s="2" t="n">
        <v>0</v>
      </c>
      <c r="BU103" s="2" t="n">
        <v>3196.994939130435</v>
      </c>
      <c r="BV103" s="2" t="n">
        <v>4052.084852173913</v>
      </c>
      <c r="BW103" s="2" t="n">
        <v>19383.13988478261</v>
      </c>
      <c r="BX103" s="2" t="n">
        <v>14125.51</v>
      </c>
      <c r="BY103" s="2" t="n">
        <v>775.99</v>
      </c>
      <c r="BZ103" s="2" t="n">
        <v>3248.59</v>
      </c>
      <c r="CA103" s="2" t="n">
        <v>14901.5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1287</v>
      </c>
      <c r="B104" t="inlineStr">
        <is>
          <t>Kościuszki 54, 82-500 Kwidzyn</t>
        </is>
      </c>
      <c r="C104" t="inlineStr">
        <is>
          <t>Kwidzyn</t>
        </is>
      </c>
      <c r="D104" t="inlineStr">
        <is>
          <t>FAA2000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2609.69</v>
      </c>
      <c r="AP104" s="2" t="n">
        <v>4060</v>
      </c>
      <c r="AQ104" s="2" t="n">
        <v>2416.37962962963</v>
      </c>
      <c r="AR104" s="2" t="n">
        <v>0</v>
      </c>
      <c r="AS104" s="2" t="n">
        <v>2370.89</v>
      </c>
      <c r="AT104" s="2" t="n">
        <v>238.8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2609.69</v>
      </c>
      <c r="BB104" s="2" t="n">
        <v>2609.69</v>
      </c>
      <c r="BC104" s="2">
        <f>F104+L104+R104+X104+AD104+AJ104+AP104+AV104+IF(BE104="",0,BE104)</f>
        <v/>
      </c>
      <c r="BD104" s="2" t="n">
        <v>40.18922600000001</v>
      </c>
      <c r="BE104" s="2" t="n"/>
      <c r="BF104" s="2" t="n">
        <v>2416.37962962963</v>
      </c>
      <c r="BG104" s="2" t="n">
        <v>0</v>
      </c>
      <c r="BH104" s="2" t="n">
        <v>0</v>
      </c>
      <c r="BI104" s="2" t="n">
        <v>14562.02</v>
      </c>
      <c r="BJ104" s="2" t="n">
        <v>58.77173913043478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35.230815</v>
      </c>
      <c r="BQ104" s="2" t="n">
        <v>25.51304347826087</v>
      </c>
      <c r="BR104" s="2" t="n">
        <v>14706.5355976087</v>
      </c>
      <c r="BS104" s="2" t="n">
        <v>855.0899130434782</v>
      </c>
      <c r="BT104" s="2" t="n">
        <v>0</v>
      </c>
      <c r="BU104" s="2" t="n">
        <v>3105.278939130435</v>
      </c>
      <c r="BV104" s="2" t="n">
        <v>3960.368852173914</v>
      </c>
      <c r="BW104" s="2" t="n">
        <v>18666.90444978261</v>
      </c>
      <c r="BX104" s="2" t="n">
        <v>2370.89</v>
      </c>
      <c r="BY104" s="2" t="n">
        <v>238.8</v>
      </c>
      <c r="BZ104" s="2" t="n">
        <v>0</v>
      </c>
      <c r="CA104" s="2" t="n">
        <v>2609.69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1288</v>
      </c>
      <c r="B105" t="inlineStr">
        <is>
          <t>Ks. Stefańskiego 6, 84-140 Jastarnia</t>
        </is>
      </c>
      <c r="C105" t="inlineStr">
        <is>
          <t>Jastania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6921.26</v>
      </c>
      <c r="AP105" s="2" t="n">
        <v>4494</v>
      </c>
      <c r="AQ105" s="2" t="n">
        <v>6408.574074074074</v>
      </c>
      <c r="AR105" s="2" t="n">
        <v>0</v>
      </c>
      <c r="AS105" s="2" t="n">
        <v>6068.35</v>
      </c>
      <c r="AT105" s="2" t="n">
        <v>852.91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6921.26</v>
      </c>
      <c r="BB105" s="2" t="n">
        <v>6921.26</v>
      </c>
      <c r="BC105" s="2">
        <f>F105+L105+R105+X105+AD105+AJ105+AP105+AV105+IF(BE105="",0,BE105)</f>
        <v/>
      </c>
      <c r="BD105" s="2" t="n">
        <v>106.587404</v>
      </c>
      <c r="BE105" s="2" t="n"/>
      <c r="BF105" s="2" t="n">
        <v>6408.574074074074</v>
      </c>
      <c r="BG105" s="2" t="n">
        <v>0</v>
      </c>
      <c r="BH105" s="2" t="n">
        <v>0</v>
      </c>
      <c r="BI105" s="2" t="n">
        <v>14562.02</v>
      </c>
      <c r="BJ105" s="2" t="n">
        <v>58.77173913043478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93.43701</v>
      </c>
      <c r="BQ105" s="2" t="n">
        <v>25.51304347826087</v>
      </c>
      <c r="BR105" s="2" t="n">
        <v>14764.74179260869</v>
      </c>
      <c r="BS105" s="2" t="n">
        <v>855.0899130434782</v>
      </c>
      <c r="BT105" s="2" t="n">
        <v>0</v>
      </c>
      <c r="BU105" s="2" t="n">
        <v>3105.278939130435</v>
      </c>
      <c r="BV105" s="2" t="n">
        <v>3960.368852173914</v>
      </c>
      <c r="BW105" s="2" t="n">
        <v>18725.11064478261</v>
      </c>
      <c r="BX105" s="2" t="n">
        <v>6068.35</v>
      </c>
      <c r="BY105" s="2" t="n">
        <v>852.91</v>
      </c>
      <c r="BZ105" s="2" t="n">
        <v>0</v>
      </c>
      <c r="CA105" s="2" t="n">
        <v>6921.26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1289</v>
      </c>
      <c r="B106" t="inlineStr">
        <is>
          <t>Dworcowa 1, 84-150 Hel</t>
        </is>
      </c>
      <c r="C106" t="inlineStr">
        <is>
          <t>Hel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14281.8</v>
      </c>
      <c r="AP106" s="2" t="n">
        <v>4494</v>
      </c>
      <c r="AQ106" s="2" t="n">
        <v>13223.88888888889</v>
      </c>
      <c r="AR106" s="2" t="n">
        <v>0</v>
      </c>
      <c r="AS106" s="2" t="n">
        <v>12029.04</v>
      </c>
      <c r="AT106" s="2" t="n">
        <v>2252.76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14281.8</v>
      </c>
      <c r="BB106" s="2" t="n">
        <v>14281.8</v>
      </c>
      <c r="BC106" s="2">
        <f>F106+L106+R106+X106+AD106+AJ106+AP106+AV106+IF(BE106="",0,BE106)</f>
        <v/>
      </c>
      <c r="BD106" s="2" t="n">
        <v>219.93972</v>
      </c>
      <c r="BE106" s="2" t="n"/>
      <c r="BF106" s="2" t="n">
        <v>13223.88888888889</v>
      </c>
      <c r="BG106" s="2" t="n">
        <v>0</v>
      </c>
      <c r="BH106" s="2" t="n">
        <v>0</v>
      </c>
      <c r="BI106" s="2" t="n">
        <v>14562.02</v>
      </c>
      <c r="BJ106" s="2" t="n">
        <v>58.77173913043478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192.8043</v>
      </c>
      <c r="BQ106" s="2" t="n">
        <v>25.51304347826087</v>
      </c>
      <c r="BR106" s="2" t="n">
        <v>14864.10908260869</v>
      </c>
      <c r="BS106" s="2" t="n">
        <v>855.0899130434782</v>
      </c>
      <c r="BT106" s="2" t="n">
        <v>0</v>
      </c>
      <c r="BU106" s="2" t="n">
        <v>3105.278939130435</v>
      </c>
      <c r="BV106" s="2" t="n">
        <v>3960.368852173914</v>
      </c>
      <c r="BW106" s="2" t="n">
        <v>18824.47793478261</v>
      </c>
      <c r="BX106" s="2" t="n">
        <v>12029.04</v>
      </c>
      <c r="BY106" s="2" t="n">
        <v>2252.76</v>
      </c>
      <c r="BZ106" s="2" t="n">
        <v>0</v>
      </c>
      <c r="CA106" s="2" t="n">
        <v>14281.8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1290</v>
      </c>
      <c r="B107" t="inlineStr">
        <is>
          <t>Kolumba 2, 70-035 Szczecin</t>
        </is>
      </c>
      <c r="C107" t="inlineStr">
        <is>
          <t>Szczecin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8044.42</v>
      </c>
      <c r="L107" s="2" t="n">
        <v>669.6234796296296</v>
      </c>
      <c r="M107" s="2" t="n">
        <v>7448.537037037036</v>
      </c>
      <c r="N107" s="2" t="n">
        <v>2933.95</v>
      </c>
      <c r="O107" s="2" t="n">
        <v>5110.47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29143.72</v>
      </c>
      <c r="AP107" s="2" t="n">
        <v>2131.809148148148</v>
      </c>
      <c r="AQ107" s="2" t="n">
        <v>26984.92592592593</v>
      </c>
      <c r="AR107" s="2" t="n">
        <v>12409.83</v>
      </c>
      <c r="AS107" s="2" t="n">
        <v>16733.89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37188.14</v>
      </c>
      <c r="BB107" s="2" t="n">
        <v>21844.36</v>
      </c>
      <c r="BC107" s="2">
        <f>F107+L107+R107+X107+AD107+AJ107+AP107+AV107+IF(BE107="",0,BE107)</f>
        <v/>
      </c>
      <c r="BD107" s="2" t="n">
        <v>336.403144</v>
      </c>
      <c r="BE107" s="2" t="n"/>
      <c r="BF107" s="2" t="n">
        <v>34433.46296296296</v>
      </c>
      <c r="BG107" s="2" t="n">
        <v>1387.63</v>
      </c>
      <c r="BH107" s="2" t="n">
        <v>187.2</v>
      </c>
      <c r="BI107" s="2" t="n">
        <v>14562.02</v>
      </c>
      <c r="BJ107" s="2" t="n">
        <v>58.77173913043478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294.89886</v>
      </c>
      <c r="BQ107" s="2" t="n">
        <v>25.51304347826087</v>
      </c>
      <c r="BR107" s="2" t="n">
        <v>16541.0336426087</v>
      </c>
      <c r="BS107" s="2" t="n">
        <v>855.0899130434782</v>
      </c>
      <c r="BT107" s="2" t="n">
        <v>0</v>
      </c>
      <c r="BU107" s="2" t="n">
        <v>3420.244939130435</v>
      </c>
      <c r="BV107" s="2" t="n">
        <v>4275.334852173914</v>
      </c>
      <c r="BW107" s="2" t="n">
        <v>20816.36849478261</v>
      </c>
      <c r="BX107" s="2" t="n">
        <v>21844.36</v>
      </c>
      <c r="BY107" s="2" t="n">
        <v>0</v>
      </c>
      <c r="BZ107" s="2" t="n">
        <v>15343.78</v>
      </c>
      <c r="CA107" s="2" t="n">
        <v>21844.36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1291</v>
      </c>
      <c r="B108" t="inlineStr">
        <is>
          <t>pl. Dworcowy 1, 82-300 Elbląg</t>
        </is>
      </c>
      <c r="C108" t="inlineStr">
        <is>
          <t>Elbląg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2443.99</v>
      </c>
      <c r="L108" s="2" t="n">
        <v>203.439537962963</v>
      </c>
      <c r="M108" s="2" t="n">
        <v>2262.953703703704</v>
      </c>
      <c r="N108" s="2" t="n">
        <v>455.64</v>
      </c>
      <c r="O108" s="2" t="n">
        <v>1907.26</v>
      </c>
      <c r="P108" s="2" t="n">
        <v>81.09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18302.81</v>
      </c>
      <c r="AP108" s="2" t="n">
        <v>1338.816657407407</v>
      </c>
      <c r="AQ108" s="2" t="n">
        <v>16947.0462962963</v>
      </c>
      <c r="AR108" s="2" t="n">
        <v>4044.85</v>
      </c>
      <c r="AS108" s="2" t="n">
        <v>13423.92</v>
      </c>
      <c r="AT108" s="2" t="n">
        <v>834.04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20746.8</v>
      </c>
      <c r="BB108" s="2" t="n">
        <v>16246.31</v>
      </c>
      <c r="BC108" s="2">
        <f>F108+L108+R108+X108+AD108+AJ108+AP108+AV108+IF(BE108="",0,BE108)</f>
        <v/>
      </c>
      <c r="BD108" s="2" t="n">
        <v>250.193174</v>
      </c>
      <c r="BE108" s="2" t="n"/>
      <c r="BF108" s="2" t="n">
        <v>19210</v>
      </c>
      <c r="BG108" s="2" t="n">
        <v>372.81</v>
      </c>
      <c r="BH108" s="2" t="n">
        <v>345</v>
      </c>
      <c r="BI108" s="2" t="n">
        <v>14562.02</v>
      </c>
      <c r="BJ108" s="2" t="n">
        <v>58.77173913043478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219.325185</v>
      </c>
      <c r="BQ108" s="2" t="n">
        <v>25.51304347826087</v>
      </c>
      <c r="BR108" s="2" t="n">
        <v>15608.43996760869</v>
      </c>
      <c r="BS108" s="2" t="n">
        <v>855.0899130434782</v>
      </c>
      <c r="BT108" s="2" t="n">
        <v>0</v>
      </c>
      <c r="BU108" s="2" t="n">
        <v>3248.840939130435</v>
      </c>
      <c r="BV108" s="2" t="n">
        <v>4103.930852173913</v>
      </c>
      <c r="BW108" s="2" t="n">
        <v>19712.37081978261</v>
      </c>
      <c r="BX108" s="2" t="n">
        <v>15331.18</v>
      </c>
      <c r="BY108" s="2" t="n">
        <v>915.13</v>
      </c>
      <c r="BZ108" s="2" t="n">
        <v>4500.49</v>
      </c>
      <c r="CA108" s="2" t="n">
        <v>16246.31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1292</v>
      </c>
      <c r="B109" t="inlineStr">
        <is>
          <t>Dworcowa 8A, 84-310 Lębork</t>
        </is>
      </c>
      <c r="C109" t="inlineStr">
        <is>
          <t>Lębork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2429.02</v>
      </c>
      <c r="L109" s="2" t="n">
        <v>202.1934240740741</v>
      </c>
      <c r="M109" s="2" t="n">
        <v>2249.092592592593</v>
      </c>
      <c r="N109" s="2" t="n">
        <v>1293.43</v>
      </c>
      <c r="O109" s="2" t="n">
        <v>1085.59</v>
      </c>
      <c r="P109" s="2" t="n">
        <v>50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6992.110000000001</v>
      </c>
      <c r="AP109" s="2" t="n">
        <v>4127</v>
      </c>
      <c r="AQ109" s="2" t="n">
        <v>6474.175925925926</v>
      </c>
      <c r="AR109" s="2" t="n">
        <v>2572.28</v>
      </c>
      <c r="AS109" s="2" t="n">
        <v>3569.36</v>
      </c>
      <c r="AT109" s="2" t="n">
        <v>850.47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9421.130000000001</v>
      </c>
      <c r="BB109" s="2" t="n">
        <v>5555.42</v>
      </c>
      <c r="BC109" s="2">
        <f>F109+L109+R109+X109+AD109+AJ109+AP109+AV109+IF(BE109="",0,BE109)</f>
        <v/>
      </c>
      <c r="BD109" s="2" t="n">
        <v>85.553468</v>
      </c>
      <c r="BE109" s="2" t="n"/>
      <c r="BF109" s="2" t="n">
        <v>8723.268518518518</v>
      </c>
      <c r="BG109" s="2" t="n">
        <v>0</v>
      </c>
      <c r="BH109" s="2" t="n">
        <v>0</v>
      </c>
      <c r="BI109" s="2" t="n">
        <v>14562.02</v>
      </c>
      <c r="BJ109" s="2" t="n">
        <v>58.77173913043478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74.99817</v>
      </c>
      <c r="BQ109" s="2" t="n">
        <v>25.51304347826087</v>
      </c>
      <c r="BR109" s="2" t="n">
        <v>14746.3029526087</v>
      </c>
      <c r="BS109" s="2" t="n">
        <v>855.0899130434782</v>
      </c>
      <c r="BT109" s="2" t="n">
        <v>0</v>
      </c>
      <c r="BU109" s="2" t="n">
        <v>3105.278939130435</v>
      </c>
      <c r="BV109" s="2" t="n">
        <v>3960.368852173914</v>
      </c>
      <c r="BW109" s="2" t="n">
        <v>18706.67180478261</v>
      </c>
      <c r="BX109" s="2" t="n">
        <v>4654.95</v>
      </c>
      <c r="BY109" s="2" t="n">
        <v>900.47</v>
      </c>
      <c r="BZ109" s="2" t="n">
        <v>3865.71</v>
      </c>
      <c r="CA109" s="2" t="n">
        <v>5555.42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1293</v>
      </c>
      <c r="B110" t="inlineStr">
        <is>
          <t>Dworcowa 10, 84-100 Puck</t>
        </is>
      </c>
      <c r="C110" t="inlineStr">
        <is>
          <t>Puck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92.95</v>
      </c>
      <c r="L110" s="2" t="n">
        <v>7.737226851851852</v>
      </c>
      <c r="M110" s="2" t="n">
        <v>86.06481481481481</v>
      </c>
      <c r="N110" s="2" t="n">
        <v>92.95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5528.99</v>
      </c>
      <c r="AP110" s="2" t="n">
        <v>4227</v>
      </c>
      <c r="AQ110" s="2" t="n">
        <v>5119.435185185184</v>
      </c>
      <c r="AR110" s="2" t="n">
        <v>1635.4</v>
      </c>
      <c r="AS110" s="2" t="n">
        <v>3790.93</v>
      </c>
      <c r="AT110" s="2" t="n">
        <v>102.66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5621.94</v>
      </c>
      <c r="BB110" s="2" t="n">
        <v>3893.59</v>
      </c>
      <c r="BC110" s="2">
        <f>F110+L110+R110+X110+AD110+AJ110+AP110+AV110+IF(BE110="",0,BE110)</f>
        <v/>
      </c>
      <c r="BD110" s="2" t="n">
        <v>59.96128599999999</v>
      </c>
      <c r="BE110" s="2" t="n"/>
      <c r="BF110" s="2" t="n">
        <v>5205.499999999999</v>
      </c>
      <c r="BG110" s="2" t="n">
        <v>0</v>
      </c>
      <c r="BH110" s="2" t="n">
        <v>0</v>
      </c>
      <c r="BI110" s="2" t="n">
        <v>14562.02</v>
      </c>
      <c r="BJ110" s="2" t="n">
        <v>58.77173913043478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52.56346499999999</v>
      </c>
      <c r="BQ110" s="2" t="n">
        <v>25.51304347826087</v>
      </c>
      <c r="BR110" s="2" t="n">
        <v>14723.86824760869</v>
      </c>
      <c r="BS110" s="2" t="n">
        <v>855.0899130434782</v>
      </c>
      <c r="BT110" s="2" t="n">
        <v>0</v>
      </c>
      <c r="BU110" s="2" t="n">
        <v>3105.278939130435</v>
      </c>
      <c r="BV110" s="2" t="n">
        <v>3960.368852173914</v>
      </c>
      <c r="BW110" s="2" t="n">
        <v>18684.23709978261</v>
      </c>
      <c r="BX110" s="2" t="n">
        <v>3790.93</v>
      </c>
      <c r="BY110" s="2" t="n">
        <v>102.66</v>
      </c>
      <c r="BZ110" s="2" t="n">
        <v>1728.35</v>
      </c>
      <c r="CA110" s="2" t="n">
        <v>3893.59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1294</v>
      </c>
      <c r="B111" t="inlineStr">
        <is>
          <t>Plac Dworcowy 3, 49-300 Brzeg</t>
        </is>
      </c>
      <c r="C111" t="inlineStr">
        <is>
          <t>Brzeg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9493.139999999999</v>
      </c>
      <c r="L111" s="2" t="n">
        <v>790.2160055555555</v>
      </c>
      <c r="M111" s="2" t="n">
        <v>8789.944444444443</v>
      </c>
      <c r="N111" s="2" t="n">
        <v>1393.29</v>
      </c>
      <c r="O111" s="2" t="n">
        <v>7612.44</v>
      </c>
      <c r="P111" s="2" t="n">
        <v>487.41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18658.37</v>
      </c>
      <c r="AP111" s="2" t="n">
        <v>1364.825212962963</v>
      </c>
      <c r="AQ111" s="2" t="n">
        <v>17276.26851851852</v>
      </c>
      <c r="AR111" s="2" t="n">
        <v>2932.37</v>
      </c>
      <c r="AS111" s="2" t="n">
        <v>15013.14</v>
      </c>
      <c r="AT111" s="2" t="n">
        <v>712.86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28151.51</v>
      </c>
      <c r="BB111" s="2" t="n">
        <v>23825.85</v>
      </c>
      <c r="BC111" s="2">
        <f>F111+L111+R111+X111+AD111+AJ111+AP111+AV111+IF(BE111="",0,BE111)</f>
        <v/>
      </c>
      <c r="BD111" s="2" t="n">
        <v>366.91809</v>
      </c>
      <c r="BE111" s="2" t="n"/>
      <c r="BF111" s="2" t="n">
        <v>26066.21296296296</v>
      </c>
      <c r="BG111" s="2" t="n">
        <v>0</v>
      </c>
      <c r="BH111" s="2" t="n">
        <v>0</v>
      </c>
      <c r="BI111" s="2" t="n">
        <v>14562.02</v>
      </c>
      <c r="BJ111" s="2" t="n">
        <v>58.77173913043478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321.648975</v>
      </c>
      <c r="BQ111" s="2" t="n">
        <v>25.51304347826087</v>
      </c>
      <c r="BR111" s="2" t="n">
        <v>14992.9537576087</v>
      </c>
      <c r="BS111" s="2" t="n">
        <v>855.0899130434782</v>
      </c>
      <c r="BT111" s="2" t="n">
        <v>0</v>
      </c>
      <c r="BU111" s="2" t="n">
        <v>3105.278939130435</v>
      </c>
      <c r="BV111" s="2" t="n">
        <v>3960.368852173914</v>
      </c>
      <c r="BW111" s="2" t="n">
        <v>18953.32260978261</v>
      </c>
      <c r="BX111" s="2" t="n">
        <v>22625.58</v>
      </c>
      <c r="BY111" s="2" t="n">
        <v>1200.27</v>
      </c>
      <c r="BZ111" s="2" t="n">
        <v>4325.66</v>
      </c>
      <c r="CA111" s="2" t="n">
        <v>23825.85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1295</v>
      </c>
      <c r="B112" t="inlineStr">
        <is>
          <t>Zygmunta Starego 1, 64-920 Piła</t>
        </is>
      </c>
      <c r="C112" t="inlineStr">
        <is>
          <t>Piła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4098.03</v>
      </c>
      <c r="L112" s="2" t="n">
        <v>341.1230527777778</v>
      </c>
      <c r="M112" s="2" t="n">
        <v>3794.472222222222</v>
      </c>
      <c r="N112" s="2" t="n">
        <v>763.0599999999999</v>
      </c>
      <c r="O112" s="2" t="n">
        <v>3039.57</v>
      </c>
      <c r="P112" s="2" t="n">
        <v>295.4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3506.81</v>
      </c>
      <c r="AD112" s="2" t="n">
        <v>224.0461944444445</v>
      </c>
      <c r="AE112" s="2" t="n">
        <v>3247.046296296297</v>
      </c>
      <c r="AF112" s="2" t="n">
        <v>857.09</v>
      </c>
      <c r="AG112" s="2" t="n">
        <v>2328.3</v>
      </c>
      <c r="AH112" s="2" t="n">
        <v>321.42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11838.09</v>
      </c>
      <c r="AP112" s="2" t="n">
        <v>865.934361111111</v>
      </c>
      <c r="AQ112" s="2" t="n">
        <v>10961.19444444444</v>
      </c>
      <c r="AR112" s="2" t="n">
        <v>2879.13</v>
      </c>
      <c r="AS112" s="2" t="n">
        <v>8259.280000000001</v>
      </c>
      <c r="AT112" s="2" t="n">
        <v>699.6799999999999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19442.93</v>
      </c>
      <c r="BB112" s="2" t="n">
        <v>14943.65</v>
      </c>
      <c r="BC112" s="2">
        <f>F112+L112+R112+X112+AD112+AJ112+AP112+AV112+IF(BE112="",0,BE112)</f>
        <v/>
      </c>
      <c r="BD112" s="2" t="n">
        <v>230.13221</v>
      </c>
      <c r="BE112" s="2" t="n"/>
      <c r="BF112" s="2" t="n">
        <v>18002.71296296296</v>
      </c>
      <c r="BG112" s="2" t="n">
        <v>0</v>
      </c>
      <c r="BH112" s="2" t="n">
        <v>0</v>
      </c>
      <c r="BI112" s="2" t="n">
        <v>14562.02</v>
      </c>
      <c r="BJ112" s="2" t="n">
        <v>58.77173913043478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201.739275</v>
      </c>
      <c r="BQ112" s="2" t="n">
        <v>25.51304347826087</v>
      </c>
      <c r="BR112" s="2" t="n">
        <v>14873.04405760869</v>
      </c>
      <c r="BS112" s="2" t="n">
        <v>855.0899130434782</v>
      </c>
      <c r="BT112" s="2" t="n">
        <v>0</v>
      </c>
      <c r="BU112" s="2" t="n">
        <v>3105.278939130435</v>
      </c>
      <c r="BV112" s="2" t="n">
        <v>3960.368852173914</v>
      </c>
      <c r="BW112" s="2" t="n">
        <v>18833.41290978261</v>
      </c>
      <c r="BX112" s="2" t="n">
        <v>13627.15</v>
      </c>
      <c r="BY112" s="2" t="n">
        <v>1316.5</v>
      </c>
      <c r="BZ112" s="2" t="n">
        <v>4499.280000000001</v>
      </c>
      <c r="CA112" s="2" t="n">
        <v>14943.65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1296</v>
      </c>
      <c r="B113" t="inlineStr">
        <is>
          <t>Dworcowa 2, 61-801 Poznań</t>
        </is>
      </c>
      <c r="C113" t="inlineStr">
        <is>
          <t>Poznań Główny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11266.42</v>
      </c>
      <c r="L113" s="2" t="n">
        <v>937.8251462962963</v>
      </c>
      <c r="M113" s="2" t="n">
        <v>10431.87037037037</v>
      </c>
      <c r="N113" s="2" t="n">
        <v>2392.28</v>
      </c>
      <c r="O113" s="2" t="n">
        <v>8224.719999999999</v>
      </c>
      <c r="P113" s="2" t="n">
        <v>649.42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21794.5</v>
      </c>
      <c r="AD113" s="2" t="n">
        <v>1392.426388888889</v>
      </c>
      <c r="AE113" s="2" t="n">
        <v>20180.09259259259</v>
      </c>
      <c r="AF113" s="2" t="n">
        <v>3616.04</v>
      </c>
      <c r="AG113" s="2" t="n">
        <v>16820.99</v>
      </c>
      <c r="AH113" s="2" t="n">
        <v>1357.47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6649.27</v>
      </c>
      <c r="AP113" s="2" t="n">
        <v>486.381787037037</v>
      </c>
      <c r="AQ113" s="2" t="n">
        <v>6156.731481481481</v>
      </c>
      <c r="AR113" s="2" t="n">
        <v>1275.9</v>
      </c>
      <c r="AS113" s="2" t="n">
        <v>4926.9</v>
      </c>
      <c r="AT113" s="2" t="n">
        <v>446.47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39710.19</v>
      </c>
      <c r="BB113" s="2" t="n">
        <v>32425.97</v>
      </c>
      <c r="BC113" s="2">
        <f>F113+L113+R113+X113+AD113+AJ113+AP113+AV113+IF(BE113="",0,BE113)</f>
        <v/>
      </c>
      <c r="BD113" s="2" t="n">
        <v>499.3599380000001</v>
      </c>
      <c r="BE113" s="2" t="n"/>
      <c r="BF113" s="2" t="n">
        <v>36768.69444444445</v>
      </c>
      <c r="BG113" s="2" t="n">
        <v>458.58</v>
      </c>
      <c r="BH113" s="2" t="n">
        <v>0</v>
      </c>
      <c r="BI113" s="2" t="n">
        <v>14562.02</v>
      </c>
      <c r="BJ113" s="2" t="n">
        <v>58.77173913043478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437.750595</v>
      </c>
      <c r="BQ113" s="2" t="n">
        <v>25.51304347826087</v>
      </c>
      <c r="BR113" s="2" t="n">
        <v>15567.63537760869</v>
      </c>
      <c r="BS113" s="2" t="n">
        <v>855.0899130434782</v>
      </c>
      <c r="BT113" s="2" t="n">
        <v>0</v>
      </c>
      <c r="BU113" s="2" t="n">
        <v>3196.994939130435</v>
      </c>
      <c r="BV113" s="2" t="n">
        <v>4052.084852173913</v>
      </c>
      <c r="BW113" s="2" t="n">
        <v>19619.72022978261</v>
      </c>
      <c r="BX113" s="2" t="n">
        <v>29972.61</v>
      </c>
      <c r="BY113" s="2" t="n">
        <v>2453.36</v>
      </c>
      <c r="BZ113" s="2" t="n">
        <v>7284.219999999999</v>
      </c>
      <c r="CA113" s="2" t="n">
        <v>32425.97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1297</v>
      </c>
      <c r="B114" t="inlineStr">
        <is>
          <t>Dworcowa 2, 61-801 Poznań</t>
        </is>
      </c>
      <c r="C114" t="inlineStr">
        <is>
          <t>Poznań Główny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6727.160000000001</v>
      </c>
      <c r="L114" s="2" t="n">
        <v>559.9737814814815</v>
      </c>
      <c r="M114" s="2" t="n">
        <v>6228.851851851852</v>
      </c>
      <c r="N114" s="2" t="n">
        <v>1060</v>
      </c>
      <c r="O114" s="2" t="n">
        <v>5600.27</v>
      </c>
      <c r="P114" s="2" t="n">
        <v>66.89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10812.04</v>
      </c>
      <c r="AD114" s="2" t="n">
        <v>690.7692222222223</v>
      </c>
      <c r="AE114" s="2" t="n">
        <v>10011.14814814815</v>
      </c>
      <c r="AF114" s="2" t="n">
        <v>1569.42</v>
      </c>
      <c r="AG114" s="2" t="n">
        <v>8535.360000000001</v>
      </c>
      <c r="AH114" s="2" t="n">
        <v>707.26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3660.46</v>
      </c>
      <c r="AP114" s="2" t="n">
        <v>267.7558703703704</v>
      </c>
      <c r="AQ114" s="2" t="n">
        <v>3389.314814814814</v>
      </c>
      <c r="AR114" s="2" t="n">
        <v>515.6799999999999</v>
      </c>
      <c r="AS114" s="2" t="n">
        <v>2839.6</v>
      </c>
      <c r="AT114" s="2" t="n">
        <v>305.18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21199.66</v>
      </c>
      <c r="BB114" s="2" t="n">
        <v>18054.56</v>
      </c>
      <c r="BC114" s="2">
        <f>F114+L114+R114+X114+AD114+AJ114+AP114+AV114+IF(BE114="",0,BE114)</f>
        <v/>
      </c>
      <c r="BD114" s="2" t="n">
        <v>278.040224</v>
      </c>
      <c r="BE114" s="2" t="n"/>
      <c r="BF114" s="2" t="n">
        <v>19629.31481481481</v>
      </c>
      <c r="BG114" s="2" t="n">
        <v>458.58</v>
      </c>
      <c r="BH114" s="2" t="n">
        <v>0</v>
      </c>
      <c r="BI114" s="2" t="n">
        <v>14562.02</v>
      </c>
      <c r="BJ114" s="2" t="n">
        <v>58.77173913043478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243.73656</v>
      </c>
      <c r="BQ114" s="2" t="n">
        <v>25.51304347826087</v>
      </c>
      <c r="BR114" s="2" t="n">
        <v>15373.62134260869</v>
      </c>
      <c r="BS114" s="2" t="n">
        <v>855.0899130434782</v>
      </c>
      <c r="BT114" s="2" t="n">
        <v>0</v>
      </c>
      <c r="BU114" s="2" t="n">
        <v>3196.994939130435</v>
      </c>
      <c r="BV114" s="2" t="n">
        <v>4052.084852173913</v>
      </c>
      <c r="BW114" s="2" t="n">
        <v>19425.70619478261</v>
      </c>
      <c r="BX114" s="2" t="n">
        <v>16975.23</v>
      </c>
      <c r="BY114" s="2" t="n">
        <v>1079.33</v>
      </c>
      <c r="BZ114" s="2" t="n">
        <v>3145.1</v>
      </c>
      <c r="CA114" s="2" t="n">
        <v>18054.56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1298</v>
      </c>
      <c r="B115" t="inlineStr">
        <is>
          <t>Kolumba 2, 70-035 Szczecin</t>
        </is>
      </c>
      <c r="C115" t="inlineStr">
        <is>
          <t>Szczecin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5819.82</v>
      </c>
      <c r="L115" s="2" t="n">
        <v>484.4461277777777</v>
      </c>
      <c r="M115" s="2" t="n">
        <v>5388.722222222222</v>
      </c>
      <c r="N115" s="2" t="n">
        <v>2734.22</v>
      </c>
      <c r="O115" s="2" t="n">
        <v>3085.6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18550.87</v>
      </c>
      <c r="AP115" s="2" t="n">
        <v>1356.961787037037</v>
      </c>
      <c r="AQ115" s="2" t="n">
        <v>17176.73148148148</v>
      </c>
      <c r="AR115" s="2" t="n">
        <v>6364.77</v>
      </c>
      <c r="AS115" s="2" t="n">
        <v>12186.1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24370.69</v>
      </c>
      <c r="BB115" s="2" t="n">
        <v>15271.7</v>
      </c>
      <c r="BC115" s="2">
        <f>F115+L115+R115+X115+AD115+AJ115+AP115+AV115+IF(BE115="",0,BE115)</f>
        <v/>
      </c>
      <c r="BD115" s="2" t="n">
        <v>235.18418</v>
      </c>
      <c r="BE115" s="2" t="n"/>
      <c r="BF115" s="2" t="n">
        <v>22565.4537037037</v>
      </c>
      <c r="BG115" s="2" t="n">
        <v>1387.63</v>
      </c>
      <c r="BH115" s="2" t="n">
        <v>187.2</v>
      </c>
      <c r="BI115" s="2" t="n">
        <v>14562.02</v>
      </c>
      <c r="BJ115" s="2" t="n">
        <v>58.77173913043478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206.16795</v>
      </c>
      <c r="BQ115" s="2" t="n">
        <v>25.51304347826087</v>
      </c>
      <c r="BR115" s="2" t="n">
        <v>16452.3027326087</v>
      </c>
      <c r="BS115" s="2" t="n">
        <v>855.0899130434782</v>
      </c>
      <c r="BT115" s="2" t="n">
        <v>0</v>
      </c>
      <c r="BU115" s="2" t="n">
        <v>3420.244939130435</v>
      </c>
      <c r="BV115" s="2" t="n">
        <v>4275.334852173914</v>
      </c>
      <c r="BW115" s="2" t="n">
        <v>20727.63758478261</v>
      </c>
      <c r="BX115" s="2" t="n">
        <v>15271.7</v>
      </c>
      <c r="BY115" s="2" t="n">
        <v>0</v>
      </c>
      <c r="BZ115" s="2" t="n">
        <v>9098.99</v>
      </c>
      <c r="CA115" s="2" t="n">
        <v>15271.7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1299</v>
      </c>
      <c r="B116" t="inlineStr">
        <is>
          <t>Pawia 5a, 31-154 Kraków</t>
        </is>
      </c>
      <c r="C116" t="inlineStr">
        <is>
          <t>Kraków Główny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14524.13</v>
      </c>
      <c r="L116" s="2" t="n">
        <v>1208.999339814815</v>
      </c>
      <c r="M116" s="2" t="n">
        <v>13448.26851851852</v>
      </c>
      <c r="N116" s="2" t="n">
        <v>3537.56</v>
      </c>
      <c r="O116" s="2" t="n">
        <v>10536.95</v>
      </c>
      <c r="P116" s="2" t="n">
        <v>449.62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12887.37</v>
      </c>
      <c r="X116" s="2" t="n">
        <v>750</v>
      </c>
      <c r="Y116" s="2" t="n">
        <v>11932.75</v>
      </c>
      <c r="Z116" s="2" t="n">
        <v>1689.72</v>
      </c>
      <c r="AA116" s="2" t="n">
        <v>11024.01</v>
      </c>
      <c r="AB116" s="2" t="n">
        <v>173.64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9154.26</v>
      </c>
      <c r="AP116" s="2" t="n">
        <v>669.6171666666667</v>
      </c>
      <c r="AQ116" s="2" t="n">
        <v>8476.166666666666</v>
      </c>
      <c r="AR116" s="2" t="n">
        <v>1660.23</v>
      </c>
      <c r="AS116" s="2" t="n">
        <v>7054.63</v>
      </c>
      <c r="AT116" s="2" t="n">
        <v>439.4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36565.76</v>
      </c>
      <c r="BB116" s="2" t="n">
        <v>29678.25</v>
      </c>
      <c r="BC116" s="2">
        <f>F116+L116+R116+X116+AD116+AJ116+AP116+AV116+IF(BE116="",0,BE116)</f>
        <v/>
      </c>
      <c r="BD116" s="2" t="n">
        <v>435.769515</v>
      </c>
      <c r="BE116" s="2" t="n"/>
      <c r="BF116" s="2" t="n">
        <v>33857.18518518518</v>
      </c>
      <c r="BG116" s="2" t="n">
        <v>0</v>
      </c>
      <c r="BH116" s="2" t="n">
        <v>0</v>
      </c>
      <c r="BI116" s="2" t="n">
        <v>14562.02</v>
      </c>
      <c r="BJ116" s="2" t="n">
        <v>58.77173913043478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400.656375</v>
      </c>
      <c r="BQ116" s="2" t="n">
        <v>25.51304347826087</v>
      </c>
      <c r="BR116" s="2" t="n">
        <v>15071.9611576087</v>
      </c>
      <c r="BS116" s="2" t="n">
        <v>855.0899130434782</v>
      </c>
      <c r="BT116" s="2" t="n">
        <v>0</v>
      </c>
      <c r="BU116" s="2" t="n">
        <v>3105.278939130435</v>
      </c>
      <c r="BV116" s="2" t="n">
        <v>3960.368852173914</v>
      </c>
      <c r="BW116" s="2" t="n">
        <v>19032.33000978261</v>
      </c>
      <c r="BX116" s="2" t="n">
        <v>28615.59</v>
      </c>
      <c r="BY116" s="2" t="n">
        <v>1062.66</v>
      </c>
      <c r="BZ116" s="2" t="n">
        <v>6887.51</v>
      </c>
      <c r="CA116" s="2" t="n">
        <v>29678.25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s="3" t="inlineStr">
        <is>
          <t>PODSUMOWANIE</t>
        </is>
      </c>
      <c r="B117" s="3" t="n"/>
      <c r="C117" s="3" t="n"/>
      <c r="D117" s="3" t="n"/>
      <c r="E117" s="4">
        <f>SUM(E2:E116)</f>
        <v/>
      </c>
      <c r="F117" s="4">
        <f>SUM(F2:F116)</f>
        <v/>
      </c>
      <c r="G117" s="4">
        <f>SUM(G2:G116)</f>
        <v/>
      </c>
      <c r="H117" s="4">
        <f>SUM(H2:H116)</f>
        <v/>
      </c>
      <c r="I117" s="4">
        <f>SUM(I2:I116)</f>
        <v/>
      </c>
      <c r="J117" s="4">
        <f>SUM(J2:J116)</f>
        <v/>
      </c>
      <c r="K117" s="4">
        <f>SUM(K2:K116)</f>
        <v/>
      </c>
      <c r="L117" s="4">
        <f>SUM(L2:L116)</f>
        <v/>
      </c>
      <c r="M117" s="4">
        <f>SUM(M2:M116)</f>
        <v/>
      </c>
      <c r="N117" s="4">
        <f>SUM(N2:N116)</f>
        <v/>
      </c>
      <c r="O117" s="4">
        <f>SUM(O2:O116)</f>
        <v/>
      </c>
      <c r="P117" s="4">
        <f>SUM(P2:P116)</f>
        <v/>
      </c>
      <c r="Q117" s="4">
        <f>SUM(Q2:Q116)</f>
        <v/>
      </c>
      <c r="R117" s="4">
        <f>SUM(R2:R116)</f>
        <v/>
      </c>
      <c r="S117" s="4">
        <f>SUM(S2:S116)</f>
        <v/>
      </c>
      <c r="T117" s="4">
        <f>SUM(T2:T116)</f>
        <v/>
      </c>
      <c r="U117" s="4">
        <f>SUM(U2:U116)</f>
        <v/>
      </c>
      <c r="V117" s="4">
        <f>SUM(V2:V116)</f>
        <v/>
      </c>
      <c r="W117" s="4">
        <f>SUM(W2:W116)</f>
        <v/>
      </c>
      <c r="X117" s="4">
        <f>SUM(X2:X116)</f>
        <v/>
      </c>
      <c r="Y117" s="4">
        <f>SUM(Y2:Y116)</f>
        <v/>
      </c>
      <c r="Z117" s="4">
        <f>SUM(Z2:Z116)</f>
        <v/>
      </c>
      <c r="AA117" s="4">
        <f>SUM(AA2:AA116)</f>
        <v/>
      </c>
      <c r="AB117" s="4">
        <f>SUM(AB2:AB116)</f>
        <v/>
      </c>
      <c r="AC117" s="4">
        <f>SUM(AC2:AC116)</f>
        <v/>
      </c>
      <c r="AD117" s="4">
        <f>SUM(AD2:AD116)</f>
        <v/>
      </c>
      <c r="AE117" s="4">
        <f>SUM(AE2:AE116)</f>
        <v/>
      </c>
      <c r="AF117" s="4">
        <f>SUM(AF2:AF116)</f>
        <v/>
      </c>
      <c r="AG117" s="4">
        <f>SUM(AG2:AG116)</f>
        <v/>
      </c>
      <c r="AH117" s="4">
        <f>SUM(AH2:AH116)</f>
        <v/>
      </c>
      <c r="AI117" s="4">
        <f>SUM(AI2:AI116)</f>
        <v/>
      </c>
      <c r="AJ117" s="4">
        <f>SUM(AJ2:AJ116)</f>
        <v/>
      </c>
      <c r="AK117" s="4">
        <f>SUM(AK2:AK116)</f>
        <v/>
      </c>
      <c r="AL117" s="4">
        <f>SUM(AL2:AL116)</f>
        <v/>
      </c>
      <c r="AM117" s="4">
        <f>SUM(AM2:AM116)</f>
        <v/>
      </c>
      <c r="AN117" s="4">
        <f>SUM(AN2:AN116)</f>
        <v/>
      </c>
      <c r="AO117" s="4">
        <f>SUM(AO2:AO116)</f>
        <v/>
      </c>
      <c r="AP117" s="4">
        <f>SUM(AP2:AP116)</f>
        <v/>
      </c>
      <c r="AQ117" s="4">
        <f>SUM(AQ2:AQ116)</f>
        <v/>
      </c>
      <c r="AR117" s="4">
        <f>SUM(AR2:AR116)</f>
        <v/>
      </c>
      <c r="AS117" s="4">
        <f>SUM(AS2:AS116)</f>
        <v/>
      </c>
      <c r="AT117" s="4">
        <f>SUM(AT2:AT116)</f>
        <v/>
      </c>
      <c r="AU117" s="4">
        <f>SUM(AU2:AU116)</f>
        <v/>
      </c>
      <c r="AV117" s="4">
        <f>SUM(AV2:AV116)</f>
        <v/>
      </c>
      <c r="AW117" s="4">
        <f>SUM(AW2:AW116)</f>
        <v/>
      </c>
      <c r="AX117" s="4">
        <f>SUM(AX2:AX116)</f>
        <v/>
      </c>
      <c r="AY117" s="4">
        <f>SUM(AY2:AY116)</f>
        <v/>
      </c>
      <c r="AZ117" s="4">
        <f>SUM(AZ2:AZ116)</f>
        <v/>
      </c>
      <c r="BA117" s="4">
        <f>SUM(BA2:BA116)</f>
        <v/>
      </c>
      <c r="BB117" s="4">
        <f>SUM(BB2:BB116)</f>
        <v/>
      </c>
      <c r="BC117" s="4">
        <f>SUM(BC2:BC116)</f>
        <v/>
      </c>
      <c r="BD117" s="4">
        <f>SUM(BD2:BD116)</f>
        <v/>
      </c>
      <c r="BE117" s="4">
        <f>SUM(BE2:BE116)</f>
        <v/>
      </c>
      <c r="BF117" s="4">
        <f>SUM(BF2:BF116)</f>
        <v/>
      </c>
      <c r="BG117" s="4">
        <f>SUM(BG2:BG116)</f>
        <v/>
      </c>
      <c r="BH117" s="4">
        <f>SUM(BH2:BH116)</f>
        <v/>
      </c>
      <c r="BI117" s="4">
        <f>SUM(BI2:BI116)</f>
        <v/>
      </c>
      <c r="BJ117" s="4">
        <f>SUM(BJ2:BJ116)</f>
        <v/>
      </c>
      <c r="BK117" s="4">
        <f>SUM(BK2:BK116)</f>
        <v/>
      </c>
      <c r="BL117" s="4">
        <f>SUM(BL2:BL116)</f>
        <v/>
      </c>
      <c r="BM117" s="4">
        <f>SUM(BM2:BM116)</f>
        <v/>
      </c>
      <c r="BN117" s="4">
        <f>SUM(BN2:BN116)</f>
        <v/>
      </c>
      <c r="BO117" s="4">
        <f>SUM(BO2:BO116)</f>
        <v/>
      </c>
      <c r="BP117" s="4">
        <f>SUM(BP2:BP116)</f>
        <v/>
      </c>
      <c r="BQ117" s="4">
        <f>SUM(BQ2:BQ116)</f>
        <v/>
      </c>
      <c r="BR117" s="4">
        <f>SUM(BR2:BR116)</f>
        <v/>
      </c>
      <c r="BS117" s="4">
        <f>SUM(BS2:BS116)</f>
        <v/>
      </c>
      <c r="BT117" s="4">
        <f>SUM(BT2:BT116)</f>
        <v/>
      </c>
      <c r="BU117" s="4">
        <f>SUM(BU2:BU116)</f>
        <v/>
      </c>
      <c r="BV117" s="4">
        <f>SUM(BV2:BV116)</f>
        <v/>
      </c>
      <c r="BW117" s="4">
        <f>SUM(BW2:BW116)</f>
        <v/>
      </c>
      <c r="BX117" s="4">
        <f>SUM(BX2:BX116)</f>
        <v/>
      </c>
      <c r="BY117" s="4">
        <f>SUM(BY2:BY116)</f>
        <v/>
      </c>
      <c r="BZ117" s="4">
        <f>SUM(BZ2:BZ116)</f>
        <v/>
      </c>
      <c r="CA117" s="4">
        <f>SUM(CA2:CA116)</f>
        <v/>
      </c>
      <c r="CB117" s="4">
        <f>SUM(CB2:CB116)</f>
        <v/>
      </c>
      <c r="CC117" s="3" t="n"/>
    </row>
  </sheetData>
  <conditionalFormatting sqref="CB2:CB116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11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5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19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9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20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19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19897.89</v>
      </c>
      <c r="L2" s="2" t="n">
        <v>1656.315102777778</v>
      </c>
      <c r="M2" s="2" t="n">
        <v>18423.97222222222</v>
      </c>
      <c r="N2" s="2" t="n">
        <v>0</v>
      </c>
      <c r="O2" s="2" t="n">
        <v>19232.89</v>
      </c>
      <c r="P2" s="2" t="n">
        <v>665</v>
      </c>
      <c r="Q2" s="2" t="n">
        <v>65.90000000000001</v>
      </c>
      <c r="R2" s="2" t="n">
        <v>4.576388888888888</v>
      </c>
      <c r="S2" s="2" t="n">
        <v>61.01851851851852</v>
      </c>
      <c r="T2" s="2" t="n">
        <v>0</v>
      </c>
      <c r="U2" s="2" t="n">
        <v>65.90000000000001</v>
      </c>
      <c r="V2" s="2" t="n">
        <v>0</v>
      </c>
      <c r="W2" s="2" t="n">
        <v>30434.61</v>
      </c>
      <c r="X2" s="2" t="n">
        <v>750</v>
      </c>
      <c r="Y2" s="2" t="n">
        <v>28180.19444444444</v>
      </c>
      <c r="Z2" s="2" t="n">
        <v>0</v>
      </c>
      <c r="AA2" s="2" t="n">
        <v>29221.71</v>
      </c>
      <c r="AB2" s="2" t="n">
        <v>1212.9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13662.37</v>
      </c>
      <c r="AP2" s="2" t="n">
        <v>632.5171296296296</v>
      </c>
      <c r="AQ2" s="2" t="n">
        <v>12650.34259259259</v>
      </c>
      <c r="AR2" s="2" t="n">
        <v>0</v>
      </c>
      <c r="AS2" s="2" t="n">
        <v>13030.48</v>
      </c>
      <c r="AT2" s="2" t="n">
        <v>631.89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64060.77</v>
      </c>
      <c r="BB2" s="2" t="n">
        <v>64060.77</v>
      </c>
      <c r="BC2" s="2">
        <f>F2+L2+R2+X2+AD2+AJ2+AP2+AV2+IF(BE2="",0,BE2)</f>
        <v/>
      </c>
      <c r="BD2" s="2" t="n">
        <v>928.7100989999999</v>
      </c>
      <c r="BE2" s="2" t="n"/>
      <c r="BF2" s="2" t="n">
        <v>59315.52777777777</v>
      </c>
      <c r="BG2" s="2" t="n">
        <v>1175.06</v>
      </c>
      <c r="BH2" s="2" t="n">
        <v>240</v>
      </c>
      <c r="BI2" s="2" t="n">
        <v>36269.25</v>
      </c>
      <c r="BJ2" s="2" t="n">
        <v>69.65810344827587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864.8203950000001</v>
      </c>
      <c r="BQ2" s="2" t="n">
        <v>28217.64459482759</v>
      </c>
      <c r="BR2" s="2" t="n">
        <v>66861.43309327586</v>
      </c>
      <c r="BS2" s="2" t="n">
        <v>878.5887931034483</v>
      </c>
      <c r="BT2" s="2" t="n">
        <v>0</v>
      </c>
      <c r="BU2" s="2" t="n">
        <v>13375.04029827586</v>
      </c>
      <c r="BV2" s="2" t="n">
        <v>14253.62909137931</v>
      </c>
      <c r="BW2" s="2" t="n">
        <v>81115.06218465517</v>
      </c>
      <c r="BX2" s="2" t="n">
        <v>61550.98</v>
      </c>
      <c r="BY2" s="2" t="n">
        <v>2509.79</v>
      </c>
      <c r="BZ2" s="2" t="n">
        <v>0</v>
      </c>
      <c r="CA2" s="2" t="n">
        <v>64060.77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2963.4</v>
      </c>
      <c r="L3" s="2" t="n">
        <v>246.6756111111111</v>
      </c>
      <c r="M3" s="2" t="n">
        <v>2743.888888888889</v>
      </c>
      <c r="N3" s="2" t="n">
        <v>0</v>
      </c>
      <c r="O3" s="2" t="n">
        <v>2518.84</v>
      </c>
      <c r="P3" s="2" t="n">
        <v>444.56</v>
      </c>
      <c r="Q3" s="2" t="n">
        <v>3378.09</v>
      </c>
      <c r="R3" s="2" t="n">
        <v>234.5895833333333</v>
      </c>
      <c r="S3" s="2" t="n">
        <v>3127.86111111111</v>
      </c>
      <c r="T3" s="2" t="n">
        <v>0</v>
      </c>
      <c r="U3" s="2" t="n">
        <v>3138.89</v>
      </c>
      <c r="V3" s="2" t="n">
        <v>239.2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7.9</v>
      </c>
      <c r="AD3" s="2" t="n">
        <v>0.5047222222222223</v>
      </c>
      <c r="AE3" s="2" t="n">
        <v>7.314814814814815</v>
      </c>
      <c r="AF3" s="2" t="n">
        <v>0</v>
      </c>
      <c r="AG3" s="2" t="n">
        <v>7.9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6872.55</v>
      </c>
      <c r="AP3" s="2" t="n">
        <v>318.1736111111111</v>
      </c>
      <c r="AQ3" s="2" t="n">
        <v>6363.472222222222</v>
      </c>
      <c r="AR3" s="2" t="n">
        <v>0</v>
      </c>
      <c r="AS3" s="2" t="n">
        <v>6464.1</v>
      </c>
      <c r="AT3" s="2" t="n">
        <v>408.45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13221.94</v>
      </c>
      <c r="BB3" s="2" t="n">
        <v>13221.94</v>
      </c>
      <c r="BC3" s="2">
        <f>F3+L3+R3+X3+AD3+AJ3+AP3+AV3+IF(BE3="",0,BE3)</f>
        <v/>
      </c>
      <c r="BD3" s="2" t="n">
        <v>203.617876</v>
      </c>
      <c r="BE3" s="2" t="n"/>
      <c r="BF3" s="2" t="n">
        <v>12242.53703703704</v>
      </c>
      <c r="BG3" s="2" t="n">
        <v>0</v>
      </c>
      <c r="BH3" s="2" t="n">
        <v>0</v>
      </c>
      <c r="BI3" s="2" t="n">
        <v>36269.25</v>
      </c>
      <c r="BJ3" s="2" t="n">
        <v>69.65810344827587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178.49619</v>
      </c>
      <c r="BQ3" s="2" t="n">
        <v>28217.64459482759</v>
      </c>
      <c r="BR3" s="2" t="n">
        <v>64760.04888827586</v>
      </c>
      <c r="BS3" s="2" t="n">
        <v>878.5887931034483</v>
      </c>
      <c r="BT3" s="2" t="n">
        <v>0</v>
      </c>
      <c r="BU3" s="2" t="n">
        <v>13092.02829827586</v>
      </c>
      <c r="BV3" s="2" t="n">
        <v>13970.61709137931</v>
      </c>
      <c r="BW3" s="2" t="n">
        <v>78730.66597965517</v>
      </c>
      <c r="BX3" s="2" t="n">
        <v>12129.73</v>
      </c>
      <c r="BY3" s="2" t="n">
        <v>1092.21</v>
      </c>
      <c r="BZ3" s="2" t="n">
        <v>0</v>
      </c>
      <c r="CA3" s="2" t="n">
        <v>13221.94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7347.66</v>
      </c>
      <c r="L4" s="2" t="n">
        <v>611.6246611111111</v>
      </c>
      <c r="M4" s="2" t="n">
        <v>6803.388888888889</v>
      </c>
      <c r="N4" s="2" t="n">
        <v>0</v>
      </c>
      <c r="O4" s="2" t="n">
        <v>6893.8</v>
      </c>
      <c r="P4" s="2" t="n">
        <v>453.86</v>
      </c>
      <c r="Q4" s="2" t="n">
        <v>23084.62</v>
      </c>
      <c r="R4" s="2" t="n">
        <v>500</v>
      </c>
      <c r="S4" s="2" t="n">
        <v>21374.64814814815</v>
      </c>
      <c r="T4" s="2" t="n">
        <v>0</v>
      </c>
      <c r="U4" s="2" t="n">
        <v>22117.28</v>
      </c>
      <c r="V4" s="2" t="n">
        <v>967.34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29.7</v>
      </c>
      <c r="AD4" s="2" t="n">
        <v>1.8975</v>
      </c>
      <c r="AE4" s="2" t="n">
        <v>27.5</v>
      </c>
      <c r="AF4" s="2" t="n">
        <v>0</v>
      </c>
      <c r="AG4" s="2" t="n">
        <v>29.7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6685.429999999999</v>
      </c>
      <c r="AP4" s="2" t="n">
        <v>309.5106481481481</v>
      </c>
      <c r="AQ4" s="2" t="n">
        <v>6190.212962962962</v>
      </c>
      <c r="AR4" s="2" t="n">
        <v>0</v>
      </c>
      <c r="AS4" s="2" t="n">
        <v>6209.57</v>
      </c>
      <c r="AT4" s="2" t="n">
        <v>475.86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37147.41</v>
      </c>
      <c r="BB4" s="2" t="n">
        <v>37147.41</v>
      </c>
      <c r="BC4" s="2">
        <f>F4+L4+R4+X4+AD4+AJ4+AP4+AV4+IF(BE4="",0,BE4)</f>
        <v/>
      </c>
      <c r="BD4" s="2" t="n">
        <v>572.070114</v>
      </c>
      <c r="BE4" s="2" t="n"/>
      <c r="BF4" s="2" t="n">
        <v>34395.75</v>
      </c>
      <c r="BG4" s="2" t="n">
        <v>0</v>
      </c>
      <c r="BH4" s="2" t="n">
        <v>0</v>
      </c>
      <c r="BI4" s="2" t="n">
        <v>36269.25</v>
      </c>
      <c r="BJ4" s="2" t="n">
        <v>69.65810344827587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501.490035</v>
      </c>
      <c r="BQ4" s="2" t="n">
        <v>28217.64459482759</v>
      </c>
      <c r="BR4" s="2" t="n">
        <v>65083.04273327586</v>
      </c>
      <c r="BS4" s="2" t="n">
        <v>878.5887931034483</v>
      </c>
      <c r="BT4" s="2" t="n">
        <v>0</v>
      </c>
      <c r="BU4" s="2" t="n">
        <v>13092.02829827586</v>
      </c>
      <c r="BV4" s="2" t="n">
        <v>13970.61709137931</v>
      </c>
      <c r="BW4" s="2" t="n">
        <v>79053.65982465517</v>
      </c>
      <c r="BX4" s="2" t="n">
        <v>35250.35</v>
      </c>
      <c r="BY4" s="2" t="n">
        <v>1897.06</v>
      </c>
      <c r="BZ4" s="2" t="n">
        <v>0</v>
      </c>
      <c r="CA4" s="2" t="n">
        <v>37147.41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17729.8</v>
      </c>
      <c r="L5" s="2" t="n">
        <v>1475.841685185185</v>
      </c>
      <c r="M5" s="2" t="n">
        <v>16416.48148148148</v>
      </c>
      <c r="N5" s="2" t="n">
        <v>0</v>
      </c>
      <c r="O5" s="2" t="n">
        <v>15953.4</v>
      </c>
      <c r="P5" s="2" t="n">
        <v>1776.4</v>
      </c>
      <c r="Q5" s="2" t="n">
        <v>54.26</v>
      </c>
      <c r="R5" s="2" t="n">
        <v>3.768055555555555</v>
      </c>
      <c r="S5" s="2" t="n">
        <v>50.24074074074073</v>
      </c>
      <c r="T5" s="2" t="n">
        <v>0</v>
      </c>
      <c r="U5" s="2" t="n">
        <v>54.26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37421.44</v>
      </c>
      <c r="AD5" s="2" t="n">
        <v>2390.814222222222</v>
      </c>
      <c r="AE5" s="2" t="n">
        <v>34649.48148148147</v>
      </c>
      <c r="AF5" s="2" t="n">
        <v>0</v>
      </c>
      <c r="AG5" s="2" t="n">
        <v>34050.81</v>
      </c>
      <c r="AH5" s="2" t="n">
        <v>3370.63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12074.29</v>
      </c>
      <c r="AP5" s="2" t="n">
        <v>558.9949074074074</v>
      </c>
      <c r="AQ5" s="2" t="n">
        <v>11179.89814814815</v>
      </c>
      <c r="AR5" s="2" t="n">
        <v>0</v>
      </c>
      <c r="AS5" s="2" t="n">
        <v>11351.71</v>
      </c>
      <c r="AT5" s="2" t="n">
        <v>722.58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67279.78999999999</v>
      </c>
      <c r="BB5" s="2" t="n">
        <v>67279.78999999999</v>
      </c>
      <c r="BC5" s="2">
        <f>F5+L5+R5+X5+AD5+AJ5+AP5+AV5+IF(BE5="",0,BE5)</f>
        <v/>
      </c>
      <c r="BD5" s="2" t="n">
        <v>1036.108766</v>
      </c>
      <c r="BE5" s="2" t="n"/>
      <c r="BF5" s="2" t="n">
        <v>62296.10185185184</v>
      </c>
      <c r="BG5" s="2" t="n">
        <v>0</v>
      </c>
      <c r="BH5" s="2" t="n">
        <v>0</v>
      </c>
      <c r="BI5" s="2" t="n">
        <v>36269.25</v>
      </c>
      <c r="BJ5" s="2" t="n">
        <v>69.65810344827587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908.277165</v>
      </c>
      <c r="BQ5" s="2" t="n">
        <v>28217.64459482759</v>
      </c>
      <c r="BR5" s="2" t="n">
        <v>65489.82986327586</v>
      </c>
      <c r="BS5" s="2" t="n">
        <v>878.5887931034483</v>
      </c>
      <c r="BT5" s="2" t="n">
        <v>0</v>
      </c>
      <c r="BU5" s="2" t="n">
        <v>13092.02829827586</v>
      </c>
      <c r="BV5" s="2" t="n">
        <v>13970.61709137931</v>
      </c>
      <c r="BW5" s="2" t="n">
        <v>79460.44695465517</v>
      </c>
      <c r="BX5" s="2" t="n">
        <v>61410.18</v>
      </c>
      <c r="BY5" s="2" t="n">
        <v>5869.610000000001</v>
      </c>
      <c r="BZ5" s="2" t="n">
        <v>0</v>
      </c>
      <c r="CA5" s="2" t="n">
        <v>67279.79000000001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2449.34</v>
      </c>
      <c r="L6" s="2" t="n">
        <v>203.8848759259259</v>
      </c>
      <c r="M6" s="2" t="n">
        <v>2267.907407407407</v>
      </c>
      <c r="N6" s="2" t="n">
        <v>0</v>
      </c>
      <c r="O6" s="2" t="n">
        <v>2232.6</v>
      </c>
      <c r="P6" s="2" t="n">
        <v>216.74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7492.91</v>
      </c>
      <c r="AP6" s="2" t="n">
        <v>346.8939814814814</v>
      </c>
      <c r="AQ6" s="2" t="n">
        <v>6937.879629629629</v>
      </c>
      <c r="AR6" s="2" t="n">
        <v>0</v>
      </c>
      <c r="AS6" s="2" t="n">
        <v>7078.65</v>
      </c>
      <c r="AT6" s="2" t="n">
        <v>414.26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9942.25</v>
      </c>
      <c r="BB6" s="2" t="n">
        <v>9942.25</v>
      </c>
      <c r="BC6" s="2">
        <f>F6+L6+R6+X6+AD6+AJ6+AP6+AV6+IF(BE6="",0,BE6)</f>
        <v/>
      </c>
      <c r="BD6" s="2" t="n">
        <v>153.11065</v>
      </c>
      <c r="BE6" s="2" t="n"/>
      <c r="BF6" s="2" t="n">
        <v>9205.787037037036</v>
      </c>
      <c r="BG6" s="2" t="n">
        <v>0</v>
      </c>
      <c r="BH6" s="2" t="n">
        <v>0</v>
      </c>
      <c r="BI6" s="2" t="n">
        <v>36269.25</v>
      </c>
      <c r="BJ6" s="2" t="n">
        <v>69.65810344827587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134.220375</v>
      </c>
      <c r="BQ6" s="2" t="n">
        <v>28217.64459482759</v>
      </c>
      <c r="BR6" s="2" t="n">
        <v>64715.77307327586</v>
      </c>
      <c r="BS6" s="2" t="n">
        <v>878.5887931034483</v>
      </c>
      <c r="BT6" s="2" t="n">
        <v>0</v>
      </c>
      <c r="BU6" s="2" t="n">
        <v>13092.02829827586</v>
      </c>
      <c r="BV6" s="2" t="n">
        <v>13970.61709137931</v>
      </c>
      <c r="BW6" s="2" t="n">
        <v>78686.39016465517</v>
      </c>
      <c r="BX6" s="2" t="n">
        <v>9311.25</v>
      </c>
      <c r="BY6" s="2" t="n">
        <v>631</v>
      </c>
      <c r="BZ6" s="2" t="n">
        <v>0</v>
      </c>
      <c r="CA6" s="2" t="n">
        <v>9942.25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9973.369999999999</v>
      </c>
      <c r="L7" s="2" t="n">
        <v>830.1907064814815</v>
      </c>
      <c r="M7" s="2" t="n">
        <v>9234.60185185185</v>
      </c>
      <c r="N7" s="2" t="n">
        <v>0</v>
      </c>
      <c r="O7" s="2" t="n">
        <v>8580.91</v>
      </c>
      <c r="P7" s="2" t="n">
        <v>1392.46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27948.96</v>
      </c>
      <c r="AP7" s="2" t="n">
        <v>1293.933333333333</v>
      </c>
      <c r="AQ7" s="2" t="n">
        <v>25878.66666666667</v>
      </c>
      <c r="AR7" s="2" t="n">
        <v>0</v>
      </c>
      <c r="AS7" s="2" t="n">
        <v>25261.49</v>
      </c>
      <c r="AT7" s="2" t="n">
        <v>2687.47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37922.33</v>
      </c>
      <c r="BB7" s="2" t="n">
        <v>37922.33</v>
      </c>
      <c r="BC7" s="2">
        <f>F7+L7+R7+X7+AD7+AJ7+AP7+AV7+IF(BE7="",0,BE7)</f>
        <v/>
      </c>
      <c r="BD7" s="2" t="n">
        <v>584.0038820000001</v>
      </c>
      <c r="BE7" s="2" t="n"/>
      <c r="BF7" s="2" t="n">
        <v>35113.26851851852</v>
      </c>
      <c r="BG7" s="2" t="n">
        <v>0</v>
      </c>
      <c r="BH7" s="2" t="n">
        <v>0</v>
      </c>
      <c r="BI7" s="2" t="n">
        <v>36269.25</v>
      </c>
      <c r="BJ7" s="2" t="n">
        <v>69.65810344827587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511.951455</v>
      </c>
      <c r="BQ7" s="2" t="n">
        <v>28217.64459482759</v>
      </c>
      <c r="BR7" s="2" t="n">
        <v>65093.50415327586</v>
      </c>
      <c r="BS7" s="2" t="n">
        <v>878.5887931034483</v>
      </c>
      <c r="BT7" s="2" t="n">
        <v>0</v>
      </c>
      <c r="BU7" s="2" t="n">
        <v>13092.02829827586</v>
      </c>
      <c r="BV7" s="2" t="n">
        <v>13970.61709137931</v>
      </c>
      <c r="BW7" s="2" t="n">
        <v>79064.12124465517</v>
      </c>
      <c r="BX7" s="2" t="n">
        <v>33842.4</v>
      </c>
      <c r="BY7" s="2" t="n">
        <v>4079.93</v>
      </c>
      <c r="BZ7" s="2" t="n">
        <v>0</v>
      </c>
      <c r="CA7" s="2" t="n">
        <v>37922.33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10185.48</v>
      </c>
      <c r="L8" s="2" t="n">
        <v>847.8468999999999</v>
      </c>
      <c r="M8" s="2" t="n">
        <v>9430.999999999998</v>
      </c>
      <c r="N8" s="2" t="n">
        <v>0</v>
      </c>
      <c r="O8" s="2" t="n">
        <v>9403.09</v>
      </c>
      <c r="P8" s="2" t="n">
        <v>782.39</v>
      </c>
      <c r="Q8" s="2" t="n">
        <v>230.42</v>
      </c>
      <c r="R8" s="2" t="n">
        <v>16.00138888888889</v>
      </c>
      <c r="S8" s="2" t="n">
        <v>213.3518518518518</v>
      </c>
      <c r="T8" s="2" t="n">
        <v>0</v>
      </c>
      <c r="U8" s="2" t="n">
        <v>230.42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17071.89</v>
      </c>
      <c r="AP8" s="2" t="n">
        <v>790.3652777777778</v>
      </c>
      <c r="AQ8" s="2" t="n">
        <v>15807.30555555555</v>
      </c>
      <c r="AR8" s="2" t="n">
        <v>0</v>
      </c>
      <c r="AS8" s="2" t="n">
        <v>15715.11</v>
      </c>
      <c r="AT8" s="2" t="n">
        <v>1356.78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27487.79</v>
      </c>
      <c r="BB8" s="2" t="n">
        <v>27487.79</v>
      </c>
      <c r="BC8" s="2">
        <f>F8+L8+R8+X8+AD8+AJ8+AP8+AV8+IF(BE8="",0,BE8)</f>
        <v/>
      </c>
      <c r="BD8" s="2" t="n">
        <v>423.311966</v>
      </c>
      <c r="BE8" s="2" t="n"/>
      <c r="BF8" s="2" t="n">
        <v>25451.65740740741</v>
      </c>
      <c r="BG8" s="2" t="n">
        <v>0</v>
      </c>
      <c r="BH8" s="2" t="n">
        <v>0</v>
      </c>
      <c r="BI8" s="2" t="n">
        <v>36269.25</v>
      </c>
      <c r="BJ8" s="2" t="n">
        <v>69.65810344827587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371.085165</v>
      </c>
      <c r="BQ8" s="2" t="n">
        <v>28217.64459482759</v>
      </c>
      <c r="BR8" s="2" t="n">
        <v>64952.63786327586</v>
      </c>
      <c r="BS8" s="2" t="n">
        <v>878.5887931034483</v>
      </c>
      <c r="BT8" s="2" t="n">
        <v>0</v>
      </c>
      <c r="BU8" s="2" t="n">
        <v>13092.02829827586</v>
      </c>
      <c r="BV8" s="2" t="n">
        <v>13970.61709137931</v>
      </c>
      <c r="BW8" s="2" t="n">
        <v>78923.25495465516</v>
      </c>
      <c r="BX8" s="2" t="n">
        <v>25348.62</v>
      </c>
      <c r="BY8" s="2" t="n">
        <v>2139.17</v>
      </c>
      <c r="BZ8" s="2" t="n">
        <v>0</v>
      </c>
      <c r="CA8" s="2" t="n">
        <v>27487.79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7597.95</v>
      </c>
      <c r="L9" s="2" t="n">
        <v>632.4589861111111</v>
      </c>
      <c r="M9" s="2" t="n">
        <v>7035.138888888889</v>
      </c>
      <c r="N9" s="2" t="n">
        <v>0</v>
      </c>
      <c r="O9" s="2" t="n">
        <v>6509.67</v>
      </c>
      <c r="P9" s="2" t="n">
        <v>1088.28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20026.87</v>
      </c>
      <c r="AP9" s="2" t="n">
        <v>927.1699074074075</v>
      </c>
      <c r="AQ9" s="2" t="n">
        <v>18543.39814814815</v>
      </c>
      <c r="AR9" s="2" t="n">
        <v>0</v>
      </c>
      <c r="AS9" s="2" t="n">
        <v>19095.29</v>
      </c>
      <c r="AT9" s="2" t="n">
        <v>931.58</v>
      </c>
      <c r="AU9" s="2" t="n">
        <v>189.1</v>
      </c>
      <c r="AV9" s="2" t="n">
        <v>7.528981481481481</v>
      </c>
      <c r="AW9" s="2" t="n">
        <v>175.0925925925926</v>
      </c>
      <c r="AX9" s="2" t="n">
        <v>0</v>
      </c>
      <c r="AY9" s="2" t="n">
        <v>143.4</v>
      </c>
      <c r="AZ9" s="2" t="n">
        <v>45.7</v>
      </c>
      <c r="BA9" s="2" t="n">
        <v>27813.92</v>
      </c>
      <c r="BB9" s="2" t="n">
        <v>27813.92</v>
      </c>
      <c r="BC9" s="2">
        <f>F9+L9+R9+X9+AD9+AJ9+AP9+AV9+IF(BE9="",0,BE9)</f>
        <v/>
      </c>
      <c r="BD9" s="2" t="n">
        <v>428.334368</v>
      </c>
      <c r="BE9" s="2" t="n"/>
      <c r="BF9" s="2" t="n">
        <v>25753.62962962963</v>
      </c>
      <c r="BG9" s="2" t="n">
        <v>0</v>
      </c>
      <c r="BH9" s="2" t="n">
        <v>0</v>
      </c>
      <c r="BI9" s="2" t="n">
        <v>36269.25</v>
      </c>
      <c r="BJ9" s="2" t="n">
        <v>69.65810344827587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375.48792</v>
      </c>
      <c r="BQ9" s="2" t="n">
        <v>28217.64459482759</v>
      </c>
      <c r="BR9" s="2" t="n">
        <v>64957.04061827586</v>
      </c>
      <c r="BS9" s="2" t="n">
        <v>878.5887931034483</v>
      </c>
      <c r="BT9" s="2" t="n">
        <v>0</v>
      </c>
      <c r="BU9" s="2" t="n">
        <v>13092.02829827586</v>
      </c>
      <c r="BV9" s="2" t="n">
        <v>13970.61709137931</v>
      </c>
      <c r="BW9" s="2" t="n">
        <v>78927.65770965518</v>
      </c>
      <c r="BX9" s="2" t="n">
        <v>25748.36</v>
      </c>
      <c r="BY9" s="2" t="n">
        <v>2065.56</v>
      </c>
      <c r="BZ9" s="2" t="n">
        <v>0</v>
      </c>
      <c r="CA9" s="2" t="n">
        <v>27813.92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3482.67</v>
      </c>
      <c r="L10" s="2" t="n">
        <v>289.9000305555556</v>
      </c>
      <c r="M10" s="2" t="n">
        <v>3224.694444444444</v>
      </c>
      <c r="N10" s="2" t="n">
        <v>0</v>
      </c>
      <c r="O10" s="2" t="n">
        <v>3321.09</v>
      </c>
      <c r="P10" s="2" t="n">
        <v>161.58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4685.2</v>
      </c>
      <c r="AP10" s="2" t="n">
        <v>216.9074074074074</v>
      </c>
      <c r="AQ10" s="2" t="n">
        <v>4338.148148148148</v>
      </c>
      <c r="AR10" s="2" t="n">
        <v>0</v>
      </c>
      <c r="AS10" s="2" t="n">
        <v>4500.49</v>
      </c>
      <c r="AT10" s="2" t="n">
        <v>184.71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8167.87</v>
      </c>
      <c r="BB10" s="2" t="n">
        <v>8167.87</v>
      </c>
      <c r="BC10" s="2">
        <f>F10+L10+R10+X10+AD10+AJ10+AP10+AV10+IF(BE10="",0,BE10)</f>
        <v/>
      </c>
      <c r="BD10" s="2" t="n">
        <v>125.785198</v>
      </c>
      <c r="BE10" s="2" t="n"/>
      <c r="BF10" s="2" t="n">
        <v>7562.842592592592</v>
      </c>
      <c r="BG10" s="2" t="n">
        <v>0</v>
      </c>
      <c r="BH10" s="2" t="n">
        <v>0</v>
      </c>
      <c r="BI10" s="2" t="n">
        <v>36269.25</v>
      </c>
      <c r="BJ10" s="2" t="n">
        <v>69.65810344827587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110.266245</v>
      </c>
      <c r="BQ10" s="2" t="n">
        <v>28217.64459482759</v>
      </c>
      <c r="BR10" s="2" t="n">
        <v>64691.81894327586</v>
      </c>
      <c r="BS10" s="2" t="n">
        <v>878.5887931034483</v>
      </c>
      <c r="BT10" s="2" t="n">
        <v>0</v>
      </c>
      <c r="BU10" s="2" t="n">
        <v>13092.02829827586</v>
      </c>
      <c r="BV10" s="2" t="n">
        <v>13970.61709137931</v>
      </c>
      <c r="BW10" s="2" t="n">
        <v>78662.43603465517</v>
      </c>
      <c r="BX10" s="2" t="n">
        <v>7821.58</v>
      </c>
      <c r="BY10" s="2" t="n">
        <v>346.29</v>
      </c>
      <c r="BZ10" s="2" t="n">
        <v>0</v>
      </c>
      <c r="CA10" s="2" t="n">
        <v>8167.87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2148.65</v>
      </c>
      <c r="L11" s="2" t="n">
        <v>178.8552175925926</v>
      </c>
      <c r="M11" s="2" t="n">
        <v>1989.490740740741</v>
      </c>
      <c r="N11" s="2" t="n">
        <v>0</v>
      </c>
      <c r="O11" s="2" t="n">
        <v>1920.61</v>
      </c>
      <c r="P11" s="2" t="n">
        <v>228.04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3654.04</v>
      </c>
      <c r="AP11" s="2" t="n">
        <v>169.1685185185185</v>
      </c>
      <c r="AQ11" s="2" t="n">
        <v>3383.37037037037</v>
      </c>
      <c r="AR11" s="2" t="n">
        <v>0</v>
      </c>
      <c r="AS11" s="2" t="n">
        <v>3164.36</v>
      </c>
      <c r="AT11" s="2" t="n">
        <v>489.68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5802.690000000001</v>
      </c>
      <c r="BB11" s="2" t="n">
        <v>5802.690000000001</v>
      </c>
      <c r="BC11" s="2">
        <f>F11+L11+R11+X11+AD11+AJ11+AP11+AV11+IF(BE11="",0,BE11)</f>
        <v/>
      </c>
      <c r="BD11" s="2" t="n">
        <v>89.36142599999999</v>
      </c>
      <c r="BE11" s="2" t="n"/>
      <c r="BF11" s="2" t="n">
        <v>5372.86111111111</v>
      </c>
      <c r="BG11" s="2" t="n">
        <v>0</v>
      </c>
      <c r="BH11" s="2" t="n">
        <v>0</v>
      </c>
      <c r="BI11" s="2" t="n">
        <v>36269.25</v>
      </c>
      <c r="BJ11" s="2" t="n">
        <v>69.65810344827587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78.336315</v>
      </c>
      <c r="BQ11" s="2" t="n">
        <v>28217.64459482759</v>
      </c>
      <c r="BR11" s="2" t="n">
        <v>64659.88901327586</v>
      </c>
      <c r="BS11" s="2" t="n">
        <v>878.5887931034483</v>
      </c>
      <c r="BT11" s="2" t="n">
        <v>0</v>
      </c>
      <c r="BU11" s="2" t="n">
        <v>13092.02829827586</v>
      </c>
      <c r="BV11" s="2" t="n">
        <v>13970.61709137931</v>
      </c>
      <c r="BW11" s="2" t="n">
        <v>78630.50610465517</v>
      </c>
      <c r="BX11" s="2" t="n">
        <v>5084.97</v>
      </c>
      <c r="BY11" s="2" t="n">
        <v>717.72</v>
      </c>
      <c r="BZ11" s="2" t="n">
        <v>0</v>
      </c>
      <c r="CA11" s="2" t="n">
        <v>5802.690000000001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3815.87</v>
      </c>
      <c r="AP12" s="2" t="n">
        <v>2950</v>
      </c>
      <c r="AQ12" s="2" t="n">
        <v>3533.212962962963</v>
      </c>
      <c r="AR12" s="2" t="n">
        <v>0</v>
      </c>
      <c r="AS12" s="2" t="n">
        <v>3739.07</v>
      </c>
      <c r="AT12" s="2" t="n">
        <v>76.8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3815.87</v>
      </c>
      <c r="BB12" s="2" t="n">
        <v>3815.87</v>
      </c>
      <c r="BC12" s="2">
        <f>F12+L12+R12+X12+AD12+AJ12+AP12+AV12+IF(BE12="",0,BE12)</f>
        <v/>
      </c>
      <c r="BD12" s="2" t="n">
        <v>58.76439800000001</v>
      </c>
      <c r="BE12" s="2" t="n"/>
      <c r="BF12" s="2" t="n">
        <v>3533.212962962963</v>
      </c>
      <c r="BG12" s="2" t="n">
        <v>0</v>
      </c>
      <c r="BH12" s="2" t="n">
        <v>0</v>
      </c>
      <c r="BI12" s="2" t="n">
        <v>36269.25</v>
      </c>
      <c r="BJ12" s="2" t="n">
        <v>69.65810344827587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51.514245</v>
      </c>
      <c r="BQ12" s="2" t="n">
        <v>28217.64459482759</v>
      </c>
      <c r="BR12" s="2" t="n">
        <v>64633.06694327586</v>
      </c>
      <c r="BS12" s="2" t="n">
        <v>878.5887931034483</v>
      </c>
      <c r="BT12" s="2" t="n">
        <v>0</v>
      </c>
      <c r="BU12" s="2" t="n">
        <v>13092.02829827586</v>
      </c>
      <c r="BV12" s="2" t="n">
        <v>13970.61709137931</v>
      </c>
      <c r="BW12" s="2" t="n">
        <v>78603.68403465516</v>
      </c>
      <c r="BX12" s="2" t="n">
        <v>3739.07</v>
      </c>
      <c r="BY12" s="2" t="n">
        <v>76.8</v>
      </c>
      <c r="BZ12" s="2" t="n">
        <v>0</v>
      </c>
      <c r="CA12" s="2" t="n">
        <v>3815.87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2354.37</v>
      </c>
      <c r="F13" s="2" t="n">
        <v>152.5980555555556</v>
      </c>
      <c r="G13" s="2" t="n">
        <v>2179.972222222222</v>
      </c>
      <c r="H13" s="2" t="n">
        <v>0</v>
      </c>
      <c r="I13" s="2" t="n">
        <v>2117.54</v>
      </c>
      <c r="J13" s="2" t="n">
        <v>236.83</v>
      </c>
      <c r="K13" s="2" t="n">
        <v>1605.16</v>
      </c>
      <c r="L13" s="2" t="n">
        <v>133.6147074074074</v>
      </c>
      <c r="M13" s="2" t="n">
        <v>1486.259259259259</v>
      </c>
      <c r="N13" s="2" t="n">
        <v>0</v>
      </c>
      <c r="O13" s="2" t="n">
        <v>1511.62</v>
      </c>
      <c r="P13" s="2" t="n">
        <v>93.54000000000001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5682.809999999999</v>
      </c>
      <c r="AP13" s="2" t="n">
        <v>3740</v>
      </c>
      <c r="AQ13" s="2" t="n">
        <v>5261.86111111111</v>
      </c>
      <c r="AR13" s="2" t="n">
        <v>0</v>
      </c>
      <c r="AS13" s="2" t="n">
        <v>5295.49</v>
      </c>
      <c r="AT13" s="2" t="n">
        <v>387.32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9642.34</v>
      </c>
      <c r="BB13" s="2" t="n">
        <v>9642.34</v>
      </c>
      <c r="BC13" s="2">
        <f>F13+L13+R13+X13+AD13+AJ13+AP13+AV13+IF(BE13="",0,BE13)</f>
        <v/>
      </c>
      <c r="BD13" s="2" t="n">
        <v>148.492036</v>
      </c>
      <c r="BE13" s="2" t="n"/>
      <c r="BF13" s="2" t="n">
        <v>8928.092592592591</v>
      </c>
      <c r="BG13" s="2" t="n">
        <v>0</v>
      </c>
      <c r="BH13" s="2" t="n">
        <v>0</v>
      </c>
      <c r="BI13" s="2" t="n">
        <v>36269.25</v>
      </c>
      <c r="BJ13" s="2" t="n">
        <v>69.65810344827587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130.17159</v>
      </c>
      <c r="BQ13" s="2" t="n">
        <v>28217.64459482759</v>
      </c>
      <c r="BR13" s="2" t="n">
        <v>64711.72428827586</v>
      </c>
      <c r="BS13" s="2" t="n">
        <v>878.5887931034483</v>
      </c>
      <c r="BT13" s="2" t="n">
        <v>0</v>
      </c>
      <c r="BU13" s="2" t="n">
        <v>13092.02829827586</v>
      </c>
      <c r="BV13" s="2" t="n">
        <v>13970.61709137931</v>
      </c>
      <c r="BW13" s="2" t="n">
        <v>78682.34137965518</v>
      </c>
      <c r="BX13" s="2" t="n">
        <v>8924.65</v>
      </c>
      <c r="BY13" s="2" t="n">
        <v>717.6900000000001</v>
      </c>
      <c r="BZ13" s="2" t="n">
        <v>0</v>
      </c>
      <c r="CA13" s="2" t="n">
        <v>9642.34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6375.27</v>
      </c>
      <c r="L14" s="2" t="n">
        <v>530.6821972222223</v>
      </c>
      <c r="M14" s="2" t="n">
        <v>5903.027777777777</v>
      </c>
      <c r="N14" s="2" t="n">
        <v>0</v>
      </c>
      <c r="O14" s="2" t="n">
        <v>6055.44</v>
      </c>
      <c r="P14" s="2" t="n">
        <v>319.83</v>
      </c>
      <c r="Q14" s="2" t="n">
        <v>3685.29</v>
      </c>
      <c r="R14" s="2" t="n">
        <v>255.9229166666666</v>
      </c>
      <c r="S14" s="2" t="n">
        <v>3412.305555555555</v>
      </c>
      <c r="T14" s="2" t="n">
        <v>0</v>
      </c>
      <c r="U14" s="2" t="n">
        <v>3448.79</v>
      </c>
      <c r="V14" s="2" t="n">
        <v>236.5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10061.29</v>
      </c>
      <c r="AP14" s="2" t="n">
        <v>3550</v>
      </c>
      <c r="AQ14" s="2" t="n">
        <v>9316.009259259257</v>
      </c>
      <c r="AR14" s="2" t="n">
        <v>0</v>
      </c>
      <c r="AS14" s="2" t="n">
        <v>9591.139999999999</v>
      </c>
      <c r="AT14" s="2" t="n">
        <v>470.15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20121.85</v>
      </c>
      <c r="BB14" s="2" t="n">
        <v>20121.85</v>
      </c>
      <c r="BC14" s="2">
        <f>F14+L14+R14+X14+AD14+AJ14+AP14+AV14+IF(BE14="",0,BE14)</f>
        <v/>
      </c>
      <c r="BD14" s="2" t="n">
        <v>309.87649</v>
      </c>
      <c r="BE14" s="2" t="n"/>
      <c r="BF14" s="2" t="n">
        <v>18631.34259259259</v>
      </c>
      <c r="BG14" s="2" t="n">
        <v>0</v>
      </c>
      <c r="BH14" s="2" t="n">
        <v>0</v>
      </c>
      <c r="BI14" s="2" t="n">
        <v>36269.25</v>
      </c>
      <c r="BJ14" s="2" t="n">
        <v>69.65810344827587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271.6449749999999</v>
      </c>
      <c r="BQ14" s="2" t="n">
        <v>28217.64459482759</v>
      </c>
      <c r="BR14" s="2" t="n">
        <v>64853.19767327586</v>
      </c>
      <c r="BS14" s="2" t="n">
        <v>878.5887931034483</v>
      </c>
      <c r="BT14" s="2" t="n">
        <v>0</v>
      </c>
      <c r="BU14" s="2" t="n">
        <v>13092.02829827586</v>
      </c>
      <c r="BV14" s="2" t="n">
        <v>13970.61709137931</v>
      </c>
      <c r="BW14" s="2" t="n">
        <v>78823.81476465517</v>
      </c>
      <c r="BX14" s="2" t="n">
        <v>19095.37</v>
      </c>
      <c r="BY14" s="2" t="n">
        <v>1026.48</v>
      </c>
      <c r="BZ14" s="2" t="n">
        <v>0</v>
      </c>
      <c r="CA14" s="2" t="n">
        <v>20121.85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17.4</v>
      </c>
      <c r="F15" s="2" t="n">
        <v>1.127777777777778</v>
      </c>
      <c r="G15" s="2" t="n">
        <v>16.11111111111111</v>
      </c>
      <c r="H15" s="2" t="n">
        <v>0</v>
      </c>
      <c r="I15" s="2" t="n">
        <v>17.4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2371.63</v>
      </c>
      <c r="AP15" s="2" t="n">
        <v>2950</v>
      </c>
      <c r="AQ15" s="2" t="n">
        <v>2195.953703703703</v>
      </c>
      <c r="AR15" s="2" t="n">
        <v>0</v>
      </c>
      <c r="AS15" s="2" t="n">
        <v>2160.14</v>
      </c>
      <c r="AT15" s="2" t="n">
        <v>211.49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2389.03</v>
      </c>
      <c r="BB15" s="2" t="n">
        <v>2389.03</v>
      </c>
      <c r="BC15" s="2">
        <f>F15+L15+R15+X15+AD15+AJ15+AP15+AV15+IF(BE15="",0,BE15)</f>
        <v/>
      </c>
      <c r="BD15" s="2" t="n">
        <v>36.791062</v>
      </c>
      <c r="BE15" s="2" t="n"/>
      <c r="BF15" s="2" t="n">
        <v>2212.064814814815</v>
      </c>
      <c r="BG15" s="2" t="n">
        <v>0</v>
      </c>
      <c r="BH15" s="2" t="n">
        <v>0</v>
      </c>
      <c r="BI15" s="2" t="n">
        <v>36269.25</v>
      </c>
      <c r="BJ15" s="2" t="n">
        <v>69.65810344827587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32.25190500000001</v>
      </c>
      <c r="BQ15" s="2" t="n">
        <v>28217.64459482759</v>
      </c>
      <c r="BR15" s="2" t="n">
        <v>64613.80460327586</v>
      </c>
      <c r="BS15" s="2" t="n">
        <v>878.5887931034483</v>
      </c>
      <c r="BT15" s="2" t="n">
        <v>0</v>
      </c>
      <c r="BU15" s="2" t="n">
        <v>13092.02829827586</v>
      </c>
      <c r="BV15" s="2" t="n">
        <v>13970.61709137931</v>
      </c>
      <c r="BW15" s="2" t="n">
        <v>78584.42169465518</v>
      </c>
      <c r="BX15" s="2" t="n">
        <v>2177.54</v>
      </c>
      <c r="BY15" s="2" t="n">
        <v>211.49</v>
      </c>
      <c r="BZ15" s="2" t="n">
        <v>0</v>
      </c>
      <c r="CA15" s="2" t="n">
        <v>2389.03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13265.06</v>
      </c>
      <c r="L16" s="2" t="n">
        <v>1104.19342037037</v>
      </c>
      <c r="M16" s="2" t="n">
        <v>12282.46296296296</v>
      </c>
      <c r="N16" s="2" t="n">
        <v>0</v>
      </c>
      <c r="O16" s="2" t="n">
        <v>12713.11</v>
      </c>
      <c r="P16" s="2" t="n">
        <v>551.95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51262.07</v>
      </c>
      <c r="X16" s="2" t="n">
        <v>750</v>
      </c>
      <c r="Y16" s="2" t="n">
        <v>47464.87962962963</v>
      </c>
      <c r="Z16" s="2" t="n">
        <v>0</v>
      </c>
      <c r="AA16" s="2" t="n">
        <v>50462.55</v>
      </c>
      <c r="AB16" s="2" t="n">
        <v>799.52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7147.04</v>
      </c>
      <c r="AP16" s="2" t="n">
        <v>3600</v>
      </c>
      <c r="AQ16" s="2" t="n">
        <v>6617.62962962963</v>
      </c>
      <c r="AR16" s="2" t="n">
        <v>0</v>
      </c>
      <c r="AS16" s="2" t="n">
        <v>6907.19</v>
      </c>
      <c r="AT16" s="2" t="n">
        <v>239.85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71674.17</v>
      </c>
      <c r="BB16" s="2" t="n">
        <v>71674.17</v>
      </c>
      <c r="BC16" s="2">
        <f>F16+L16+R16+X16+AD16+AJ16+AP16+AV16+IF(BE16="",0,BE16)</f>
        <v/>
      </c>
      <c r="BD16" s="2" t="n">
        <v>1006.384285</v>
      </c>
      <c r="BE16" s="2" t="n"/>
      <c r="BF16" s="2" t="n">
        <v>66364.97222222222</v>
      </c>
      <c r="BG16" s="2" t="n">
        <v>1056.72</v>
      </c>
      <c r="BH16" s="2" t="n">
        <v>276</v>
      </c>
      <c r="BI16" s="2" t="n">
        <v>36269.25</v>
      </c>
      <c r="BJ16" s="2" t="n">
        <v>69.65810344827587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967.6012950000001</v>
      </c>
      <c r="BQ16" s="2" t="n">
        <v>28217.64459482759</v>
      </c>
      <c r="BR16" s="2" t="n">
        <v>66881.87399327586</v>
      </c>
      <c r="BS16" s="2" t="n">
        <v>878.5887931034483</v>
      </c>
      <c r="BT16" s="2" t="n">
        <v>0</v>
      </c>
      <c r="BU16" s="2" t="n">
        <v>13358.57229827586</v>
      </c>
      <c r="BV16" s="2" t="n">
        <v>14237.16109137931</v>
      </c>
      <c r="BW16" s="2" t="n">
        <v>81119.03508465517</v>
      </c>
      <c r="BX16" s="2" t="n">
        <v>70082.85000000001</v>
      </c>
      <c r="BY16" s="2" t="n">
        <v>1591.32</v>
      </c>
      <c r="BZ16" s="2" t="n">
        <v>0</v>
      </c>
      <c r="CA16" s="2" t="n">
        <v>71674.17000000001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165</v>
      </c>
      <c r="L17" s="2" t="n">
        <v>13.73472222222222</v>
      </c>
      <c r="M17" s="2" t="n">
        <v>152.7777777777778</v>
      </c>
      <c r="N17" s="2" t="n">
        <v>0</v>
      </c>
      <c r="O17" s="2" t="n">
        <v>165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1372.45</v>
      </c>
      <c r="AP17" s="2" t="n">
        <v>2950</v>
      </c>
      <c r="AQ17" s="2" t="n">
        <v>1270.787037037037</v>
      </c>
      <c r="AR17" s="2" t="n">
        <v>0</v>
      </c>
      <c r="AS17" s="2" t="n">
        <v>1247.85</v>
      </c>
      <c r="AT17" s="2" t="n">
        <v>124.6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1537.45</v>
      </c>
      <c r="BB17" s="2" t="n">
        <v>1537.45</v>
      </c>
      <c r="BC17" s="2">
        <f>F17+L17+R17+X17+AD17+AJ17+AP17+AV17+IF(BE17="",0,BE17)</f>
        <v/>
      </c>
      <c r="BD17" s="2" t="n">
        <v>23.67673</v>
      </c>
      <c r="BE17" s="2" t="n"/>
      <c r="BF17" s="2" t="n">
        <v>1423.564814814815</v>
      </c>
      <c r="BG17" s="2" t="n">
        <v>0</v>
      </c>
      <c r="BH17" s="2" t="n">
        <v>0</v>
      </c>
      <c r="BI17" s="2" t="n">
        <v>36269.25</v>
      </c>
      <c r="BJ17" s="2" t="n">
        <v>69.65810344827587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20.755575</v>
      </c>
      <c r="BQ17" s="2" t="n">
        <v>28217.64459482759</v>
      </c>
      <c r="BR17" s="2" t="n">
        <v>64602.30827327586</v>
      </c>
      <c r="BS17" s="2" t="n">
        <v>878.5887931034483</v>
      </c>
      <c r="BT17" s="2" t="n">
        <v>0</v>
      </c>
      <c r="BU17" s="2" t="n">
        <v>13092.02829827586</v>
      </c>
      <c r="BV17" s="2" t="n">
        <v>13970.61709137931</v>
      </c>
      <c r="BW17" s="2" t="n">
        <v>78572.92536465518</v>
      </c>
      <c r="BX17" s="2" t="n">
        <v>1412.85</v>
      </c>
      <c r="BY17" s="2" t="n">
        <v>124.6</v>
      </c>
      <c r="BZ17" s="2" t="n">
        <v>0</v>
      </c>
      <c r="CA17" s="2" t="n">
        <v>1537.45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11844.4</v>
      </c>
      <c r="L18" s="2" t="n">
        <v>985.9366296296298</v>
      </c>
      <c r="M18" s="2" t="n">
        <v>10967.03703703704</v>
      </c>
      <c r="N18" s="2" t="n">
        <v>0</v>
      </c>
      <c r="O18" s="2" t="n">
        <v>10989.44</v>
      </c>
      <c r="P18" s="2" t="n">
        <v>854.96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3540.95</v>
      </c>
      <c r="AP18" s="2" t="n">
        <v>3600</v>
      </c>
      <c r="AQ18" s="2" t="n">
        <v>3278.657407407407</v>
      </c>
      <c r="AR18" s="2" t="n">
        <v>0</v>
      </c>
      <c r="AS18" s="2" t="n">
        <v>3351.44</v>
      </c>
      <c r="AT18" s="2" t="n">
        <v>189.51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15385.35</v>
      </c>
      <c r="BB18" s="2" t="n">
        <v>15385.35</v>
      </c>
      <c r="BC18" s="2">
        <f>F18+L18+R18+X18+AD18+AJ18+AP18+AV18+IF(BE18="",0,BE18)</f>
        <v/>
      </c>
      <c r="BD18" s="2" t="n">
        <v>236.93439</v>
      </c>
      <c r="BE18" s="2" t="n"/>
      <c r="BF18" s="2" t="n">
        <v>14245.69444444445</v>
      </c>
      <c r="BG18" s="2" t="n">
        <v>0</v>
      </c>
      <c r="BH18" s="2" t="n">
        <v>0</v>
      </c>
      <c r="BI18" s="2" t="n">
        <v>36269.25</v>
      </c>
      <c r="BJ18" s="2" t="n">
        <v>69.65810344827587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207.702225</v>
      </c>
      <c r="BQ18" s="2" t="n">
        <v>28217.64459482759</v>
      </c>
      <c r="BR18" s="2" t="n">
        <v>64789.25492327586</v>
      </c>
      <c r="BS18" s="2" t="n">
        <v>878.5887931034483</v>
      </c>
      <c r="BT18" s="2" t="n">
        <v>0</v>
      </c>
      <c r="BU18" s="2" t="n">
        <v>13092.02829827586</v>
      </c>
      <c r="BV18" s="2" t="n">
        <v>13970.61709137931</v>
      </c>
      <c r="BW18" s="2" t="n">
        <v>78759.87201465518</v>
      </c>
      <c r="BX18" s="2" t="n">
        <v>14340.88</v>
      </c>
      <c r="BY18" s="2" t="n">
        <v>1044.47</v>
      </c>
      <c r="BZ18" s="2" t="n">
        <v>0</v>
      </c>
      <c r="CA18" s="2" t="n">
        <v>15385.35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11029.55</v>
      </c>
      <c r="L19" s="2" t="n">
        <v>918.1079120370371</v>
      </c>
      <c r="M19" s="2" t="n">
        <v>10212.5462962963</v>
      </c>
      <c r="N19" s="2" t="n">
        <v>0</v>
      </c>
      <c r="O19" s="2" t="n">
        <v>10549.38</v>
      </c>
      <c r="P19" s="2" t="n">
        <v>480.17</v>
      </c>
      <c r="Q19" s="2" t="n">
        <v>29094.76</v>
      </c>
      <c r="R19" s="2" t="n">
        <v>2020.469444444444</v>
      </c>
      <c r="S19" s="2" t="n">
        <v>26939.59259259259</v>
      </c>
      <c r="T19" s="2" t="n">
        <v>0</v>
      </c>
      <c r="U19" s="2" t="n">
        <v>27959.98</v>
      </c>
      <c r="V19" s="2" t="n">
        <v>1134.78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8608.43</v>
      </c>
      <c r="AP19" s="2" t="n">
        <v>3600</v>
      </c>
      <c r="AQ19" s="2" t="n">
        <v>7970.768518518518</v>
      </c>
      <c r="AR19" s="2" t="n">
        <v>0</v>
      </c>
      <c r="AS19" s="2" t="n">
        <v>8309.75</v>
      </c>
      <c r="AT19" s="2" t="n">
        <v>298.68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48732.74</v>
      </c>
      <c r="BB19" s="2" t="n">
        <v>48732.74</v>
      </c>
      <c r="BC19" s="2">
        <f>F19+L19+R19+X19+AD19+AJ19+AP19+AV19+IF(BE19="",0,BE19)</f>
        <v/>
      </c>
      <c r="BD19" s="2" t="n">
        <v>750.484196</v>
      </c>
      <c r="BE19" s="2" t="n"/>
      <c r="BF19" s="2" t="n">
        <v>45122.9074074074</v>
      </c>
      <c r="BG19" s="2" t="n">
        <v>0</v>
      </c>
      <c r="BH19" s="2" t="n">
        <v>0</v>
      </c>
      <c r="BI19" s="2" t="n">
        <v>36269.25</v>
      </c>
      <c r="BJ19" s="2" t="n">
        <v>69.65810344827587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657.89199</v>
      </c>
      <c r="BQ19" s="2" t="n">
        <v>28217.64459482759</v>
      </c>
      <c r="BR19" s="2" t="n">
        <v>65239.44468827586</v>
      </c>
      <c r="BS19" s="2" t="n">
        <v>878.5887931034483</v>
      </c>
      <c r="BT19" s="2" t="n">
        <v>0</v>
      </c>
      <c r="BU19" s="2" t="n">
        <v>13092.02829827586</v>
      </c>
      <c r="BV19" s="2" t="n">
        <v>13970.61709137931</v>
      </c>
      <c r="BW19" s="2" t="n">
        <v>79210.06177965517</v>
      </c>
      <c r="BX19" s="2" t="n">
        <v>46819.11</v>
      </c>
      <c r="BY19" s="2" t="n">
        <v>1913.63</v>
      </c>
      <c r="BZ19" s="2" t="n">
        <v>0</v>
      </c>
      <c r="CA19" s="2" t="n">
        <v>48732.74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1806.75</v>
      </c>
      <c r="L20" s="2" t="n">
        <v>150.3952083333333</v>
      </c>
      <c r="M20" s="2" t="n">
        <v>1672.916666666667</v>
      </c>
      <c r="N20" s="2" t="n">
        <v>0</v>
      </c>
      <c r="O20" s="2" t="n">
        <v>1738.98</v>
      </c>
      <c r="P20" s="2" t="n">
        <v>67.77</v>
      </c>
      <c r="Q20" s="2" t="n">
        <v>7.9</v>
      </c>
      <c r="R20" s="2" t="n">
        <v>0.548611111111111</v>
      </c>
      <c r="S20" s="2" t="n">
        <v>7.314814814814815</v>
      </c>
      <c r="T20" s="2" t="n">
        <v>0</v>
      </c>
      <c r="U20" s="2" t="n">
        <v>0</v>
      </c>
      <c r="V20" s="2" t="n">
        <v>7.9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4207.889999999999</v>
      </c>
      <c r="AP20" s="2" t="n">
        <v>3600</v>
      </c>
      <c r="AQ20" s="2" t="n">
        <v>3896.194444444443</v>
      </c>
      <c r="AR20" s="2" t="n">
        <v>0</v>
      </c>
      <c r="AS20" s="2" t="n">
        <v>3828.64</v>
      </c>
      <c r="AT20" s="2" t="n">
        <v>379.25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6022.539999999999</v>
      </c>
      <c r="BB20" s="2" t="n">
        <v>6022.539999999999</v>
      </c>
      <c r="BC20" s="2">
        <f>F20+L20+R20+X20+AD20+AJ20+AP20+AV20+IF(BE20="",0,BE20)</f>
        <v/>
      </c>
      <c r="BD20" s="2" t="n">
        <v>92.74711599999999</v>
      </c>
      <c r="BE20" s="2" t="n"/>
      <c r="BF20" s="2" t="n">
        <v>5576.425925925925</v>
      </c>
      <c r="BG20" s="2" t="n">
        <v>0</v>
      </c>
      <c r="BH20" s="2" t="n">
        <v>0</v>
      </c>
      <c r="BI20" s="2" t="n">
        <v>36269.25</v>
      </c>
      <c r="BJ20" s="2" t="n">
        <v>69.65810344827587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81.30428999999998</v>
      </c>
      <c r="BQ20" s="2" t="n">
        <v>28217.64459482759</v>
      </c>
      <c r="BR20" s="2" t="n">
        <v>64662.85698827586</v>
      </c>
      <c r="BS20" s="2" t="n">
        <v>878.5887931034483</v>
      </c>
      <c r="BT20" s="2" t="n">
        <v>0</v>
      </c>
      <c r="BU20" s="2" t="n">
        <v>13092.02829827586</v>
      </c>
      <c r="BV20" s="2" t="n">
        <v>13970.61709137931</v>
      </c>
      <c r="BW20" s="2" t="n">
        <v>78633.47407965516</v>
      </c>
      <c r="BX20" s="2" t="n">
        <v>5567.62</v>
      </c>
      <c r="BY20" s="2" t="n">
        <v>454.92</v>
      </c>
      <c r="BZ20" s="2" t="n">
        <v>0</v>
      </c>
      <c r="CA20" s="2" t="n">
        <v>6022.54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1560.63</v>
      </c>
      <c r="L21" s="2" t="n">
        <v>129.9079972222222</v>
      </c>
      <c r="M21" s="2" t="n">
        <v>1445.027777777778</v>
      </c>
      <c r="N21" s="2" t="n">
        <v>0</v>
      </c>
      <c r="O21" s="2" t="n">
        <v>1500.63</v>
      </c>
      <c r="P21" s="2" t="n">
        <v>60</v>
      </c>
      <c r="Q21" s="2" t="n">
        <v>216.75</v>
      </c>
      <c r="R21" s="2" t="n">
        <v>15.05208333333333</v>
      </c>
      <c r="S21" s="2" t="n">
        <v>200.6944444444444</v>
      </c>
      <c r="T21" s="2" t="n">
        <v>0</v>
      </c>
      <c r="U21" s="2" t="n">
        <v>216.75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16.2</v>
      </c>
      <c r="AD21" s="2" t="n">
        <v>1.035</v>
      </c>
      <c r="AE21" s="2" t="n">
        <v>15</v>
      </c>
      <c r="AF21" s="2" t="n">
        <v>0</v>
      </c>
      <c r="AG21" s="2" t="n">
        <v>16.2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9824.68</v>
      </c>
      <c r="AP21" s="2" t="n">
        <v>3600</v>
      </c>
      <c r="AQ21" s="2" t="n">
        <v>9096.925925925925</v>
      </c>
      <c r="AR21" s="2" t="n">
        <v>0</v>
      </c>
      <c r="AS21" s="2" t="n">
        <v>8985.690000000001</v>
      </c>
      <c r="AT21" s="2" t="n">
        <v>838.99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11618.26</v>
      </c>
      <c r="BB21" s="2" t="n">
        <v>11618.26</v>
      </c>
      <c r="BC21" s="2">
        <f>F21+L21+R21+X21+AD21+AJ21+AP21+AV21+IF(BE21="",0,BE21)</f>
        <v/>
      </c>
      <c r="BD21" s="2" t="n">
        <v>178.921204</v>
      </c>
      <c r="BE21" s="2" t="n"/>
      <c r="BF21" s="2" t="n">
        <v>10757.64814814815</v>
      </c>
      <c r="BG21" s="2" t="n">
        <v>0</v>
      </c>
      <c r="BH21" s="2" t="n">
        <v>0</v>
      </c>
      <c r="BI21" s="2" t="n">
        <v>36269.25</v>
      </c>
      <c r="BJ21" s="2" t="n">
        <v>69.65810344827587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156.84651</v>
      </c>
      <c r="BQ21" s="2" t="n">
        <v>28217.64459482759</v>
      </c>
      <c r="BR21" s="2" t="n">
        <v>64738.39920827586</v>
      </c>
      <c r="BS21" s="2" t="n">
        <v>878.5887931034483</v>
      </c>
      <c r="BT21" s="2" t="n">
        <v>0</v>
      </c>
      <c r="BU21" s="2" t="n">
        <v>13092.02829827586</v>
      </c>
      <c r="BV21" s="2" t="n">
        <v>13970.61709137931</v>
      </c>
      <c r="BW21" s="2" t="n">
        <v>78709.01629965517</v>
      </c>
      <c r="BX21" s="2" t="n">
        <v>10719.27</v>
      </c>
      <c r="BY21" s="2" t="n">
        <v>898.99</v>
      </c>
      <c r="BZ21" s="2" t="n">
        <v>0</v>
      </c>
      <c r="CA21" s="2" t="n">
        <v>11618.26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125.51</v>
      </c>
      <c r="L22" s="2" t="n">
        <v>10.44754537037037</v>
      </c>
      <c r="M22" s="2" t="n">
        <v>116.212962962963</v>
      </c>
      <c r="N22" s="2" t="n">
        <v>0</v>
      </c>
      <c r="O22" s="2" t="n">
        <v>125.51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754.38</v>
      </c>
      <c r="AP22" s="2" t="n">
        <v>3500</v>
      </c>
      <c r="AQ22" s="2" t="n">
        <v>698.5</v>
      </c>
      <c r="AR22" s="2" t="n">
        <v>0</v>
      </c>
      <c r="AS22" s="2" t="n">
        <v>742.41</v>
      </c>
      <c r="AT22" s="2" t="n">
        <v>11.97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879.89</v>
      </c>
      <c r="BB22" s="2" t="n">
        <v>879.89</v>
      </c>
      <c r="BC22" s="2">
        <f>F22+L22+R22+X22+AD22+AJ22+AP22+AV22+IF(BE22="",0,BE22)</f>
        <v/>
      </c>
      <c r="BD22" s="2" t="n">
        <v>13.550306</v>
      </c>
      <c r="BE22" s="2" t="n"/>
      <c r="BF22" s="2" t="n">
        <v>814.7129629629629</v>
      </c>
      <c r="BG22" s="2" t="n">
        <v>0</v>
      </c>
      <c r="BH22" s="2" t="n">
        <v>0</v>
      </c>
      <c r="BI22" s="2" t="n">
        <v>36269.25</v>
      </c>
      <c r="BJ22" s="2" t="n">
        <v>69.65810344827587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11.878515</v>
      </c>
      <c r="BQ22" s="2" t="n">
        <v>28217.64459482759</v>
      </c>
      <c r="BR22" s="2" t="n">
        <v>64593.43121327586</v>
      </c>
      <c r="BS22" s="2" t="n">
        <v>878.5887931034483</v>
      </c>
      <c r="BT22" s="2" t="n">
        <v>0</v>
      </c>
      <c r="BU22" s="2" t="n">
        <v>13092.02829827586</v>
      </c>
      <c r="BV22" s="2" t="n">
        <v>13970.61709137931</v>
      </c>
      <c r="BW22" s="2" t="n">
        <v>78564.04830465517</v>
      </c>
      <c r="BX22" s="2" t="n">
        <v>867.92</v>
      </c>
      <c r="BY22" s="2" t="n">
        <v>11.97</v>
      </c>
      <c r="BZ22" s="2" t="n">
        <v>0</v>
      </c>
      <c r="CA22" s="2" t="n">
        <v>879.89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9318.320000000002</v>
      </c>
      <c r="L23" s="2" t="n">
        <v>775.6638592592594</v>
      </c>
      <c r="M23" s="2" t="n">
        <v>8628.074074074075</v>
      </c>
      <c r="N23" s="2" t="n">
        <v>0</v>
      </c>
      <c r="O23" s="2" t="n">
        <v>9177.290000000001</v>
      </c>
      <c r="P23" s="2" t="n">
        <v>141.03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11640.18</v>
      </c>
      <c r="AP23" s="2" t="n">
        <v>3500</v>
      </c>
      <c r="AQ23" s="2" t="n">
        <v>10777.94444444444</v>
      </c>
      <c r="AR23" s="2" t="n">
        <v>0</v>
      </c>
      <c r="AS23" s="2" t="n">
        <v>11121.37</v>
      </c>
      <c r="AT23" s="2" t="n">
        <v>518.8099999999999</v>
      </c>
      <c r="AU23" s="2" t="n">
        <v>5842.75</v>
      </c>
      <c r="AV23" s="2" t="n">
        <v>465.2560185185185</v>
      </c>
      <c r="AW23" s="2" t="n">
        <v>5409.953703703703</v>
      </c>
      <c r="AX23" s="2" t="n">
        <v>0</v>
      </c>
      <c r="AY23" s="2" t="n">
        <v>5679.95</v>
      </c>
      <c r="AZ23" s="2" t="n">
        <v>162.8</v>
      </c>
      <c r="BA23" s="2" t="n">
        <v>26801.25</v>
      </c>
      <c r="BB23" s="2" t="n">
        <v>26801.25</v>
      </c>
      <c r="BC23" s="2">
        <f>F23+L23+R23+X23+AD23+AJ23+AP23+AV23+IF(BE23="",0,BE23)</f>
        <v/>
      </c>
      <c r="BD23" s="2" t="n">
        <v>412.7392500000001</v>
      </c>
      <c r="BE23" s="2" t="n"/>
      <c r="BF23" s="2" t="n">
        <v>24815.97222222222</v>
      </c>
      <c r="BG23" s="2" t="n">
        <v>0</v>
      </c>
      <c r="BH23" s="2" t="n">
        <v>0</v>
      </c>
      <c r="BI23" s="2" t="n">
        <v>36269.25</v>
      </c>
      <c r="BJ23" s="2" t="n">
        <v>69.65810344827587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361.816875</v>
      </c>
      <c r="BQ23" s="2" t="n">
        <v>28217.64459482759</v>
      </c>
      <c r="BR23" s="2" t="n">
        <v>64943.36957327586</v>
      </c>
      <c r="BS23" s="2" t="n">
        <v>878.5887931034483</v>
      </c>
      <c r="BT23" s="2" t="n">
        <v>0</v>
      </c>
      <c r="BU23" s="2" t="n">
        <v>13092.02829827586</v>
      </c>
      <c r="BV23" s="2" t="n">
        <v>13970.61709137931</v>
      </c>
      <c r="BW23" s="2" t="n">
        <v>78913.98666465517</v>
      </c>
      <c r="BX23" s="2" t="n">
        <v>25978.61</v>
      </c>
      <c r="BY23" s="2" t="n">
        <v>822.6399999999999</v>
      </c>
      <c r="BZ23" s="2" t="n">
        <v>0</v>
      </c>
      <c r="CA23" s="2" t="n">
        <v>26801.25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3811.3</v>
      </c>
      <c r="L24" s="2" t="n">
        <v>317.2554351851852</v>
      </c>
      <c r="M24" s="2" t="n">
        <v>3528.981481481481</v>
      </c>
      <c r="N24" s="2" t="n">
        <v>0</v>
      </c>
      <c r="O24" s="2" t="n">
        <v>3368.27</v>
      </c>
      <c r="P24" s="2" t="n">
        <v>443.03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5224.41</v>
      </c>
      <c r="AJ24" s="2" t="n">
        <v>362.8062499999999</v>
      </c>
      <c r="AK24" s="2" t="n">
        <v>4837.416666666666</v>
      </c>
      <c r="AL24" s="2" t="n">
        <v>0</v>
      </c>
      <c r="AM24" s="2" t="n">
        <v>4790.64</v>
      </c>
      <c r="AN24" s="2" t="n">
        <v>433.77</v>
      </c>
      <c r="AO24" s="2" t="n">
        <v>2459.73</v>
      </c>
      <c r="AP24" s="2" t="n">
        <v>3650</v>
      </c>
      <c r="AQ24" s="2" t="n">
        <v>2277.527777777777</v>
      </c>
      <c r="AR24" s="2" t="n">
        <v>0</v>
      </c>
      <c r="AS24" s="2" t="n">
        <v>2201.45</v>
      </c>
      <c r="AT24" s="2" t="n">
        <v>258.28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11495.44</v>
      </c>
      <c r="BB24" s="2" t="n">
        <v>11495.44</v>
      </c>
      <c r="BC24" s="2">
        <f>F24+L24+R24+X24+AD24+AJ24+AP24+AV24+IF(BE24="",0,BE24)</f>
        <v/>
      </c>
      <c r="BD24" s="2" t="n">
        <v>177.029776</v>
      </c>
      <c r="BE24" s="2" t="n"/>
      <c r="BF24" s="2" t="n">
        <v>10643.92592592593</v>
      </c>
      <c r="BG24" s="2" t="n">
        <v>0</v>
      </c>
      <c r="BH24" s="2" t="n">
        <v>0</v>
      </c>
      <c r="BI24" s="2" t="n">
        <v>36269.25</v>
      </c>
      <c r="BJ24" s="2" t="n">
        <v>69.65810344827587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155.18844</v>
      </c>
      <c r="BQ24" s="2" t="n">
        <v>28217.64459482759</v>
      </c>
      <c r="BR24" s="2" t="n">
        <v>64736.74113827586</v>
      </c>
      <c r="BS24" s="2" t="n">
        <v>878.5887931034483</v>
      </c>
      <c r="BT24" s="2" t="n">
        <v>0</v>
      </c>
      <c r="BU24" s="2" t="n">
        <v>13092.02829827586</v>
      </c>
      <c r="BV24" s="2" t="n">
        <v>13970.61709137931</v>
      </c>
      <c r="BW24" s="2" t="n">
        <v>78707.35822965516</v>
      </c>
      <c r="BX24" s="2" t="n">
        <v>10360.36</v>
      </c>
      <c r="BY24" s="2" t="n">
        <v>1135.08</v>
      </c>
      <c r="BZ24" s="2" t="n">
        <v>0</v>
      </c>
      <c r="CA24" s="2" t="n">
        <v>11495.44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41525.35</v>
      </c>
      <c r="L25" s="2" t="n">
        <v>3456.600893518519</v>
      </c>
      <c r="M25" s="2" t="n">
        <v>38449.39814814815</v>
      </c>
      <c r="N25" s="2" t="n">
        <v>0</v>
      </c>
      <c r="O25" s="2" t="n">
        <v>39133.9</v>
      </c>
      <c r="P25" s="2" t="n">
        <v>2391.45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566.79</v>
      </c>
      <c r="AJ25" s="2" t="n">
        <v>39.36041666666667</v>
      </c>
      <c r="AK25" s="2" t="n">
        <v>524.8055555555555</v>
      </c>
      <c r="AL25" s="2" t="n">
        <v>0</v>
      </c>
      <c r="AM25" s="2" t="n">
        <v>549.64</v>
      </c>
      <c r="AN25" s="2" t="n">
        <v>17.15</v>
      </c>
      <c r="AO25" s="2" t="n">
        <v>1746.34</v>
      </c>
      <c r="AP25" s="2" t="n">
        <v>127.741537037037</v>
      </c>
      <c r="AQ25" s="2" t="n">
        <v>1616.981481481481</v>
      </c>
      <c r="AR25" s="2" t="n">
        <v>0</v>
      </c>
      <c r="AS25" s="2" t="n">
        <v>1665.24</v>
      </c>
      <c r="AT25" s="2" t="n">
        <v>81.09999999999999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43838.48</v>
      </c>
      <c r="BB25" s="2" t="n">
        <v>43838.48</v>
      </c>
      <c r="BC25" s="2">
        <f>F25+L25+R25+X25+AD25+AJ25+AP25+AV25+IF(BE25="",0,BE25)</f>
        <v/>
      </c>
      <c r="BD25" s="2" t="n">
        <v>675.1125920000001</v>
      </c>
      <c r="BE25" s="2" t="n"/>
      <c r="BF25" s="2" t="n">
        <v>40591.18518518518</v>
      </c>
      <c r="BG25" s="2" t="n">
        <v>0</v>
      </c>
      <c r="BH25" s="2" t="n">
        <v>0</v>
      </c>
      <c r="BI25" s="2" t="n">
        <v>36269.25</v>
      </c>
      <c r="BJ25" s="2" t="n">
        <v>69.65810344827587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591.81948</v>
      </c>
      <c r="BQ25" s="2" t="n">
        <v>28217.64459482759</v>
      </c>
      <c r="BR25" s="2" t="n">
        <v>65173.37217827586</v>
      </c>
      <c r="BS25" s="2" t="n">
        <v>878.5887931034483</v>
      </c>
      <c r="BT25" s="2" t="n">
        <v>0</v>
      </c>
      <c r="BU25" s="2" t="n">
        <v>13092.02829827586</v>
      </c>
      <c r="BV25" s="2" t="n">
        <v>13970.61709137931</v>
      </c>
      <c r="BW25" s="2" t="n">
        <v>79143.98926965517</v>
      </c>
      <c r="BX25" s="2" t="n">
        <v>41348.78</v>
      </c>
      <c r="BY25" s="2" t="n">
        <v>2489.7</v>
      </c>
      <c r="BZ25" s="2" t="n">
        <v>0</v>
      </c>
      <c r="CA25" s="2" t="n">
        <v>43838.48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29035.83</v>
      </c>
      <c r="L26" s="2" t="n">
        <v>2416.963997222223</v>
      </c>
      <c r="M26" s="2" t="n">
        <v>26885.02777777778</v>
      </c>
      <c r="N26" s="2" t="n">
        <v>0</v>
      </c>
      <c r="O26" s="2" t="n">
        <v>27418.77</v>
      </c>
      <c r="P26" s="2" t="n">
        <v>1617.06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820.08</v>
      </c>
      <c r="AJ26" s="2" t="n">
        <v>56.95</v>
      </c>
      <c r="AK26" s="2" t="n">
        <v>759.3333333333334</v>
      </c>
      <c r="AL26" s="2" t="n">
        <v>0</v>
      </c>
      <c r="AM26" s="2" t="n">
        <v>713.58</v>
      </c>
      <c r="AN26" s="2" t="n">
        <v>106.5</v>
      </c>
      <c r="AO26" s="2" t="n">
        <v>2222.84</v>
      </c>
      <c r="AP26" s="2" t="n">
        <v>162.5966296296296</v>
      </c>
      <c r="AQ26" s="2" t="n">
        <v>2058.185185185185</v>
      </c>
      <c r="AR26" s="2" t="n">
        <v>0</v>
      </c>
      <c r="AS26" s="2" t="n">
        <v>2011.72</v>
      </c>
      <c r="AT26" s="2" t="n">
        <v>211.12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32078.75</v>
      </c>
      <c r="BB26" s="2" t="n">
        <v>32078.75</v>
      </c>
      <c r="BC26" s="2">
        <f>F26+L26+R26+X26+AD26+AJ26+AP26+AV26+IF(BE26="",0,BE26)</f>
        <v/>
      </c>
      <c r="BD26" s="2" t="n">
        <v>494.01275</v>
      </c>
      <c r="BE26" s="2" t="n"/>
      <c r="BF26" s="2" t="n">
        <v>29702.5462962963</v>
      </c>
      <c r="BG26" s="2" t="n">
        <v>0</v>
      </c>
      <c r="BH26" s="2" t="n">
        <v>0</v>
      </c>
      <c r="BI26" s="2" t="n">
        <v>36269.25</v>
      </c>
      <c r="BJ26" s="2" t="n">
        <v>69.65810344827587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433.063125</v>
      </c>
      <c r="BQ26" s="2" t="n">
        <v>28217.64459482759</v>
      </c>
      <c r="BR26" s="2" t="n">
        <v>65014.61582327586</v>
      </c>
      <c r="BS26" s="2" t="n">
        <v>878.5887931034483</v>
      </c>
      <c r="BT26" s="2" t="n">
        <v>0</v>
      </c>
      <c r="BU26" s="2" t="n">
        <v>13092.02829827586</v>
      </c>
      <c r="BV26" s="2" t="n">
        <v>13970.61709137931</v>
      </c>
      <c r="BW26" s="2" t="n">
        <v>78985.23291465518</v>
      </c>
      <c r="BX26" s="2" t="n">
        <v>30144.07</v>
      </c>
      <c r="BY26" s="2" t="n">
        <v>1934.68</v>
      </c>
      <c r="BZ26" s="2" t="n">
        <v>0</v>
      </c>
      <c r="CA26" s="2" t="n">
        <v>32078.75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3086.35</v>
      </c>
      <c r="L27" s="2" t="n">
        <v>256.9100601851852</v>
      </c>
      <c r="M27" s="2" t="n">
        <v>2857.731481481481</v>
      </c>
      <c r="N27" s="2" t="n">
        <v>0</v>
      </c>
      <c r="O27" s="2" t="n">
        <v>2617.94</v>
      </c>
      <c r="P27" s="2" t="n">
        <v>468.41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445.28</v>
      </c>
      <c r="AD27" s="2" t="n">
        <v>28.44844444444445</v>
      </c>
      <c r="AE27" s="2" t="n">
        <v>412.2962962962963</v>
      </c>
      <c r="AF27" s="2" t="n">
        <v>0</v>
      </c>
      <c r="AG27" s="2" t="n">
        <v>407.18</v>
      </c>
      <c r="AH27" s="2" t="n">
        <v>38.1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2668.45</v>
      </c>
      <c r="AP27" s="2" t="n">
        <v>195.1921759259259</v>
      </c>
      <c r="AQ27" s="2" t="n">
        <v>2470.787037037037</v>
      </c>
      <c r="AR27" s="2" t="n">
        <v>0</v>
      </c>
      <c r="AS27" s="2" t="n">
        <v>2131.53</v>
      </c>
      <c r="AT27" s="2" t="n">
        <v>536.92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6200.08</v>
      </c>
      <c r="BB27" s="2" t="n">
        <v>6200.08</v>
      </c>
      <c r="BC27" s="2">
        <f>F27+L27+R27+X27+AD27+AJ27+AP27+AV27+IF(BE27="",0,BE27)</f>
        <v/>
      </c>
      <c r="BD27" s="2" t="n">
        <v>95.48123200000001</v>
      </c>
      <c r="BE27" s="2" t="n"/>
      <c r="BF27" s="2" t="n">
        <v>5740.814814814814</v>
      </c>
      <c r="BG27" s="2" t="n">
        <v>518</v>
      </c>
      <c r="BH27" s="2" t="n">
        <v>352</v>
      </c>
      <c r="BI27" s="2" t="n">
        <v>36269.25</v>
      </c>
      <c r="BJ27" s="2" t="n">
        <v>69.65810344827587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83.70107999999999</v>
      </c>
      <c r="BQ27" s="2" t="n">
        <v>28217.64459482759</v>
      </c>
      <c r="BR27" s="2" t="n">
        <v>65535.25377827586</v>
      </c>
      <c r="BS27" s="2" t="n">
        <v>878.5887931034483</v>
      </c>
      <c r="BT27" s="2" t="n">
        <v>0</v>
      </c>
      <c r="BU27" s="2" t="n">
        <v>13266.02829827586</v>
      </c>
      <c r="BV27" s="2" t="n">
        <v>14144.61709137931</v>
      </c>
      <c r="BW27" s="2" t="n">
        <v>79679.87086965518</v>
      </c>
      <c r="BX27" s="2" t="n">
        <v>5156.65</v>
      </c>
      <c r="BY27" s="2" t="n">
        <v>1043.43</v>
      </c>
      <c r="BZ27" s="2" t="n">
        <v>0</v>
      </c>
      <c r="CA27" s="2" t="n">
        <v>6200.08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1647.21</v>
      </c>
      <c r="L28" s="2" t="n">
        <v>137.1149805555555</v>
      </c>
      <c r="M28" s="2" t="n">
        <v>1525.194444444444</v>
      </c>
      <c r="N28" s="2" t="n">
        <v>0</v>
      </c>
      <c r="O28" s="2" t="n">
        <v>1455.76</v>
      </c>
      <c r="P28" s="2" t="n">
        <v>191.45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8792.779999999999</v>
      </c>
      <c r="AD28" s="2" t="n">
        <v>561.7609444444444</v>
      </c>
      <c r="AE28" s="2" t="n">
        <v>8141.462962962962</v>
      </c>
      <c r="AF28" s="2" t="n">
        <v>0</v>
      </c>
      <c r="AG28" s="2" t="n">
        <v>7852.24</v>
      </c>
      <c r="AH28" s="2" t="n">
        <v>940.54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10439.99</v>
      </c>
      <c r="BB28" s="2" t="n">
        <v>10439.99</v>
      </c>
      <c r="BC28" s="2">
        <f>F28+L28+R28+X28+AD28+AJ28+AP28+AV28+IF(BE28="",0,BE28)</f>
        <v/>
      </c>
      <c r="BD28" s="2" t="n">
        <v>160.775846</v>
      </c>
      <c r="BE28" s="2" t="n"/>
      <c r="BF28" s="2" t="n">
        <v>9666.657407407405</v>
      </c>
      <c r="BG28" s="2" t="n">
        <v>400</v>
      </c>
      <c r="BH28" s="2" t="n">
        <v>241.5</v>
      </c>
      <c r="BI28" s="2" t="n">
        <v>36269.25</v>
      </c>
      <c r="BJ28" s="2" t="n">
        <v>69.65810344827587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140.939865</v>
      </c>
      <c r="BQ28" s="2" t="n">
        <v>28217.64459482759</v>
      </c>
      <c r="BR28" s="2" t="n">
        <v>65363.99256327586</v>
      </c>
      <c r="BS28" s="2" t="n">
        <v>878.5887931034483</v>
      </c>
      <c r="BT28" s="2" t="n">
        <v>0</v>
      </c>
      <c r="BU28" s="2" t="n">
        <v>13220.32829827586</v>
      </c>
      <c r="BV28" s="2" t="n">
        <v>14098.91709137931</v>
      </c>
      <c r="BW28" s="2" t="n">
        <v>79462.90965465517</v>
      </c>
      <c r="BX28" s="2" t="n">
        <v>9308</v>
      </c>
      <c r="BY28" s="2" t="n">
        <v>1131.99</v>
      </c>
      <c r="BZ28" s="2" t="n">
        <v>0</v>
      </c>
      <c r="CA28" s="2" t="n">
        <v>10439.99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2609.8</v>
      </c>
      <c r="L29" s="2" t="n">
        <v>217.2416851851852</v>
      </c>
      <c r="M29" s="2" t="n">
        <v>2416.481481481481</v>
      </c>
      <c r="N29" s="2" t="n">
        <v>0</v>
      </c>
      <c r="O29" s="2" t="n">
        <v>2360.4</v>
      </c>
      <c r="P29" s="2" t="n">
        <v>249.4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4318.95</v>
      </c>
      <c r="AD29" s="2" t="n">
        <v>275.9329166666666</v>
      </c>
      <c r="AE29" s="2" t="n">
        <v>3999.027777777777</v>
      </c>
      <c r="AF29" s="2" t="n">
        <v>0</v>
      </c>
      <c r="AG29" s="2" t="n">
        <v>3969.28</v>
      </c>
      <c r="AH29" s="2" t="n">
        <v>349.67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2321.57</v>
      </c>
      <c r="AP29" s="2" t="n">
        <v>169.8185462962963</v>
      </c>
      <c r="AQ29" s="2" t="n">
        <v>2149.601851851851</v>
      </c>
      <c r="AR29" s="2" t="n">
        <v>0</v>
      </c>
      <c r="AS29" s="2" t="n">
        <v>1899.82</v>
      </c>
      <c r="AT29" s="2" t="n">
        <v>421.75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9250.32</v>
      </c>
      <c r="BB29" s="2" t="n">
        <v>9250.32</v>
      </c>
      <c r="BC29" s="2">
        <f>F29+L29+R29+X29+AD29+AJ29+AP29+AV29+IF(BE29="",0,BE29)</f>
        <v/>
      </c>
      <c r="BD29" s="2" t="n">
        <v>142.454928</v>
      </c>
      <c r="BE29" s="2" t="n"/>
      <c r="BF29" s="2" t="n">
        <v>8565.111111111109</v>
      </c>
      <c r="BG29" s="2" t="n">
        <v>362.68</v>
      </c>
      <c r="BH29" s="2" t="n">
        <v>246</v>
      </c>
      <c r="BI29" s="2" t="n">
        <v>36269.25</v>
      </c>
      <c r="BJ29" s="2" t="n">
        <v>69.65810344827587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124.87932</v>
      </c>
      <c r="BQ29" s="2" t="n">
        <v>28217.64459482759</v>
      </c>
      <c r="BR29" s="2" t="n">
        <v>65315.11201827586</v>
      </c>
      <c r="BS29" s="2" t="n">
        <v>878.5887931034483</v>
      </c>
      <c r="BT29" s="2" t="n">
        <v>0</v>
      </c>
      <c r="BU29" s="2" t="n">
        <v>13213.76429827586</v>
      </c>
      <c r="BV29" s="2" t="n">
        <v>14092.35309137931</v>
      </c>
      <c r="BW29" s="2" t="n">
        <v>79407.46510965517</v>
      </c>
      <c r="BX29" s="2" t="n">
        <v>8229.5</v>
      </c>
      <c r="BY29" s="2" t="n">
        <v>1020.82</v>
      </c>
      <c r="BZ29" s="2" t="n">
        <v>0</v>
      </c>
      <c r="CA29" s="2" t="n">
        <v>9250.32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3415.99</v>
      </c>
      <c r="L30" s="2" t="n">
        <v>284.349537962963</v>
      </c>
      <c r="M30" s="2" t="n">
        <v>3162.953703703703</v>
      </c>
      <c r="N30" s="2" t="n">
        <v>0</v>
      </c>
      <c r="O30" s="2" t="n">
        <v>3141.83</v>
      </c>
      <c r="P30" s="2" t="n">
        <v>274.16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3381.18</v>
      </c>
      <c r="AD30" s="2" t="n">
        <v>216.0198333333333</v>
      </c>
      <c r="AE30" s="2" t="n">
        <v>3130.722222222222</v>
      </c>
      <c r="AF30" s="2" t="n">
        <v>0</v>
      </c>
      <c r="AG30" s="2" t="n">
        <v>3037.33</v>
      </c>
      <c r="AH30" s="2" t="n">
        <v>343.85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1829.22</v>
      </c>
      <c r="AP30" s="2" t="n">
        <v>133.8040555555555</v>
      </c>
      <c r="AQ30" s="2" t="n">
        <v>1693.722222222222</v>
      </c>
      <c r="AR30" s="2" t="n">
        <v>0</v>
      </c>
      <c r="AS30" s="2" t="n">
        <v>1650.95</v>
      </c>
      <c r="AT30" s="2" t="n">
        <v>178.27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8626.389999999999</v>
      </c>
      <c r="BB30" s="2" t="n">
        <v>8626.389999999999</v>
      </c>
      <c r="BC30" s="2">
        <f>F30+L30+R30+X30+AD30+AJ30+AP30+AV30+IF(BE30="",0,BE30)</f>
        <v/>
      </c>
      <c r="BD30" s="2" t="n">
        <v>132.846406</v>
      </c>
      <c r="BE30" s="2" t="n"/>
      <c r="BF30" s="2" t="n">
        <v>7987.398148148148</v>
      </c>
      <c r="BG30" s="2" t="n">
        <v>300</v>
      </c>
      <c r="BH30" s="2" t="n">
        <v>340.5</v>
      </c>
      <c r="BI30" s="2" t="n">
        <v>36269.25</v>
      </c>
      <c r="BJ30" s="2" t="n">
        <v>69.65810344827587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116.456265</v>
      </c>
      <c r="BQ30" s="2" t="n">
        <v>28217.64459482759</v>
      </c>
      <c r="BR30" s="2" t="n">
        <v>65338.50896327586</v>
      </c>
      <c r="BS30" s="2" t="n">
        <v>878.5887931034483</v>
      </c>
      <c r="BT30" s="2" t="n">
        <v>0</v>
      </c>
      <c r="BU30" s="2" t="n">
        <v>13220.12829827586</v>
      </c>
      <c r="BV30" s="2" t="n">
        <v>14098.71709137931</v>
      </c>
      <c r="BW30" s="2" t="n">
        <v>79437.22605465517</v>
      </c>
      <c r="BX30" s="2" t="n">
        <v>7830.11</v>
      </c>
      <c r="BY30" s="2" t="n">
        <v>796.28</v>
      </c>
      <c r="BZ30" s="2" t="n">
        <v>0</v>
      </c>
      <c r="CA30" s="2" t="n">
        <v>8626.389999999999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1797.31</v>
      </c>
      <c r="L31" s="2" t="n">
        <v>149.6094157407408</v>
      </c>
      <c r="M31" s="2" t="n">
        <v>1664.175925925926</v>
      </c>
      <c r="N31" s="2" t="n">
        <v>0</v>
      </c>
      <c r="O31" s="2" t="n">
        <v>1773.31</v>
      </c>
      <c r="P31" s="2" t="n">
        <v>24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373.97</v>
      </c>
      <c r="AD31" s="2" t="n">
        <v>23.89252777777778</v>
      </c>
      <c r="AE31" s="2" t="n">
        <v>346.2685185185185</v>
      </c>
      <c r="AF31" s="2" t="n">
        <v>0</v>
      </c>
      <c r="AG31" s="2" t="n">
        <v>344.57</v>
      </c>
      <c r="AH31" s="2" t="n">
        <v>29.4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1310.92</v>
      </c>
      <c r="AP31" s="2" t="n">
        <v>95.89137037037037</v>
      </c>
      <c r="AQ31" s="2" t="n">
        <v>1213.814814814815</v>
      </c>
      <c r="AR31" s="2" t="n">
        <v>0</v>
      </c>
      <c r="AS31" s="2" t="n">
        <v>1213.29</v>
      </c>
      <c r="AT31" s="2" t="n">
        <v>97.63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3482.2</v>
      </c>
      <c r="BB31" s="2" t="n">
        <v>3482.2</v>
      </c>
      <c r="BC31" s="2">
        <f>F31+L31+R31+X31+AD31+AJ31+AP31+AV31+IF(BE31="",0,BE31)</f>
        <v/>
      </c>
      <c r="BD31" s="2" t="n">
        <v>53.62588000000001</v>
      </c>
      <c r="BE31" s="2" t="n"/>
      <c r="BF31" s="2" t="n">
        <v>3224.259259259259</v>
      </c>
      <c r="BG31" s="2" t="n">
        <v>250</v>
      </c>
      <c r="BH31" s="2" t="n">
        <v>178</v>
      </c>
      <c r="BI31" s="2" t="n">
        <v>36269.25</v>
      </c>
      <c r="BJ31" s="2" t="n">
        <v>69.65810344827587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47.0097</v>
      </c>
      <c r="BQ31" s="2" t="n">
        <v>28217.64459482759</v>
      </c>
      <c r="BR31" s="2" t="n">
        <v>65056.56239827586</v>
      </c>
      <c r="BS31" s="2" t="n">
        <v>878.5887931034483</v>
      </c>
      <c r="BT31" s="2" t="n">
        <v>0</v>
      </c>
      <c r="BU31" s="2" t="n">
        <v>13177.62829827586</v>
      </c>
      <c r="BV31" s="2" t="n">
        <v>14056.21709137931</v>
      </c>
      <c r="BW31" s="2" t="n">
        <v>79112.77948965518</v>
      </c>
      <c r="BX31" s="2" t="n">
        <v>3331.17</v>
      </c>
      <c r="BY31" s="2" t="n">
        <v>151.03</v>
      </c>
      <c r="BZ31" s="2" t="n">
        <v>0</v>
      </c>
      <c r="CA31" s="2" t="n">
        <v>3482.2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4625.04</v>
      </c>
      <c r="AD32" s="2" t="n">
        <v>295.4886666666667</v>
      </c>
      <c r="AE32" s="2" t="n">
        <v>4282.444444444444</v>
      </c>
      <c r="AF32" s="2" t="n">
        <v>0</v>
      </c>
      <c r="AG32" s="2" t="n">
        <v>4366.18</v>
      </c>
      <c r="AH32" s="2" t="n">
        <v>258.86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1129.9</v>
      </c>
      <c r="AP32" s="2" t="n">
        <v>82.6500925925926</v>
      </c>
      <c r="AQ32" s="2" t="n">
        <v>1046.203703703704</v>
      </c>
      <c r="AR32" s="2" t="n">
        <v>0</v>
      </c>
      <c r="AS32" s="2" t="n">
        <v>1068.41</v>
      </c>
      <c r="AT32" s="2" t="n">
        <v>61.49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5754.940000000001</v>
      </c>
      <c r="BB32" s="2" t="n">
        <v>5754.940000000001</v>
      </c>
      <c r="BC32" s="2">
        <f>F32+L32+R32+X32+AD32+AJ32+AP32+AV32+IF(BE32="",0,BE32)</f>
        <v/>
      </c>
      <c r="BD32" s="2" t="n">
        <v>88.62607600000001</v>
      </c>
      <c r="BE32" s="2" t="n"/>
      <c r="BF32" s="2" t="n">
        <v>5328.648148148148</v>
      </c>
      <c r="BG32" s="2" t="n">
        <v>0</v>
      </c>
      <c r="BH32" s="2" t="n">
        <v>0</v>
      </c>
      <c r="BI32" s="2" t="n">
        <v>36269.25</v>
      </c>
      <c r="BJ32" s="2" t="n">
        <v>69.65810344827587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77.69168999999999</v>
      </c>
      <c r="BQ32" s="2" t="n">
        <v>28217.64459482759</v>
      </c>
      <c r="BR32" s="2" t="n">
        <v>64659.24438827586</v>
      </c>
      <c r="BS32" s="2" t="n">
        <v>878.5887931034483</v>
      </c>
      <c r="BT32" s="2" t="n">
        <v>0</v>
      </c>
      <c r="BU32" s="2" t="n">
        <v>13092.02829827586</v>
      </c>
      <c r="BV32" s="2" t="n">
        <v>13970.61709137931</v>
      </c>
      <c r="BW32" s="2" t="n">
        <v>78629.86147965517</v>
      </c>
      <c r="BX32" s="2" t="n">
        <v>5434.59</v>
      </c>
      <c r="BY32" s="2" t="n">
        <v>320.35</v>
      </c>
      <c r="BZ32" s="2" t="n">
        <v>0</v>
      </c>
      <c r="CA32" s="2" t="n">
        <v>5754.940000000001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2067.48</v>
      </c>
      <c r="L33" s="2" t="n">
        <v>172.0985666666667</v>
      </c>
      <c r="M33" s="2" t="n">
        <v>1914.333333333333</v>
      </c>
      <c r="N33" s="2" t="n">
        <v>0</v>
      </c>
      <c r="O33" s="2" t="n">
        <v>1985.62</v>
      </c>
      <c r="P33" s="2" t="n">
        <v>81.86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2533.09</v>
      </c>
      <c r="AD33" s="2" t="n">
        <v>161.8363055555556</v>
      </c>
      <c r="AE33" s="2" t="n">
        <v>2345.453703703703</v>
      </c>
      <c r="AF33" s="2" t="n">
        <v>0</v>
      </c>
      <c r="AG33" s="2" t="n">
        <v>2244.54</v>
      </c>
      <c r="AH33" s="2" t="n">
        <v>288.55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2659.55</v>
      </c>
      <c r="AP33" s="2" t="n">
        <v>194.5411574074074</v>
      </c>
      <c r="AQ33" s="2" t="n">
        <v>2462.546296296296</v>
      </c>
      <c r="AR33" s="2" t="n">
        <v>0</v>
      </c>
      <c r="AS33" s="2" t="n">
        <v>2410.95</v>
      </c>
      <c r="AT33" s="2" t="n">
        <v>248.6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7260.119999999999</v>
      </c>
      <c r="BB33" s="2" t="n">
        <v>7260.119999999999</v>
      </c>
      <c r="BC33" s="2">
        <f>F33+L33+R33+X33+AD33+AJ33+AP33+AV33+IF(BE33="",0,BE33)</f>
        <v/>
      </c>
      <c r="BD33" s="2" t="n">
        <v>111.805848</v>
      </c>
      <c r="BE33" s="2" t="n"/>
      <c r="BF33" s="2" t="n">
        <v>6722.333333333332</v>
      </c>
      <c r="BG33" s="2" t="n">
        <v>300</v>
      </c>
      <c r="BH33" s="2" t="n">
        <v>225</v>
      </c>
      <c r="BI33" s="2" t="n">
        <v>36269.25</v>
      </c>
      <c r="BJ33" s="2" t="n">
        <v>69.65810344827587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98.01161999999999</v>
      </c>
      <c r="BQ33" s="2" t="n">
        <v>28217.64459482759</v>
      </c>
      <c r="BR33" s="2" t="n">
        <v>65204.56431827586</v>
      </c>
      <c r="BS33" s="2" t="n">
        <v>878.5887931034483</v>
      </c>
      <c r="BT33" s="2" t="n">
        <v>0</v>
      </c>
      <c r="BU33" s="2" t="n">
        <v>13197.02829827586</v>
      </c>
      <c r="BV33" s="2" t="n">
        <v>14075.61709137931</v>
      </c>
      <c r="BW33" s="2" t="n">
        <v>79280.18140965517</v>
      </c>
      <c r="BX33" s="2" t="n">
        <v>6641.11</v>
      </c>
      <c r="BY33" s="2" t="n">
        <v>619.01</v>
      </c>
      <c r="BZ33" s="2" t="n">
        <v>0</v>
      </c>
      <c r="CA33" s="2" t="n">
        <v>7260.12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4483.99</v>
      </c>
      <c r="L34" s="2" t="n">
        <v>373.2506490740741</v>
      </c>
      <c r="M34" s="2" t="n">
        <v>4151.842592592592</v>
      </c>
      <c r="N34" s="2" t="n">
        <v>0</v>
      </c>
      <c r="O34" s="2" t="n">
        <v>4247.24</v>
      </c>
      <c r="P34" s="2" t="n">
        <v>236.75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8610.41</v>
      </c>
      <c r="AP34" s="2" t="n">
        <v>629.8355462962962</v>
      </c>
      <c r="AQ34" s="2" t="n">
        <v>7972.601851851851</v>
      </c>
      <c r="AR34" s="2" t="n">
        <v>0</v>
      </c>
      <c r="AS34" s="2" t="n">
        <v>8059.65</v>
      </c>
      <c r="AT34" s="2" t="n">
        <v>550.76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13094.4</v>
      </c>
      <c r="BB34" s="2" t="n">
        <v>13094.4</v>
      </c>
      <c r="BC34" s="2">
        <f>F34+L34+R34+X34+AD34+AJ34+AP34+AV34+IF(BE34="",0,BE34)</f>
        <v/>
      </c>
      <c r="BD34" s="2" t="n">
        <v>201.65376</v>
      </c>
      <c r="BE34" s="2" t="n"/>
      <c r="BF34" s="2" t="n">
        <v>12124.44444444444</v>
      </c>
      <c r="BG34" s="2" t="n">
        <v>0</v>
      </c>
      <c r="BH34" s="2" t="n">
        <v>0</v>
      </c>
      <c r="BI34" s="2" t="n">
        <v>36269.25</v>
      </c>
      <c r="BJ34" s="2" t="n">
        <v>69.65810344827587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176.7744</v>
      </c>
      <c r="BQ34" s="2" t="n">
        <v>28217.64459482759</v>
      </c>
      <c r="BR34" s="2" t="n">
        <v>64758.32709827586</v>
      </c>
      <c r="BS34" s="2" t="n">
        <v>878.5887931034483</v>
      </c>
      <c r="BT34" s="2" t="n">
        <v>0</v>
      </c>
      <c r="BU34" s="2" t="n">
        <v>13092.02829827586</v>
      </c>
      <c r="BV34" s="2" t="n">
        <v>13970.61709137931</v>
      </c>
      <c r="BW34" s="2" t="n">
        <v>78728.94418965517</v>
      </c>
      <c r="BX34" s="2" t="n">
        <v>12306.89</v>
      </c>
      <c r="BY34" s="2" t="n">
        <v>787.51</v>
      </c>
      <c r="BZ34" s="2" t="n">
        <v>0</v>
      </c>
      <c r="CA34" s="2" t="n">
        <v>13094.4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Bochnia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2762.34</v>
      </c>
      <c r="L35" s="2" t="n">
        <v>229.9392277777778</v>
      </c>
      <c r="M35" s="2" t="n">
        <v>2557.722222222222</v>
      </c>
      <c r="N35" s="2" t="n">
        <v>0</v>
      </c>
      <c r="O35" s="2" t="n">
        <v>2762.34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4948.46</v>
      </c>
      <c r="X35" s="2" t="n">
        <v>350</v>
      </c>
      <c r="Y35" s="2" t="n">
        <v>4581.907407407407</v>
      </c>
      <c r="Z35" s="2" t="n">
        <v>0</v>
      </c>
      <c r="AA35" s="2" t="n">
        <v>4948.46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3218.26</v>
      </c>
      <c r="AP35" s="2" t="n">
        <v>235.4097592592593</v>
      </c>
      <c r="AQ35" s="2" t="n">
        <v>2979.87037037037</v>
      </c>
      <c r="AR35" s="2" t="n">
        <v>0</v>
      </c>
      <c r="AS35" s="2" t="n">
        <v>3218.26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10929.06</v>
      </c>
      <c r="BB35" s="2" t="n">
        <v>10929.06</v>
      </c>
      <c r="BC35" s="2">
        <f>F35+L35+R35+X35+AD35+AJ35+AP35+AV35+IF(BE35="",0,BE35)</f>
        <v/>
      </c>
      <c r="BD35" s="2" t="n">
        <v>158.90545</v>
      </c>
      <c r="BE35" s="2" t="n"/>
      <c r="BF35" s="2" t="n">
        <v>10119.5</v>
      </c>
      <c r="BG35" s="2" t="n">
        <v>0</v>
      </c>
      <c r="BH35" s="2" t="n">
        <v>0</v>
      </c>
      <c r="BI35" s="2" t="n">
        <v>36269.25</v>
      </c>
      <c r="BJ35" s="2" t="n">
        <v>69.65810344827587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147.54231</v>
      </c>
      <c r="BQ35" s="2" t="n">
        <v>28217.64459482759</v>
      </c>
      <c r="BR35" s="2" t="n">
        <v>64729.09500827586</v>
      </c>
      <c r="BS35" s="2" t="n">
        <v>878.5887931034483</v>
      </c>
      <c r="BT35" s="2" t="n">
        <v>0</v>
      </c>
      <c r="BU35" s="2" t="n">
        <v>13092.02829827586</v>
      </c>
      <c r="BV35" s="2" t="n">
        <v>13970.61709137931</v>
      </c>
      <c r="BW35" s="2" t="n">
        <v>78699.71209965517</v>
      </c>
      <c r="BX35" s="2" t="n">
        <v>10929.06</v>
      </c>
      <c r="BY35" s="2" t="n">
        <v>0</v>
      </c>
      <c r="BZ35" s="2" t="n">
        <v>0</v>
      </c>
      <c r="CA35" s="2" t="n">
        <v>10929.06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1137</v>
      </c>
      <c r="B36" t="inlineStr">
        <is>
          <t>Poznan Politechnika</t>
        </is>
      </c>
      <c r="C36" t="inlineStr">
        <is>
          <t>Politechnika Poznańska</t>
        </is>
      </c>
      <c r="D36" t="inlineStr">
        <is>
          <t>BB8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149</v>
      </c>
      <c r="L36" s="2" t="n">
        <v>12.40287037037037</v>
      </c>
      <c r="M36" s="2" t="n">
        <v>137.962962962963</v>
      </c>
      <c r="N36" s="2" t="n">
        <v>0</v>
      </c>
      <c r="O36" s="2" t="n">
        <v>149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65.70999999999999</v>
      </c>
      <c r="AD36" s="2" t="n">
        <v>4.258981481481481</v>
      </c>
      <c r="AE36" s="2" t="n">
        <v>60.84259259259258</v>
      </c>
      <c r="AF36" s="2" t="n">
        <v>0</v>
      </c>
      <c r="AG36" s="2" t="n">
        <v>65.70999999999999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214.71</v>
      </c>
      <c r="BB36" s="2" t="n">
        <v>214.71</v>
      </c>
      <c r="BC36" s="2">
        <f>F36+L36+R36+X36+AD36+AJ36+AP36+AV36+IF(BE36="",0,BE36)</f>
        <v/>
      </c>
      <c r="BD36" s="2" t="n">
        <v>3.306534</v>
      </c>
      <c r="BE36" s="2" t="n"/>
      <c r="BF36" s="2" t="n">
        <v>198.8055555555555</v>
      </c>
      <c r="BG36" s="2" t="n">
        <v>250</v>
      </c>
      <c r="BH36" s="2" t="n">
        <v>0</v>
      </c>
      <c r="BI36" s="2" t="n">
        <v>36269.25</v>
      </c>
      <c r="BJ36" s="2" t="n">
        <v>69.65810344827587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2.898585</v>
      </c>
      <c r="BQ36" s="2" t="n">
        <v>28217.64459482759</v>
      </c>
      <c r="BR36" s="2" t="n">
        <v>64834.45128327586</v>
      </c>
      <c r="BS36" s="2" t="n">
        <v>878.5887931034483</v>
      </c>
      <c r="BT36" s="2" t="n">
        <v>0</v>
      </c>
      <c r="BU36" s="2" t="n">
        <v>13142.02829827586</v>
      </c>
      <c r="BV36" s="2" t="n">
        <v>14020.61709137931</v>
      </c>
      <c r="BW36" s="2" t="n">
        <v>78855.06837465518</v>
      </c>
      <c r="BX36" s="2" t="n">
        <v>214.71</v>
      </c>
      <c r="BY36" s="2" t="n">
        <v>0</v>
      </c>
      <c r="BZ36" s="2" t="n">
        <v>0</v>
      </c>
      <c r="CA36" s="2" t="n">
        <v>214.71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1138</v>
      </c>
      <c r="B37" t="inlineStr">
        <is>
          <t>Rzeszow</t>
        </is>
      </c>
      <c r="C37" t="inlineStr">
        <is>
          <t>Rzeszów</t>
        </is>
      </c>
      <c r="D37" t="inlineStr">
        <is>
          <t>BB8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9763.370000000001</v>
      </c>
      <c r="L37" s="2" t="n">
        <v>812.710150925926</v>
      </c>
      <c r="M37" s="2" t="n">
        <v>9040.157407407407</v>
      </c>
      <c r="N37" s="2" t="n">
        <v>0</v>
      </c>
      <c r="O37" s="2" t="n">
        <v>9763.370000000001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15162.65</v>
      </c>
      <c r="AP37" s="2" t="n">
        <v>1109.119768518518</v>
      </c>
      <c r="AQ37" s="2" t="n">
        <v>14039.49074074074</v>
      </c>
      <c r="AR37" s="2" t="n">
        <v>0</v>
      </c>
      <c r="AS37" s="2" t="n">
        <v>15162.65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24926.02</v>
      </c>
      <c r="BB37" s="2" t="n">
        <v>24926.02</v>
      </c>
      <c r="BC37" s="2">
        <f>F37+L37+R37+X37+AD37+AJ37+AP37+AV37+IF(BE37="",0,BE37)</f>
        <v/>
      </c>
      <c r="BD37" s="2" t="n">
        <v>383.860708</v>
      </c>
      <c r="BE37" s="2" t="n"/>
      <c r="BF37" s="2" t="n">
        <v>23079.64814814815</v>
      </c>
      <c r="BG37" s="2" t="n">
        <v>0</v>
      </c>
      <c r="BH37" s="2" t="n">
        <v>0</v>
      </c>
      <c r="BI37" s="2" t="n">
        <v>36269.25</v>
      </c>
      <c r="BJ37" s="2" t="n">
        <v>69.65810344827587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336.50127</v>
      </c>
      <c r="BQ37" s="2" t="n">
        <v>28217.64459482759</v>
      </c>
      <c r="BR37" s="2" t="n">
        <v>64918.05396827586</v>
      </c>
      <c r="BS37" s="2" t="n">
        <v>878.5887931034483</v>
      </c>
      <c r="BT37" s="2" t="n">
        <v>0</v>
      </c>
      <c r="BU37" s="2" t="n">
        <v>13092.02829827586</v>
      </c>
      <c r="BV37" s="2" t="n">
        <v>13970.61709137931</v>
      </c>
      <c r="BW37" s="2" t="n">
        <v>78888.67105965517</v>
      </c>
      <c r="BX37" s="2" t="n">
        <v>24926.02</v>
      </c>
      <c r="BY37" s="2" t="n">
        <v>0</v>
      </c>
      <c r="BZ37" s="2" t="n">
        <v>0</v>
      </c>
      <c r="CA37" s="2" t="n">
        <v>24926.02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1203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21560.35</v>
      </c>
      <c r="L38" s="2" t="n">
        <v>1794.69950462963</v>
      </c>
      <c r="M38" s="2" t="n">
        <v>19963.28703703704</v>
      </c>
      <c r="N38" s="2" t="n">
        <v>3647.29</v>
      </c>
      <c r="O38" s="2" t="n">
        <v>16535.91</v>
      </c>
      <c r="P38" s="2" t="n">
        <v>1377.15</v>
      </c>
      <c r="Q38" s="2" t="n">
        <v>25495.52</v>
      </c>
      <c r="R38" s="2" t="n">
        <v>1600</v>
      </c>
      <c r="S38" s="2" t="n">
        <v>23606.96296296296</v>
      </c>
      <c r="T38" s="2" t="n">
        <v>6012.67</v>
      </c>
      <c r="U38" s="2" t="n">
        <v>18144.86</v>
      </c>
      <c r="V38" s="2" t="n">
        <v>1337.99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12557.18</v>
      </c>
      <c r="AP38" s="2" t="n">
        <v>918.5344629629631</v>
      </c>
      <c r="AQ38" s="2" t="n">
        <v>11627.01851851852</v>
      </c>
      <c r="AR38" s="2" t="n">
        <v>1915.38</v>
      </c>
      <c r="AS38" s="2" t="n">
        <v>10156.68</v>
      </c>
      <c r="AT38" s="2" t="n">
        <v>485.12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59613.05</v>
      </c>
      <c r="BB38" s="2" t="n">
        <v>48037.71000000001</v>
      </c>
      <c r="BC38" s="2">
        <f>F38+L38+R38+X38+AD38+AJ38+AP38+AV38+IF(BE38="",0,BE38)</f>
        <v/>
      </c>
      <c r="BD38" s="2" t="n">
        <v>739.7807340000002</v>
      </c>
      <c r="BE38" s="2" t="n"/>
      <c r="BF38" s="2" t="n">
        <v>55197.26851851852</v>
      </c>
      <c r="BG38" s="2" t="n">
        <v>0</v>
      </c>
      <c r="BH38" s="2" t="n">
        <v>0</v>
      </c>
      <c r="BI38" s="2" t="n">
        <v>36269.25</v>
      </c>
      <c r="BJ38" s="2" t="n">
        <v>69.65810344827587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648.509085</v>
      </c>
      <c r="BQ38" s="2" t="n">
        <v>28217.64459482759</v>
      </c>
      <c r="BR38" s="2" t="n">
        <v>65230.06178327586</v>
      </c>
      <c r="BS38" s="2" t="n">
        <v>878.5887931034483</v>
      </c>
      <c r="BT38" s="2" t="n">
        <v>0</v>
      </c>
      <c r="BU38" s="2" t="n">
        <v>13092.02829827586</v>
      </c>
      <c r="BV38" s="2" t="n">
        <v>13970.61709137931</v>
      </c>
      <c r="BW38" s="2" t="n">
        <v>79200.67887465516</v>
      </c>
      <c r="BX38" s="2" t="n">
        <v>44837.45</v>
      </c>
      <c r="BY38" s="2" t="n">
        <v>3200.26</v>
      </c>
      <c r="BZ38" s="2" t="n">
        <v>11575.34</v>
      </c>
      <c r="CA38" s="2" t="n">
        <v>48037.71000000001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1204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9390.35</v>
      </c>
      <c r="L39" s="2" t="n">
        <v>781.6596898148149</v>
      </c>
      <c r="M39" s="2" t="n">
        <v>8694.768518518518</v>
      </c>
      <c r="N39" s="2" t="n">
        <v>2630.52</v>
      </c>
      <c r="O39" s="2" t="n">
        <v>6562.55</v>
      </c>
      <c r="P39" s="2" t="n">
        <v>197.28</v>
      </c>
      <c r="Q39" s="2" t="n">
        <v>25730.31</v>
      </c>
      <c r="R39" s="2" t="n">
        <v>1600</v>
      </c>
      <c r="S39" s="2" t="n">
        <v>23824.36111111111</v>
      </c>
      <c r="T39" s="2" t="n">
        <v>3298.23</v>
      </c>
      <c r="U39" s="2" t="n">
        <v>21737.99</v>
      </c>
      <c r="V39" s="2" t="n">
        <v>694.09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9598.940000000001</v>
      </c>
      <c r="AP39" s="2" t="n">
        <v>702.1446851851852</v>
      </c>
      <c r="AQ39" s="2" t="n">
        <v>8887.907407407407</v>
      </c>
      <c r="AR39" s="2" t="n">
        <v>1032.67</v>
      </c>
      <c r="AS39" s="2" t="n">
        <v>8214.360000000001</v>
      </c>
      <c r="AT39" s="2" t="n">
        <v>351.91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44719.60000000001</v>
      </c>
      <c r="BB39" s="2" t="n">
        <v>37758.18000000001</v>
      </c>
      <c r="BC39" s="2">
        <f>F39+L39+R39+X39+AD39+AJ39+AP39+AV39+IF(BE39="",0,BE39)</f>
        <v/>
      </c>
      <c r="BD39" s="2" t="n">
        <v>581.4759720000001</v>
      </c>
      <c r="BE39" s="2" t="n"/>
      <c r="BF39" s="2" t="n">
        <v>41407.03703703704</v>
      </c>
      <c r="BG39" s="2" t="n">
        <v>652.9399999999999</v>
      </c>
      <c r="BH39" s="2" t="n">
        <v>0</v>
      </c>
      <c r="BI39" s="2" t="n">
        <v>36269.25</v>
      </c>
      <c r="BJ39" s="2" t="n">
        <v>69.65810344827587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509.73543</v>
      </c>
      <c r="BQ39" s="2" t="n">
        <v>28217.64459482759</v>
      </c>
      <c r="BR39" s="2" t="n">
        <v>65744.22812827586</v>
      </c>
      <c r="BS39" s="2" t="n">
        <v>878.5887931034483</v>
      </c>
      <c r="BT39" s="2" t="n">
        <v>0</v>
      </c>
      <c r="BU39" s="2" t="n">
        <v>13222.61629827586</v>
      </c>
      <c r="BV39" s="2" t="n">
        <v>14101.20509137931</v>
      </c>
      <c r="BW39" s="2" t="n">
        <v>79845.43321965517</v>
      </c>
      <c r="BX39" s="2" t="n">
        <v>36514.9</v>
      </c>
      <c r="BY39" s="2" t="n">
        <v>1243.28</v>
      </c>
      <c r="BZ39" s="2" t="n">
        <v>6961.42</v>
      </c>
      <c r="CA39" s="2" t="n">
        <v>37758.18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1206</v>
      </c>
      <c r="B40" t="inlineStr">
        <is>
          <t>Piłsudskiego 105, 50-085 Wrocław</t>
        </is>
      </c>
      <c r="C40" t="inlineStr">
        <is>
          <t>Wrocław Główny</t>
        </is>
      </c>
      <c r="D40" t="inlineStr">
        <is>
          <t>FAA2000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15663.35</v>
      </c>
      <c r="L40" s="2" t="n">
        <v>1303.828856481481</v>
      </c>
      <c r="M40" s="2" t="n">
        <v>14503.10185185185</v>
      </c>
      <c r="N40" s="2" t="n">
        <v>3304.05</v>
      </c>
      <c r="O40" s="2" t="n">
        <v>11397.59</v>
      </c>
      <c r="P40" s="2" t="n">
        <v>961.71</v>
      </c>
      <c r="Q40" s="2" t="n">
        <v>44671.86</v>
      </c>
      <c r="R40" s="2" t="n">
        <v>1600</v>
      </c>
      <c r="S40" s="2" t="n">
        <v>41362.83333333333</v>
      </c>
      <c r="T40" s="2" t="n">
        <v>8813.6</v>
      </c>
      <c r="U40" s="2" t="n">
        <v>34155.33</v>
      </c>
      <c r="V40" s="2" t="n">
        <v>1702.93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10177.37</v>
      </c>
      <c r="AP40" s="2" t="n">
        <v>744.4557685185185</v>
      </c>
      <c r="AQ40" s="2" t="n">
        <v>9423.490740740741</v>
      </c>
      <c r="AR40" s="2" t="n">
        <v>1789.92</v>
      </c>
      <c r="AS40" s="2" t="n">
        <v>8130.12</v>
      </c>
      <c r="AT40" s="2" t="n">
        <v>257.33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70512.58</v>
      </c>
      <c r="BB40" s="2" t="n">
        <v>56605.00999999999</v>
      </c>
      <c r="BC40" s="2">
        <f>F40+L40+R40+X40+AD40+AJ40+AP40+AV40+IF(BE40="",0,BE40)</f>
        <v/>
      </c>
      <c r="BD40" s="2" t="n">
        <v>871.7171540000001</v>
      </c>
      <c r="BE40" s="2" t="n"/>
      <c r="BF40" s="2" t="n">
        <v>65289.42592592593</v>
      </c>
      <c r="BG40" s="2" t="n">
        <v>652.9399999999999</v>
      </c>
      <c r="BH40" s="2" t="n">
        <v>0</v>
      </c>
      <c r="BI40" s="2" t="n">
        <v>36269.25</v>
      </c>
      <c r="BJ40" s="2" t="n">
        <v>69.65810344827587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764.167635</v>
      </c>
      <c r="BQ40" s="2" t="n">
        <v>28217.64459482759</v>
      </c>
      <c r="BR40" s="2" t="n">
        <v>65998.66033327585</v>
      </c>
      <c r="BS40" s="2" t="n">
        <v>878.5887931034483</v>
      </c>
      <c r="BT40" s="2" t="n">
        <v>0</v>
      </c>
      <c r="BU40" s="2" t="n">
        <v>13222.61629827586</v>
      </c>
      <c r="BV40" s="2" t="n">
        <v>14101.20509137931</v>
      </c>
      <c r="BW40" s="2" t="n">
        <v>80099.86542465516</v>
      </c>
      <c r="BX40" s="2" t="n">
        <v>53683.04</v>
      </c>
      <c r="BY40" s="2" t="n">
        <v>2921.97</v>
      </c>
      <c r="BZ40" s="2" t="n">
        <v>13907.57</v>
      </c>
      <c r="CA40" s="2" t="n">
        <v>56605.01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1207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3437.2</v>
      </c>
      <c r="L41" s="2" t="n">
        <v>286.1150740740741</v>
      </c>
      <c r="M41" s="2" t="n">
        <v>3182.592592592592</v>
      </c>
      <c r="N41" s="2" t="n">
        <v>552.08</v>
      </c>
      <c r="O41" s="2" t="n">
        <v>2714.12</v>
      </c>
      <c r="P41" s="2" t="n">
        <v>171</v>
      </c>
      <c r="Q41" s="2" t="n">
        <v>18422.91</v>
      </c>
      <c r="R41" s="2" t="n">
        <v>1600</v>
      </c>
      <c r="S41" s="2" t="n">
        <v>17058.25</v>
      </c>
      <c r="T41" s="2" t="n">
        <v>4884.1</v>
      </c>
      <c r="U41" s="2" t="n">
        <v>12834.29</v>
      </c>
      <c r="V41" s="2" t="n">
        <v>704.52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4145.95</v>
      </c>
      <c r="AP41" s="2" t="n">
        <v>303.2685648148148</v>
      </c>
      <c r="AQ41" s="2" t="n">
        <v>3838.842592592592</v>
      </c>
      <c r="AR41" s="2" t="n">
        <v>1291.69</v>
      </c>
      <c r="AS41" s="2" t="n">
        <v>2659.21</v>
      </c>
      <c r="AT41" s="2" t="n">
        <v>195.05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26006.06</v>
      </c>
      <c r="BB41" s="2" t="n">
        <v>19278.19</v>
      </c>
      <c r="BC41" s="2">
        <f>F41+L41+R41+X41+AD41+AJ41+AP41+AV41+IF(BE41="",0,BE41)</f>
        <v/>
      </c>
      <c r="BD41" s="2" t="n">
        <v>296.884126</v>
      </c>
      <c r="BE41" s="2" t="n"/>
      <c r="BF41" s="2" t="n">
        <v>24079.68518518518</v>
      </c>
      <c r="BG41" s="2" t="n">
        <v>652.9399999999999</v>
      </c>
      <c r="BH41" s="2" t="n">
        <v>0</v>
      </c>
      <c r="BI41" s="2" t="n">
        <v>36269.25</v>
      </c>
      <c r="BJ41" s="2" t="n">
        <v>69.65810344827587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260.255565</v>
      </c>
      <c r="BQ41" s="2" t="n">
        <v>28217.64459482759</v>
      </c>
      <c r="BR41" s="2" t="n">
        <v>65494.74826327586</v>
      </c>
      <c r="BS41" s="2" t="n">
        <v>878.5887931034483</v>
      </c>
      <c r="BT41" s="2" t="n">
        <v>0</v>
      </c>
      <c r="BU41" s="2" t="n">
        <v>13222.61629827586</v>
      </c>
      <c r="BV41" s="2" t="n">
        <v>14101.20509137931</v>
      </c>
      <c r="BW41" s="2" t="n">
        <v>79595.95335465517</v>
      </c>
      <c r="BX41" s="2" t="n">
        <v>18207.62</v>
      </c>
      <c r="BY41" s="2" t="n">
        <v>1070.57</v>
      </c>
      <c r="BZ41" s="2" t="n">
        <v>6727.870000000001</v>
      </c>
      <c r="CA41" s="2" t="n">
        <v>19278.19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1208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3975.79</v>
      </c>
      <c r="L42" s="2" t="n">
        <v>330.9477046296296</v>
      </c>
      <c r="M42" s="2" t="n">
        <v>3681.287037037037</v>
      </c>
      <c r="N42" s="2" t="n">
        <v>616.52</v>
      </c>
      <c r="O42" s="2" t="n">
        <v>3073.73</v>
      </c>
      <c r="P42" s="2" t="n">
        <v>285.54</v>
      </c>
      <c r="Q42" s="2" t="n">
        <v>19785.1</v>
      </c>
      <c r="R42" s="2" t="n">
        <v>1600</v>
      </c>
      <c r="S42" s="2" t="n">
        <v>18319.53703703704</v>
      </c>
      <c r="T42" s="2" t="n">
        <v>2514.42</v>
      </c>
      <c r="U42" s="2" t="n">
        <v>16513.73</v>
      </c>
      <c r="V42" s="2" t="n">
        <v>756.95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5524.240000000001</v>
      </c>
      <c r="AP42" s="2" t="n">
        <v>404.087925925926</v>
      </c>
      <c r="AQ42" s="2" t="n">
        <v>5115.037037037037</v>
      </c>
      <c r="AR42" s="2" t="n">
        <v>811.04</v>
      </c>
      <c r="AS42" s="2" t="n">
        <v>4559.27</v>
      </c>
      <c r="AT42" s="2" t="n">
        <v>153.93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29285.13</v>
      </c>
      <c r="BB42" s="2" t="n">
        <v>25343.15</v>
      </c>
      <c r="BC42" s="2">
        <f>F42+L42+R42+X42+AD42+AJ42+AP42+AV42+IF(BE42="",0,BE42)</f>
        <v/>
      </c>
      <c r="BD42" s="2" t="n">
        <v>390.28451</v>
      </c>
      <c r="BE42" s="2" t="n"/>
      <c r="BF42" s="2" t="n">
        <v>27115.86111111111</v>
      </c>
      <c r="BG42" s="2" t="n">
        <v>652.9399999999999</v>
      </c>
      <c r="BH42" s="2" t="n">
        <v>0</v>
      </c>
      <c r="BI42" s="2" t="n">
        <v>36269.25</v>
      </c>
      <c r="BJ42" s="2" t="n">
        <v>69.65810344827587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342.132525</v>
      </c>
      <c r="BQ42" s="2" t="n">
        <v>28217.64459482759</v>
      </c>
      <c r="BR42" s="2" t="n">
        <v>65576.62522327586</v>
      </c>
      <c r="BS42" s="2" t="n">
        <v>878.5887931034483</v>
      </c>
      <c r="BT42" s="2" t="n">
        <v>0</v>
      </c>
      <c r="BU42" s="2" t="n">
        <v>13222.61629827586</v>
      </c>
      <c r="BV42" s="2" t="n">
        <v>14101.20509137931</v>
      </c>
      <c r="BW42" s="2" t="n">
        <v>79677.83031465516</v>
      </c>
      <c r="BX42" s="2" t="n">
        <v>24146.73</v>
      </c>
      <c r="BY42" s="2" t="n">
        <v>1196.42</v>
      </c>
      <c r="BZ42" s="2" t="n">
        <v>3941.98</v>
      </c>
      <c r="CA42" s="2" t="n">
        <v>25343.15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1210</v>
      </c>
      <c r="B43" t="inlineStr">
        <is>
          <t>Piłsudskiego 105, 50-085 Wrocław</t>
        </is>
      </c>
      <c r="C43" t="inlineStr">
        <is>
          <t>Wrocław Główny</t>
        </is>
      </c>
      <c r="D43" t="inlineStr">
        <is>
          <t>FAA2000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22933.2</v>
      </c>
      <c r="L43" s="2" t="n">
        <v>1908.976555555556</v>
      </c>
      <c r="M43" s="2" t="n">
        <v>21234.44444444445</v>
      </c>
      <c r="N43" s="2" t="n">
        <v>204.24</v>
      </c>
      <c r="O43" s="2" t="n">
        <v>21365.75</v>
      </c>
      <c r="P43" s="2" t="n">
        <v>1363.21</v>
      </c>
      <c r="Q43" s="2" t="n">
        <v>20993.47</v>
      </c>
      <c r="R43" s="2" t="n">
        <v>1600</v>
      </c>
      <c r="S43" s="2" t="n">
        <v>19438.39814814815</v>
      </c>
      <c r="T43" s="2" t="n">
        <v>897.5700000000001</v>
      </c>
      <c r="U43" s="2" t="n">
        <v>18514.2</v>
      </c>
      <c r="V43" s="2" t="n">
        <v>1581.7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10130.87</v>
      </c>
      <c r="AP43" s="2" t="n">
        <v>741.0543796296296</v>
      </c>
      <c r="AQ43" s="2" t="n">
        <v>9380.435185185184</v>
      </c>
      <c r="AR43" s="2" t="n">
        <v>426.31</v>
      </c>
      <c r="AS43" s="2" t="n">
        <v>9018.4</v>
      </c>
      <c r="AT43" s="2" t="n">
        <v>686.16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54057.53999999999</v>
      </c>
      <c r="BB43" s="2" t="n">
        <v>52529.42</v>
      </c>
      <c r="BC43" s="2">
        <f>F43+L43+R43+X43+AD43+AJ43+AP43+AV43+IF(BE43="",0,BE43)</f>
        <v/>
      </c>
      <c r="BD43" s="2" t="n">
        <v>808.953068</v>
      </c>
      <c r="BE43" s="2" t="n"/>
      <c r="BF43" s="2" t="n">
        <v>50053.27777777778</v>
      </c>
      <c r="BG43" s="2" t="n">
        <v>760.5599999999999</v>
      </c>
      <c r="BH43" s="2" t="n">
        <v>260</v>
      </c>
      <c r="BI43" s="2" t="n">
        <v>36269.25</v>
      </c>
      <c r="BJ43" s="2" t="n">
        <v>69.65810344827587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709.1471700000001</v>
      </c>
      <c r="BQ43" s="2" t="n">
        <v>28217.64459482759</v>
      </c>
      <c r="BR43" s="2" t="n">
        <v>66311.25986827585</v>
      </c>
      <c r="BS43" s="2" t="n">
        <v>878.5887931034483</v>
      </c>
      <c r="BT43" s="2" t="n">
        <v>0</v>
      </c>
      <c r="BU43" s="2" t="n">
        <v>13296.14029827586</v>
      </c>
      <c r="BV43" s="2" t="n">
        <v>14174.72909137931</v>
      </c>
      <c r="BW43" s="2" t="n">
        <v>80485.98895965517</v>
      </c>
      <c r="BX43" s="2" t="n">
        <v>48898.35</v>
      </c>
      <c r="BY43" s="2" t="n">
        <v>3631.07</v>
      </c>
      <c r="BZ43" s="2" t="n">
        <v>1528.12</v>
      </c>
      <c r="CA43" s="2" t="n">
        <v>52529.42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1211</v>
      </c>
      <c r="B44" t="inlineStr">
        <is>
          <t>Kolejowa, 59-300 Lubin</t>
        </is>
      </c>
      <c r="C44" t="inlineStr">
        <is>
          <t>Lubin</t>
        </is>
      </c>
      <c r="D44" t="inlineStr">
        <is>
          <t>ST|40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25540.74</v>
      </c>
      <c r="R44" s="2" t="n">
        <v>1600</v>
      </c>
      <c r="S44" s="2" t="n">
        <v>23648.83333333333</v>
      </c>
      <c r="T44" s="2" t="n">
        <v>10424.71</v>
      </c>
      <c r="U44" s="2" t="n">
        <v>13338.86</v>
      </c>
      <c r="V44" s="2" t="n">
        <v>1777.17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25540.74</v>
      </c>
      <c r="BB44" s="2" t="n">
        <v>15116.03</v>
      </c>
      <c r="BC44" s="2">
        <f>F44+L44+R44+X44+AD44+AJ44+AP44+AV44+IF(BE44="",0,BE44)</f>
        <v/>
      </c>
      <c r="BD44" s="2" t="n">
        <v>232.786862</v>
      </c>
      <c r="BE44" s="2" t="n"/>
      <c r="BF44" s="2" t="n">
        <v>23648.83333333333</v>
      </c>
      <c r="BG44" s="2" t="n">
        <v>0</v>
      </c>
      <c r="BH44" s="2" t="n">
        <v>0</v>
      </c>
      <c r="BI44" s="2" t="n">
        <v>36269.25</v>
      </c>
      <c r="BJ44" s="2" t="n">
        <v>69.65810344827587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204.066405</v>
      </c>
      <c r="BQ44" s="2" t="n">
        <v>28217.64459482759</v>
      </c>
      <c r="BR44" s="2" t="n">
        <v>64785.61910327586</v>
      </c>
      <c r="BS44" s="2" t="n">
        <v>878.5887931034483</v>
      </c>
      <c r="BT44" s="2" t="n">
        <v>0</v>
      </c>
      <c r="BU44" s="2" t="n">
        <v>13092.02829827586</v>
      </c>
      <c r="BV44" s="2" t="n">
        <v>13970.61709137931</v>
      </c>
      <c r="BW44" s="2" t="n">
        <v>78756.23619465517</v>
      </c>
      <c r="BX44" s="2" t="n">
        <v>13338.86</v>
      </c>
      <c r="BY44" s="2" t="n">
        <v>1777.17</v>
      </c>
      <c r="BZ44" s="2" t="n">
        <v>10424.71</v>
      </c>
      <c r="CA44" s="2" t="n">
        <v>15116.03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1212</v>
      </c>
      <c r="B45" t="inlineStr">
        <is>
          <t>Armii Krajowej 26C, 58-302 Wałbrzych</t>
        </is>
      </c>
      <c r="C45" t="inlineStr">
        <is>
          <t>Wałbrzych Miasto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1145.41</v>
      </c>
      <c r="L45" s="2" t="n">
        <v>95.34477685185186</v>
      </c>
      <c r="M45" s="2" t="n">
        <v>1060.564814814815</v>
      </c>
      <c r="N45" s="2" t="n">
        <v>217.9</v>
      </c>
      <c r="O45" s="2" t="n">
        <v>847.96</v>
      </c>
      <c r="P45" s="2" t="n">
        <v>79.55</v>
      </c>
      <c r="Q45" s="2" t="n">
        <v>7540.72</v>
      </c>
      <c r="R45" s="2" t="n">
        <v>1600</v>
      </c>
      <c r="S45" s="2" t="n">
        <v>6982.148148148148</v>
      </c>
      <c r="T45" s="2" t="n">
        <v>1027.15</v>
      </c>
      <c r="U45" s="2" t="n">
        <v>6170.62</v>
      </c>
      <c r="V45" s="2" t="n">
        <v>342.95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335.9400000000001</v>
      </c>
      <c r="AP45" s="2" t="n">
        <v>24.57338888888889</v>
      </c>
      <c r="AQ45" s="2" t="n">
        <v>311.0555555555556</v>
      </c>
      <c r="AR45" s="2" t="n">
        <v>15</v>
      </c>
      <c r="AS45" s="2" t="n">
        <v>314.72</v>
      </c>
      <c r="AT45" s="2" t="n">
        <v>6.22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9022.070000000002</v>
      </c>
      <c r="BB45" s="2" t="n">
        <v>7762.02</v>
      </c>
      <c r="BC45" s="2">
        <f>F45+L45+R45+X45+AD45+AJ45+AP45+AV45+IF(BE45="",0,BE45)</f>
        <v/>
      </c>
      <c r="BD45" s="2" t="n">
        <v>119.535108</v>
      </c>
      <c r="BE45" s="2" t="n"/>
      <c r="BF45" s="2" t="n">
        <v>8353.768518518518</v>
      </c>
      <c r="BG45" s="2" t="n">
        <v>573.92</v>
      </c>
      <c r="BH45" s="2" t="n">
        <v>108.9</v>
      </c>
      <c r="BI45" s="2" t="n">
        <v>16379.66129032258</v>
      </c>
      <c r="BJ45" s="2" t="n">
        <v>69.65810344827587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104.78727</v>
      </c>
      <c r="BQ45" s="2" t="n">
        <v>28217.64459482759</v>
      </c>
      <c r="BR45" s="2" t="n">
        <v>45479.57125859844</v>
      </c>
      <c r="BS45" s="2" t="n">
        <v>878.5887931034483</v>
      </c>
      <c r="BT45" s="2" t="n">
        <v>0</v>
      </c>
      <c r="BU45" s="2" t="n">
        <v>9250.674556340378</v>
      </c>
      <c r="BV45" s="2" t="n">
        <v>10129.26334944383</v>
      </c>
      <c r="BW45" s="2" t="n">
        <v>55608.83460804227</v>
      </c>
      <c r="BX45" s="2" t="n">
        <v>7333.3</v>
      </c>
      <c r="BY45" s="2" t="n">
        <v>428.72</v>
      </c>
      <c r="BZ45" s="2" t="n">
        <v>1260.05</v>
      </c>
      <c r="CA45" s="2" t="n">
        <v>7762.02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1213</v>
      </c>
      <c r="B46" t="inlineStr">
        <is>
          <t>Plac 1000-Lecia 1, 67-200 Głogów</t>
        </is>
      </c>
      <c r="C46" t="inlineStr">
        <is>
          <t>Głogów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4116.58</v>
      </c>
      <c r="L46" s="2" t="n">
        <v>342.6671685185185</v>
      </c>
      <c r="M46" s="2" t="n">
        <v>3811.648148148148</v>
      </c>
      <c r="N46" s="2" t="n">
        <v>1492.34</v>
      </c>
      <c r="O46" s="2" t="n">
        <v>2394.24</v>
      </c>
      <c r="P46" s="2" t="n">
        <v>230</v>
      </c>
      <c r="Q46" s="2" t="n">
        <v>22057.55</v>
      </c>
      <c r="R46" s="2" t="n">
        <v>1600</v>
      </c>
      <c r="S46" s="2" t="n">
        <v>20423.65740740741</v>
      </c>
      <c r="T46" s="2" t="n">
        <v>6768.16</v>
      </c>
      <c r="U46" s="2" t="n">
        <v>14475.84</v>
      </c>
      <c r="V46" s="2" t="n">
        <v>813.55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2399.93</v>
      </c>
      <c r="AP46" s="2" t="n">
        <v>175.5504351851851</v>
      </c>
      <c r="AQ46" s="2" t="n">
        <v>2222.157407407407</v>
      </c>
      <c r="AR46" s="2" t="n">
        <v>1145.3</v>
      </c>
      <c r="AS46" s="2" t="n">
        <v>1183.8</v>
      </c>
      <c r="AT46" s="2" t="n">
        <v>70.83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28574.06</v>
      </c>
      <c r="BB46" s="2" t="n">
        <v>19168.26</v>
      </c>
      <c r="BC46" s="2">
        <f>F46+L46+R46+X46+AD46+AJ46+AP46+AV46+IF(BE46="",0,BE46)</f>
        <v/>
      </c>
      <c r="BD46" s="2" t="n">
        <v>295.191204</v>
      </c>
      <c r="BE46" s="2" t="n"/>
      <c r="BF46" s="2" t="n">
        <v>26457.46296296296</v>
      </c>
      <c r="BG46" s="2" t="n">
        <v>573.92</v>
      </c>
      <c r="BH46" s="2" t="n">
        <v>115.2</v>
      </c>
      <c r="BI46" s="2" t="n">
        <v>36269.25</v>
      </c>
      <c r="BJ46" s="2" t="n">
        <v>69.65810344827587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258.77151</v>
      </c>
      <c r="BQ46" s="2" t="n">
        <v>28217.64459482759</v>
      </c>
      <c r="BR46" s="2" t="n">
        <v>65529.44420827586</v>
      </c>
      <c r="BS46" s="2" t="n">
        <v>878.5887931034483</v>
      </c>
      <c r="BT46" s="2" t="n">
        <v>0</v>
      </c>
      <c r="BU46" s="2" t="n">
        <v>13229.85229827586</v>
      </c>
      <c r="BV46" s="2" t="n">
        <v>14108.44109137931</v>
      </c>
      <c r="BW46" s="2" t="n">
        <v>79637.88529965517</v>
      </c>
      <c r="BX46" s="2" t="n">
        <v>18053.88</v>
      </c>
      <c r="BY46" s="2" t="n">
        <v>1114.38</v>
      </c>
      <c r="BZ46" s="2" t="n">
        <v>9405.799999999999</v>
      </c>
      <c r="CA46" s="2" t="n">
        <v>19168.26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1214</v>
      </c>
      <c r="B47" t="inlineStr">
        <is>
          <t>Dworcowa 72A, 69-110 Rzepin</t>
        </is>
      </c>
      <c r="C47" t="inlineStr">
        <is>
          <t>Rzepin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5051.34</v>
      </c>
      <c r="L47" s="2" t="n">
        <v>420.4772833333333</v>
      </c>
      <c r="M47" s="2" t="n">
        <v>4677.166666666666</v>
      </c>
      <c r="N47" s="2" t="n">
        <v>2117.45</v>
      </c>
      <c r="O47" s="2" t="n">
        <v>2525.89</v>
      </c>
      <c r="P47" s="2" t="n">
        <v>408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5051.34</v>
      </c>
      <c r="BB47" s="2" t="n">
        <v>2933.89</v>
      </c>
      <c r="BC47" s="2">
        <f>F47+L47+R47+X47+AD47+AJ47+AP47+AV47+IF(BE47="",0,BE47)</f>
        <v/>
      </c>
      <c r="BD47" s="2" t="n">
        <v>45.181906</v>
      </c>
      <c r="BE47" s="2" t="n"/>
      <c r="BF47" s="2" t="n">
        <v>4677.166666666666</v>
      </c>
      <c r="BG47" s="2" t="n">
        <v>430.45</v>
      </c>
      <c r="BH47" s="2" t="n">
        <v>0</v>
      </c>
      <c r="BI47" s="2" t="n">
        <v>36269.25</v>
      </c>
      <c r="BJ47" s="2" t="n">
        <v>69.65810344827587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39.607515</v>
      </c>
      <c r="BQ47" s="2" t="n">
        <v>28217.64459482759</v>
      </c>
      <c r="BR47" s="2" t="n">
        <v>65051.61021327586</v>
      </c>
      <c r="BS47" s="2" t="n">
        <v>878.5887931034483</v>
      </c>
      <c r="BT47" s="2" t="n">
        <v>0</v>
      </c>
      <c r="BU47" s="2" t="n">
        <v>13178.11829827586</v>
      </c>
      <c r="BV47" s="2" t="n">
        <v>14056.70709137931</v>
      </c>
      <c r="BW47" s="2" t="n">
        <v>79108.31730465517</v>
      </c>
      <c r="BX47" s="2" t="n">
        <v>2525.89</v>
      </c>
      <c r="BY47" s="2" t="n">
        <v>408</v>
      </c>
      <c r="BZ47" s="2" t="n">
        <v>2117.45</v>
      </c>
      <c r="CA47" s="2" t="n">
        <v>2933.89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1215</v>
      </c>
      <c r="B48" t="inlineStr">
        <is>
          <t>Aleksandrow Kujawski</t>
        </is>
      </c>
      <c r="C48" t="inlineStr">
        <is>
          <t>Aleksandrów Kujawski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122.12</v>
      </c>
      <c r="L48" s="2" t="n">
        <v>10.16535925925926</v>
      </c>
      <c r="M48" s="2" t="n">
        <v>113.0740740740741</v>
      </c>
      <c r="N48" s="2" t="n">
        <v>32</v>
      </c>
      <c r="O48" s="2" t="n">
        <v>90.12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1030.96</v>
      </c>
      <c r="AP48" s="2" t="n">
        <v>4500</v>
      </c>
      <c r="AQ48" s="2" t="n">
        <v>954.5925925925926</v>
      </c>
      <c r="AR48" s="2" t="n">
        <v>381.09</v>
      </c>
      <c r="AS48" s="2" t="n">
        <v>649.87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1153.08</v>
      </c>
      <c r="BB48" s="2" t="n">
        <v>739.99</v>
      </c>
      <c r="BC48" s="2">
        <f>F48+L48+R48+X48+AD48+AJ48+AP48+AV48+IF(BE48="",0,BE48)</f>
        <v/>
      </c>
      <c r="BD48" s="2" t="n">
        <v>11.395846</v>
      </c>
      <c r="BE48" s="2" t="n"/>
      <c r="BF48" s="2" t="n">
        <v>1067.666666666667</v>
      </c>
      <c r="BG48" s="2" t="n">
        <v>0</v>
      </c>
      <c r="BH48" s="2" t="n">
        <v>0</v>
      </c>
      <c r="BI48" s="2" t="n">
        <v>36269.25</v>
      </c>
      <c r="BJ48" s="2" t="n">
        <v>69.65810344827587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9.989865</v>
      </c>
      <c r="BQ48" s="2" t="n">
        <v>28217.64459482759</v>
      </c>
      <c r="BR48" s="2" t="n">
        <v>64591.54256327586</v>
      </c>
      <c r="BS48" s="2" t="n">
        <v>878.5887931034483</v>
      </c>
      <c r="BT48" s="2" t="n">
        <v>0</v>
      </c>
      <c r="BU48" s="2" t="n">
        <v>13092.02829827586</v>
      </c>
      <c r="BV48" s="2" t="n">
        <v>13970.61709137931</v>
      </c>
      <c r="BW48" s="2" t="n">
        <v>78562.15965465517</v>
      </c>
      <c r="BX48" s="2" t="n">
        <v>739.99</v>
      </c>
      <c r="BY48" s="2" t="n">
        <v>0</v>
      </c>
      <c r="BZ48" s="2" t="n">
        <v>413.09</v>
      </c>
      <c r="CA48" s="2" t="n">
        <v>739.99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1217</v>
      </c>
      <c r="B49" t="inlineStr">
        <is>
          <t>pl. Marii i Lecha Kaczyńskiego 2, 40-098 Katowice</t>
        </is>
      </c>
      <c r="C49" t="inlineStr">
        <is>
          <t>Katowice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15349.04</v>
      </c>
      <c r="L49" s="2" t="n">
        <v>1277.665459259259</v>
      </c>
      <c r="M49" s="2" t="n">
        <v>14212.07407407407</v>
      </c>
      <c r="N49" s="2" t="n">
        <v>3104.06</v>
      </c>
      <c r="O49" s="2" t="n">
        <v>11678.74</v>
      </c>
      <c r="P49" s="2" t="n">
        <v>566.24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9824.280000000001</v>
      </c>
      <c r="AP49" s="2" t="n">
        <v>718.6278888888888</v>
      </c>
      <c r="AQ49" s="2" t="n">
        <v>9096.555555555555</v>
      </c>
      <c r="AR49" s="2" t="n">
        <v>1020.06</v>
      </c>
      <c r="AS49" s="2" t="n">
        <v>8574.35</v>
      </c>
      <c r="AT49" s="2" t="n">
        <v>229.87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25173.32</v>
      </c>
      <c r="BB49" s="2" t="n">
        <v>21049.2</v>
      </c>
      <c r="BC49" s="2">
        <f>F49+L49+R49+X49+AD49+AJ49+AP49+AV49+IF(BE49="",0,BE49)</f>
        <v/>
      </c>
      <c r="BD49" s="2" t="n">
        <v>324.15768</v>
      </c>
      <c r="BE49" s="2" t="n"/>
      <c r="BF49" s="2" t="n">
        <v>23308.62962962963</v>
      </c>
      <c r="BG49" s="2" t="n">
        <v>0</v>
      </c>
      <c r="BH49" s="2" t="n">
        <v>0</v>
      </c>
      <c r="BI49" s="2" t="n">
        <v>36269.25</v>
      </c>
      <c r="BJ49" s="2" t="n">
        <v>69.65810344827587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284.1642000000001</v>
      </c>
      <c r="BQ49" s="2" t="n">
        <v>28217.64459482759</v>
      </c>
      <c r="BR49" s="2" t="n">
        <v>64865.71689827586</v>
      </c>
      <c r="BS49" s="2" t="n">
        <v>878.5887931034483</v>
      </c>
      <c r="BT49" s="2" t="n">
        <v>0</v>
      </c>
      <c r="BU49" s="2" t="n">
        <v>13092.02829827586</v>
      </c>
      <c r="BV49" s="2" t="n">
        <v>13970.61709137931</v>
      </c>
      <c r="BW49" s="2" t="n">
        <v>78836.33398965516</v>
      </c>
      <c r="BX49" s="2" t="n">
        <v>20253.09</v>
      </c>
      <c r="BY49" s="2" t="n">
        <v>796.11</v>
      </c>
      <c r="BZ49" s="2" t="n">
        <v>4124.12</v>
      </c>
      <c r="CA49" s="2" t="n">
        <v>21049.2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1219</v>
      </c>
      <c r="B50" t="inlineStr">
        <is>
          <t>Armii Krajowej 3, 75-200 Koszalin</t>
        </is>
      </c>
      <c r="C50" t="inlineStr">
        <is>
          <t>Koszalin</t>
        </is>
      </c>
      <c r="D50" t="inlineStr">
        <is>
          <t>FAA2000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2242.85</v>
      </c>
      <c r="L50" s="2" t="n">
        <v>186.6964953703703</v>
      </c>
      <c r="M50" s="2" t="n">
        <v>2076.712962962963</v>
      </c>
      <c r="N50" s="2" t="n">
        <v>725.79</v>
      </c>
      <c r="O50" s="2" t="n">
        <v>1407.52</v>
      </c>
      <c r="P50" s="2" t="n">
        <v>109.54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4258.06</v>
      </c>
      <c r="AP50" s="2" t="n">
        <v>311.4692037037037</v>
      </c>
      <c r="AQ50" s="2" t="n">
        <v>3942.648148148148</v>
      </c>
      <c r="AR50" s="2" t="n">
        <v>1098.54</v>
      </c>
      <c r="AS50" s="2" t="n">
        <v>2863.59</v>
      </c>
      <c r="AT50" s="2" t="n">
        <v>295.93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6500.91</v>
      </c>
      <c r="BB50" s="2" t="n">
        <v>4676.58</v>
      </c>
      <c r="BC50" s="2">
        <f>F50+L50+R50+X50+AD50+AJ50+AP50+AV50+IF(BE50="",0,BE50)</f>
        <v/>
      </c>
      <c r="BD50" s="2" t="n">
        <v>72.01933199999999</v>
      </c>
      <c r="BE50" s="2" t="n"/>
      <c r="BF50" s="2" t="n">
        <v>6019.361111111111</v>
      </c>
      <c r="BG50" s="2" t="n">
        <v>0</v>
      </c>
      <c r="BH50" s="2" t="n">
        <v>0</v>
      </c>
      <c r="BI50" s="2" t="n">
        <v>36269.25</v>
      </c>
      <c r="BJ50" s="2" t="n">
        <v>69.65810344827587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63.13383</v>
      </c>
      <c r="BQ50" s="2" t="n">
        <v>28217.64459482759</v>
      </c>
      <c r="BR50" s="2" t="n">
        <v>64644.68652827586</v>
      </c>
      <c r="BS50" s="2" t="n">
        <v>878.5887931034483</v>
      </c>
      <c r="BT50" s="2" t="n">
        <v>0</v>
      </c>
      <c r="BU50" s="2" t="n">
        <v>13092.02829827586</v>
      </c>
      <c r="BV50" s="2" t="n">
        <v>13970.61709137931</v>
      </c>
      <c r="BW50" s="2" t="n">
        <v>78615.30361965517</v>
      </c>
      <c r="BX50" s="2" t="n">
        <v>4271.110000000001</v>
      </c>
      <c r="BY50" s="2" t="n">
        <v>405.47</v>
      </c>
      <c r="BZ50" s="2" t="n">
        <v>1824.33</v>
      </c>
      <c r="CA50" s="2" t="n">
        <v>4676.580000000001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1220</v>
      </c>
      <c r="B51" t="inlineStr">
        <is>
          <t>Kotłątaja 32, 76-200 Słupsk</t>
        </is>
      </c>
      <c r="C51" t="inlineStr">
        <is>
          <t>Słupsk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2873.77</v>
      </c>
      <c r="L51" s="2" t="n">
        <v>239.2147435185185</v>
      </c>
      <c r="M51" s="2" t="n">
        <v>2660.898148148148</v>
      </c>
      <c r="N51" s="2" t="n">
        <v>1438.71</v>
      </c>
      <c r="O51" s="2" t="n">
        <v>1435.06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5707.25</v>
      </c>
      <c r="AP51" s="2" t="n">
        <v>4144</v>
      </c>
      <c r="AQ51" s="2" t="n">
        <v>5284.49074074074</v>
      </c>
      <c r="AR51" s="2" t="n">
        <v>3817.46</v>
      </c>
      <c r="AS51" s="2" t="n">
        <v>1722.59</v>
      </c>
      <c r="AT51" s="2" t="n">
        <v>167.2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8581.02</v>
      </c>
      <c r="BB51" s="2" t="n">
        <v>3324.85</v>
      </c>
      <c r="BC51" s="2">
        <f>F51+L51+R51+X51+AD51+AJ51+AP51+AV51+IF(BE51="",0,BE51)</f>
        <v/>
      </c>
      <c r="BD51" s="2" t="n">
        <v>51.20269</v>
      </c>
      <c r="BE51" s="2" t="n"/>
      <c r="BF51" s="2" t="n">
        <v>7945.388888888888</v>
      </c>
      <c r="BG51" s="2" t="n">
        <v>0</v>
      </c>
      <c r="BH51" s="2" t="n">
        <v>0</v>
      </c>
      <c r="BI51" s="2" t="n">
        <v>36269.25</v>
      </c>
      <c r="BJ51" s="2" t="n">
        <v>69.65810344827587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44.885475</v>
      </c>
      <c r="BQ51" s="2" t="n">
        <v>28217.64459482759</v>
      </c>
      <c r="BR51" s="2" t="n">
        <v>64626.43817327586</v>
      </c>
      <c r="BS51" s="2" t="n">
        <v>878.5887931034483</v>
      </c>
      <c r="BT51" s="2" t="n">
        <v>0</v>
      </c>
      <c r="BU51" s="2" t="n">
        <v>13092.02829827586</v>
      </c>
      <c r="BV51" s="2" t="n">
        <v>13970.61709137931</v>
      </c>
      <c r="BW51" s="2" t="n">
        <v>78597.05526465518</v>
      </c>
      <c r="BX51" s="2" t="n">
        <v>3157.65</v>
      </c>
      <c r="BY51" s="2" t="n">
        <v>167.2</v>
      </c>
      <c r="BZ51" s="2" t="n">
        <v>5256.17</v>
      </c>
      <c r="CA51" s="2" t="n">
        <v>3324.849999999999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1221</v>
      </c>
      <c r="B52" t="inlineStr">
        <is>
          <t>Dworcowa 2, 58-100 Świdnica</t>
        </is>
      </c>
      <c r="C52" t="inlineStr">
        <is>
          <t>Świdnica</t>
        </is>
      </c>
      <c r="D52" t="inlineStr">
        <is>
          <t>ST|40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31564.15</v>
      </c>
      <c r="R52" s="2" t="n">
        <v>1600</v>
      </c>
      <c r="S52" s="2" t="n">
        <v>29226.06481481481</v>
      </c>
      <c r="T52" s="2" t="n">
        <v>5018.53</v>
      </c>
      <c r="U52" s="2" t="n">
        <v>25000.77</v>
      </c>
      <c r="V52" s="2" t="n">
        <v>1544.85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31564.15</v>
      </c>
      <c r="BB52" s="2" t="n">
        <v>26545.62</v>
      </c>
      <c r="BC52" s="2">
        <f>F52+L52+R52+X52+AD52+AJ52+AP52+AV52+IF(BE52="",0,BE52)</f>
        <v/>
      </c>
      <c r="BD52" s="2" t="n">
        <v>408.802548</v>
      </c>
      <c r="BE52" s="2" t="n"/>
      <c r="BF52" s="2" t="n">
        <v>29226.06481481481</v>
      </c>
      <c r="BG52" s="2" t="n">
        <v>0</v>
      </c>
      <c r="BH52" s="2" t="n">
        <v>0</v>
      </c>
      <c r="BI52" s="2" t="n">
        <v>36269.25</v>
      </c>
      <c r="BJ52" s="2" t="n">
        <v>69.65810344827587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358.36587</v>
      </c>
      <c r="BQ52" s="2" t="n">
        <v>28217.64459482759</v>
      </c>
      <c r="BR52" s="2" t="n">
        <v>64939.91856827586</v>
      </c>
      <c r="BS52" s="2" t="n">
        <v>878.5887931034483</v>
      </c>
      <c r="BT52" s="2" t="n">
        <v>0</v>
      </c>
      <c r="BU52" s="2" t="n">
        <v>13092.02829827586</v>
      </c>
      <c r="BV52" s="2" t="n">
        <v>13970.61709137931</v>
      </c>
      <c r="BW52" s="2" t="n">
        <v>78910.53565965517</v>
      </c>
      <c r="BX52" s="2" t="n">
        <v>25000.77</v>
      </c>
      <c r="BY52" s="2" t="n">
        <v>1544.85</v>
      </c>
      <c r="BZ52" s="2" t="n">
        <v>5018.53</v>
      </c>
      <c r="CA52" s="2" t="n">
        <v>26545.62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1222</v>
      </c>
      <c r="B53" t="inlineStr">
        <is>
          <t>Dworcowa 33, 83-400 Kościerzyna</t>
        </is>
      </c>
      <c r="C53" t="inlineStr">
        <is>
          <t>Kościerzyna</t>
        </is>
      </c>
      <c r="D53" t="inlineStr">
        <is>
          <t>FAA2000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480.42</v>
      </c>
      <c r="AP53" s="2" t="n">
        <v>4050</v>
      </c>
      <c r="AQ53" s="2" t="n">
        <v>444.8333333333333</v>
      </c>
      <c r="AR53" s="2" t="n">
        <v>0</v>
      </c>
      <c r="AS53" s="2" t="n">
        <v>423.38</v>
      </c>
      <c r="AT53" s="2" t="n">
        <v>57.04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480.42</v>
      </c>
      <c r="BB53" s="2" t="n">
        <v>480.42</v>
      </c>
      <c r="BC53" s="2">
        <f>F53+L53+R53+X53+AD53+AJ53+AP53+AV53+IF(BE53="",0,BE53)</f>
        <v/>
      </c>
      <c r="BD53" s="2" t="n">
        <v>7.398468</v>
      </c>
      <c r="BE53" s="2" t="n"/>
      <c r="BF53" s="2" t="n">
        <v>444.8333333333333</v>
      </c>
      <c r="BG53" s="2" t="n">
        <v>0</v>
      </c>
      <c r="BH53" s="2" t="n">
        <v>0</v>
      </c>
      <c r="BI53" s="2" t="n">
        <v>36269.25</v>
      </c>
      <c r="BJ53" s="2" t="n">
        <v>69.65810344827587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6.48567</v>
      </c>
      <c r="BQ53" s="2" t="n">
        <v>28217.64459482759</v>
      </c>
      <c r="BR53" s="2" t="n">
        <v>64588.03836827586</v>
      </c>
      <c r="BS53" s="2" t="n">
        <v>878.5887931034483</v>
      </c>
      <c r="BT53" s="2" t="n">
        <v>0</v>
      </c>
      <c r="BU53" s="2" t="n">
        <v>13092.02829827586</v>
      </c>
      <c r="BV53" s="2" t="n">
        <v>13970.61709137931</v>
      </c>
      <c r="BW53" s="2" t="n">
        <v>78558.65545965517</v>
      </c>
      <c r="BX53" s="2" t="n">
        <v>423.38</v>
      </c>
      <c r="BY53" s="2" t="n">
        <v>57.04</v>
      </c>
      <c r="BZ53" s="2" t="n">
        <v>0</v>
      </c>
      <c r="CA53" s="2" t="n">
        <v>480.42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1223</v>
      </c>
      <c r="B54" t="inlineStr">
        <is>
          <t>Dworcowa 17, 82-200 Malbork</t>
        </is>
      </c>
      <c r="C54" t="inlineStr">
        <is>
          <t>Malbork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7149.72</v>
      </c>
      <c r="L54" s="2" t="n">
        <v>595.1479888888889</v>
      </c>
      <c r="M54" s="2" t="n">
        <v>6620.111111111111</v>
      </c>
      <c r="N54" s="2" t="n">
        <v>1213.44</v>
      </c>
      <c r="O54" s="2" t="n">
        <v>5685.48</v>
      </c>
      <c r="P54" s="2" t="n">
        <v>250.8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18712.07</v>
      </c>
      <c r="AP54" s="2" t="n">
        <v>1368.753268518519</v>
      </c>
      <c r="AQ54" s="2" t="n">
        <v>17325.99074074074</v>
      </c>
      <c r="AR54" s="2" t="n">
        <v>5061.52</v>
      </c>
      <c r="AS54" s="2" t="n">
        <v>12972.6</v>
      </c>
      <c r="AT54" s="2" t="n">
        <v>677.95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25861.79</v>
      </c>
      <c r="BB54" s="2" t="n">
        <v>19586.83</v>
      </c>
      <c r="BC54" s="2">
        <f>F54+L54+R54+X54+AD54+AJ54+AP54+AV54+IF(BE54="",0,BE54)</f>
        <v/>
      </c>
      <c r="BD54" s="2" t="n">
        <v>301.6371820000001</v>
      </c>
      <c r="BE54" s="2" t="n"/>
      <c r="BF54" s="2" t="n">
        <v>23946.10185185185</v>
      </c>
      <c r="BG54" s="2" t="n">
        <v>1380</v>
      </c>
      <c r="BH54" s="2" t="n">
        <v>107</v>
      </c>
      <c r="BI54" s="2" t="n">
        <v>36269.25</v>
      </c>
      <c r="BJ54" s="2" t="n">
        <v>69.65810344827587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264.422205</v>
      </c>
      <c r="BQ54" s="2" t="n">
        <v>28217.64459482759</v>
      </c>
      <c r="BR54" s="2" t="n">
        <v>66332.97490327587</v>
      </c>
      <c r="BS54" s="2" t="n">
        <v>878.5887931034483</v>
      </c>
      <c r="BT54" s="2" t="n">
        <v>0</v>
      </c>
      <c r="BU54" s="2" t="n">
        <v>13389.42829827586</v>
      </c>
      <c r="BV54" s="2" t="n">
        <v>14268.01709137931</v>
      </c>
      <c r="BW54" s="2" t="n">
        <v>80600.99199465518</v>
      </c>
      <c r="BX54" s="2" t="n">
        <v>18658.08</v>
      </c>
      <c r="BY54" s="2" t="n">
        <v>928.75</v>
      </c>
      <c r="BZ54" s="2" t="n">
        <v>6274.960000000001</v>
      </c>
      <c r="CA54" s="2" t="n">
        <v>19586.83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1224</v>
      </c>
      <c r="B55" t="inlineStr">
        <is>
          <t>Kuznica</t>
        </is>
      </c>
      <c r="C55" t="inlineStr">
        <is>
          <t>Kuźnica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816.24</v>
      </c>
      <c r="AP55" s="2" t="n">
        <v>4052</v>
      </c>
      <c r="AQ55" s="2" t="n">
        <v>755.7777777777777</v>
      </c>
      <c r="AR55" s="2" t="n">
        <v>0</v>
      </c>
      <c r="AS55" s="2" t="n">
        <v>779.24</v>
      </c>
      <c r="AT55" s="2" t="n">
        <v>37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816.24</v>
      </c>
      <c r="BB55" s="2" t="n">
        <v>816.24</v>
      </c>
      <c r="BC55" s="2">
        <f>F55+L55+R55+X55+AD55+AJ55+AP55+AV55+IF(BE55="",0,BE55)</f>
        <v/>
      </c>
      <c r="BD55" s="2" t="n">
        <v>12.570096</v>
      </c>
      <c r="BE55" s="2" t="n"/>
      <c r="BF55" s="2" t="n">
        <v>755.7777777777777</v>
      </c>
      <c r="BG55" s="2" t="n">
        <v>456.34</v>
      </c>
      <c r="BH55" s="2" t="n">
        <v>123</v>
      </c>
      <c r="BI55" s="2" t="n">
        <v>36269.25</v>
      </c>
      <c r="BJ55" s="2" t="n">
        <v>69.65810344827587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11.01924</v>
      </c>
      <c r="BQ55" s="2" t="n">
        <v>28217.64459482759</v>
      </c>
      <c r="BR55" s="2" t="n">
        <v>65171.91193827586</v>
      </c>
      <c r="BS55" s="2" t="n">
        <v>878.5887931034483</v>
      </c>
      <c r="BT55" s="2" t="n">
        <v>0</v>
      </c>
      <c r="BU55" s="2" t="n">
        <v>13207.89629827586</v>
      </c>
      <c r="BV55" s="2" t="n">
        <v>14086.48509137931</v>
      </c>
      <c r="BW55" s="2" t="n">
        <v>79258.39702965517</v>
      </c>
      <c r="BX55" s="2" t="n">
        <v>779.24</v>
      </c>
      <c r="BY55" s="2" t="n">
        <v>37</v>
      </c>
      <c r="BZ55" s="2" t="n">
        <v>0</v>
      </c>
      <c r="CA55" s="2" t="n">
        <v>816.24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1225</v>
      </c>
      <c r="B56" t="inlineStr">
        <is>
          <t>Plac Legionów 2, 37-700 Przemyśl</t>
        </is>
      </c>
      <c r="C56" t="inlineStr">
        <is>
          <t>Przemyśl</t>
        </is>
      </c>
      <c r="D56" t="inlineStr">
        <is>
          <t>FAA2000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24799.61</v>
      </c>
      <c r="L56" s="2" t="n">
        <v>2064.337906481482</v>
      </c>
      <c r="M56" s="2" t="n">
        <v>22962.60185185185</v>
      </c>
      <c r="N56" s="2" t="n">
        <v>2519.53</v>
      </c>
      <c r="O56" s="2" t="n">
        <v>22045.13</v>
      </c>
      <c r="P56" s="2" t="n">
        <v>234.95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5258.98</v>
      </c>
      <c r="AP56" s="2" t="n">
        <v>384.6846481481481</v>
      </c>
      <c r="AQ56" s="2" t="n">
        <v>4869.425925925926</v>
      </c>
      <c r="AR56" s="2" t="n">
        <v>1023.75</v>
      </c>
      <c r="AS56" s="2" t="n">
        <v>4173.59</v>
      </c>
      <c r="AT56" s="2" t="n">
        <v>61.64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30058.59</v>
      </c>
      <c r="BB56" s="2" t="n">
        <v>26515.31</v>
      </c>
      <c r="BC56" s="2">
        <f>F56+L56+R56+X56+AD56+AJ56+AP56+AV56+IF(BE56="",0,BE56)</f>
        <v/>
      </c>
      <c r="BD56" s="2" t="n">
        <v>408.335774</v>
      </c>
      <c r="BE56" s="2" t="n"/>
      <c r="BF56" s="2" t="n">
        <v>27832.02777777778</v>
      </c>
      <c r="BG56" s="2" t="n">
        <v>456.34</v>
      </c>
      <c r="BH56" s="2" t="n">
        <v>129</v>
      </c>
      <c r="BI56" s="2" t="n">
        <v>36269.25</v>
      </c>
      <c r="BJ56" s="2" t="n">
        <v>69.65810344827587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357.956685</v>
      </c>
      <c r="BQ56" s="2" t="n">
        <v>28217.64459482759</v>
      </c>
      <c r="BR56" s="2" t="n">
        <v>65524.84938327585</v>
      </c>
      <c r="BS56" s="2" t="n">
        <v>878.5887931034483</v>
      </c>
      <c r="BT56" s="2" t="n">
        <v>0</v>
      </c>
      <c r="BU56" s="2" t="n">
        <v>13209.09629827586</v>
      </c>
      <c r="BV56" s="2" t="n">
        <v>14087.68509137931</v>
      </c>
      <c r="BW56" s="2" t="n">
        <v>79612.53447465517</v>
      </c>
      <c r="BX56" s="2" t="n">
        <v>26218.72</v>
      </c>
      <c r="BY56" s="2" t="n">
        <v>296.59</v>
      </c>
      <c r="BZ56" s="2" t="n">
        <v>3543.28</v>
      </c>
      <c r="CA56" s="2" t="n">
        <v>26515.31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1226</v>
      </c>
      <c r="B57" t="inlineStr">
        <is>
          <t>Plac Dworcowy 3, 33-100 Tarnów</t>
        </is>
      </c>
      <c r="C57" t="inlineStr">
        <is>
          <t>Tarnów</t>
        </is>
      </c>
      <c r="D57" t="inlineStr">
        <is>
          <t>FAA2000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6925.709999999999</v>
      </c>
      <c r="L57" s="2" t="n">
        <v>576.5012305555555</v>
      </c>
      <c r="M57" s="2" t="n">
        <v>6412.694444444443</v>
      </c>
      <c r="N57" s="2" t="n">
        <v>1280.99</v>
      </c>
      <c r="O57" s="2" t="n">
        <v>5480.03</v>
      </c>
      <c r="P57" s="2" t="n">
        <v>164.69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7393.43</v>
      </c>
      <c r="AP57" s="2" t="n">
        <v>540.8157129629629</v>
      </c>
      <c r="AQ57" s="2" t="n">
        <v>6845.768518518518</v>
      </c>
      <c r="AR57" s="2" t="n">
        <v>1496.45</v>
      </c>
      <c r="AS57" s="2" t="n">
        <v>5738.63</v>
      </c>
      <c r="AT57" s="2" t="n">
        <v>158.35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14319.14</v>
      </c>
      <c r="BB57" s="2" t="n">
        <v>11541.7</v>
      </c>
      <c r="BC57" s="2">
        <f>F57+L57+R57+X57+AD57+AJ57+AP57+AV57+IF(BE57="",0,BE57)</f>
        <v/>
      </c>
      <c r="BD57" s="2" t="n">
        <v>177.74218</v>
      </c>
      <c r="BE57" s="2" t="n"/>
      <c r="BF57" s="2" t="n">
        <v>13258.46296296296</v>
      </c>
      <c r="BG57" s="2" t="n">
        <v>456.34</v>
      </c>
      <c r="BH57" s="2" t="n">
        <v>131</v>
      </c>
      <c r="BI57" s="2" t="n">
        <v>36269.25</v>
      </c>
      <c r="BJ57" s="2" t="n">
        <v>69.65810344827587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155.81295</v>
      </c>
      <c r="BQ57" s="2" t="n">
        <v>28217.64459482759</v>
      </c>
      <c r="BR57" s="2" t="n">
        <v>65324.70564827586</v>
      </c>
      <c r="BS57" s="2" t="n">
        <v>878.5887931034483</v>
      </c>
      <c r="BT57" s="2" t="n">
        <v>0</v>
      </c>
      <c r="BU57" s="2" t="n">
        <v>13209.49629827586</v>
      </c>
      <c r="BV57" s="2" t="n">
        <v>14088.08509137931</v>
      </c>
      <c r="BW57" s="2" t="n">
        <v>79412.79073965517</v>
      </c>
      <c r="BX57" s="2" t="n">
        <v>11218.66</v>
      </c>
      <c r="BY57" s="2" t="n">
        <v>323.04</v>
      </c>
      <c r="BZ57" s="2" t="n">
        <v>2777.44</v>
      </c>
      <c r="CA57" s="2" t="n">
        <v>11541.7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1230</v>
      </c>
      <c r="B58" t="inlineStr">
        <is>
          <t>Bohaterów Getta Warszawskiego 12, 44-100 Gliwice</t>
        </is>
      </c>
      <c r="C58" t="inlineStr">
        <is>
          <t>Gliwice</t>
        </is>
      </c>
      <c r="D58" t="inlineStr">
        <is>
          <t>ST|40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8463.92</v>
      </c>
      <c r="L58" s="2" t="n">
        <v>704.5429703703704</v>
      </c>
      <c r="M58" s="2" t="n">
        <v>7836.962962962963</v>
      </c>
      <c r="N58" s="2" t="n">
        <v>2144.54</v>
      </c>
      <c r="O58" s="2" t="n">
        <v>5693.69</v>
      </c>
      <c r="P58" s="2" t="n">
        <v>625.6900000000001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8463.92</v>
      </c>
      <c r="BB58" s="2" t="n">
        <v>6319.379999999999</v>
      </c>
      <c r="BC58" s="2">
        <f>F58+L58+R58+X58+AD58+AJ58+AP58+AV58+IF(BE58="",0,BE58)</f>
        <v/>
      </c>
      <c r="BD58" s="2" t="n">
        <v>97.31845199999999</v>
      </c>
      <c r="BE58" s="2" t="n"/>
      <c r="BF58" s="2" t="n">
        <v>7836.962962962963</v>
      </c>
      <c r="BG58" s="2" t="n">
        <v>500</v>
      </c>
      <c r="BH58" s="2" t="n">
        <v>109.6</v>
      </c>
      <c r="BI58" s="2" t="n">
        <v>36269.25</v>
      </c>
      <c r="BJ58" s="2" t="n">
        <v>69.65810344827587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85.31162999999999</v>
      </c>
      <c r="BQ58" s="2" t="n">
        <v>28217.64459482759</v>
      </c>
      <c r="BR58" s="2" t="n">
        <v>65276.46432827586</v>
      </c>
      <c r="BS58" s="2" t="n">
        <v>878.5887931034483</v>
      </c>
      <c r="BT58" s="2" t="n">
        <v>0</v>
      </c>
      <c r="BU58" s="2" t="n">
        <v>13213.94829827586</v>
      </c>
      <c r="BV58" s="2" t="n">
        <v>14092.53709137931</v>
      </c>
      <c r="BW58" s="2" t="n">
        <v>79369.00141965516</v>
      </c>
      <c r="BX58" s="2" t="n">
        <v>5693.69</v>
      </c>
      <c r="BY58" s="2" t="n">
        <v>625.6900000000001</v>
      </c>
      <c r="BZ58" s="2" t="n">
        <v>2144.54</v>
      </c>
      <c r="CA58" s="2" t="n">
        <v>6319.379999999999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1232</v>
      </c>
      <c r="B59" t="inlineStr">
        <is>
          <t>Olawa Zachodnia</t>
        </is>
      </c>
      <c r="C59" t="inlineStr">
        <is>
          <t>Oława Zachodnia</t>
        </is>
      </c>
      <c r="D59" t="inlineStr">
        <is>
          <t>ST|40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316.06</v>
      </c>
      <c r="R59" s="2" t="n">
        <v>1450</v>
      </c>
      <c r="S59" s="2" t="n">
        <v>292.6481481481482</v>
      </c>
      <c r="T59" s="2" t="n">
        <v>0</v>
      </c>
      <c r="U59" s="2" t="n">
        <v>316.06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316.06</v>
      </c>
      <c r="BB59" s="2" t="n">
        <v>316.06</v>
      </c>
      <c r="BC59" s="2">
        <f>F59+L59+R59+X59+AD59+AJ59+AP59+AV59+IF(BE59="",0,BE59)</f>
        <v/>
      </c>
      <c r="BD59" s="2" t="n">
        <v>4.867324</v>
      </c>
      <c r="BE59" s="2" t="n"/>
      <c r="BF59" s="2" t="n">
        <v>292.6481481481482</v>
      </c>
      <c r="BG59" s="2" t="n">
        <v>596.39</v>
      </c>
      <c r="BH59" s="2" t="n">
        <v>27.6</v>
      </c>
      <c r="BI59" s="2" t="n">
        <v>10529.78225806452</v>
      </c>
      <c r="BJ59" s="2" t="n">
        <v>69.65810344827587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4.26681</v>
      </c>
      <c r="BQ59" s="2" t="n">
        <v>28217.64459482759</v>
      </c>
      <c r="BR59" s="2" t="n">
        <v>39470.34176634038</v>
      </c>
      <c r="BS59" s="2" t="n">
        <v>878.5887931034483</v>
      </c>
      <c r="BT59" s="2" t="n">
        <v>0</v>
      </c>
      <c r="BU59" s="2" t="n">
        <v>8068.932749888765</v>
      </c>
      <c r="BV59" s="2" t="n">
        <v>8947.521542992214</v>
      </c>
      <c r="BW59" s="2" t="n">
        <v>48417.86330933259</v>
      </c>
      <c r="BX59" s="2" t="n">
        <v>316.06</v>
      </c>
      <c r="BY59" s="2" t="n">
        <v>0</v>
      </c>
      <c r="BZ59" s="2" t="n">
        <v>0</v>
      </c>
      <c r="CA59" s="2" t="n">
        <v>316.06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1234</v>
      </c>
      <c r="B60" t="inlineStr">
        <is>
          <t>Kolejowa 88, 68-100 Żagań</t>
        </is>
      </c>
      <c r="C60" t="inlineStr">
        <is>
          <t>Żagań</t>
        </is>
      </c>
      <c r="D60" t="inlineStr">
        <is>
          <t>FAA2000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378.2</v>
      </c>
      <c r="L60" s="2" t="n">
        <v>31.48164814814815</v>
      </c>
      <c r="M60" s="2" t="n">
        <v>350.1851851851852</v>
      </c>
      <c r="N60" s="2" t="n">
        <v>18</v>
      </c>
      <c r="O60" s="2" t="n">
        <v>360.2</v>
      </c>
      <c r="P60" s="2" t="n">
        <v>0</v>
      </c>
      <c r="Q60" s="2" t="n">
        <v>4469.51</v>
      </c>
      <c r="R60" s="2" t="n">
        <v>1600</v>
      </c>
      <c r="S60" s="2" t="n">
        <v>4138.435185185185</v>
      </c>
      <c r="T60" s="2" t="n">
        <v>41.7</v>
      </c>
      <c r="U60" s="2" t="n">
        <v>3892.07</v>
      </c>
      <c r="V60" s="2" t="n">
        <v>535.74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2763.87</v>
      </c>
      <c r="AP60" s="2" t="n">
        <v>202.1719722222222</v>
      </c>
      <c r="AQ60" s="2" t="n">
        <v>2559.138888888889</v>
      </c>
      <c r="AR60" s="2" t="n">
        <v>58.27</v>
      </c>
      <c r="AS60" s="2" t="n">
        <v>2256.61</v>
      </c>
      <c r="AT60" s="2" t="n">
        <v>448.99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7611.58</v>
      </c>
      <c r="BB60" s="2" t="n">
        <v>7493.610000000001</v>
      </c>
      <c r="BC60" s="2">
        <f>F60+L60+R60+X60+AD60+AJ60+AP60+AV60+IF(BE60="",0,BE60)</f>
        <v/>
      </c>
      <c r="BD60" s="2" t="n">
        <v>115.401594</v>
      </c>
      <c r="BE60" s="2" t="n"/>
      <c r="BF60" s="2" t="n">
        <v>7047.759259259259</v>
      </c>
      <c r="BG60" s="2" t="n">
        <v>594.14</v>
      </c>
      <c r="BH60" s="2" t="n">
        <v>219</v>
      </c>
      <c r="BI60" s="2" t="n">
        <v>36269.25</v>
      </c>
      <c r="BJ60" s="2" t="n">
        <v>69.65810344827587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101.163735</v>
      </c>
      <c r="BQ60" s="2" t="n">
        <v>28217.64459482759</v>
      </c>
      <c r="BR60" s="2" t="n">
        <v>65495.85643327586</v>
      </c>
      <c r="BS60" s="2" t="n">
        <v>878.5887931034483</v>
      </c>
      <c r="BT60" s="2" t="n">
        <v>0</v>
      </c>
      <c r="BU60" s="2" t="n">
        <v>13254.65629827586</v>
      </c>
      <c r="BV60" s="2" t="n">
        <v>14133.24509137931</v>
      </c>
      <c r="BW60" s="2" t="n">
        <v>79629.10152465517</v>
      </c>
      <c r="BX60" s="2" t="n">
        <v>6508.880000000001</v>
      </c>
      <c r="BY60" s="2" t="n">
        <v>984.73</v>
      </c>
      <c r="BZ60" s="2" t="n">
        <v>117.97</v>
      </c>
      <c r="CA60" s="2" t="n">
        <v>7493.610000000001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1235</v>
      </c>
      <c r="B61" t="inlineStr">
        <is>
          <t>Dworcowa 2, 61-801 Poznań</t>
        </is>
      </c>
      <c r="C61" t="inlineStr">
        <is>
          <t>Poznań Główny, Dworzec Zachodni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9145.030000000001</v>
      </c>
      <c r="L61" s="2" t="n">
        <v>761.2390712962964</v>
      </c>
      <c r="M61" s="2" t="n">
        <v>8467.62037037037</v>
      </c>
      <c r="N61" s="2" t="n">
        <v>2445.02</v>
      </c>
      <c r="O61" s="2" t="n">
        <v>6700.01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17959.71</v>
      </c>
      <c r="AD61" s="2" t="n">
        <v>1147.425916666667</v>
      </c>
      <c r="AE61" s="2" t="n">
        <v>16629.36111111111</v>
      </c>
      <c r="AF61" s="2" t="n">
        <v>3423.37</v>
      </c>
      <c r="AG61" s="2" t="n">
        <v>14536.34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6383.77</v>
      </c>
      <c r="AP61" s="2" t="n">
        <v>466.9609537037037</v>
      </c>
      <c r="AQ61" s="2" t="n">
        <v>5910.898148148148</v>
      </c>
      <c r="AR61" s="2" t="n">
        <v>1108.09</v>
      </c>
      <c r="AS61" s="2" t="n">
        <v>5275.68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33488.50999999999</v>
      </c>
      <c r="BB61" s="2" t="n">
        <v>26512.03</v>
      </c>
      <c r="BC61" s="2">
        <f>F61+L61+R61+X61+AD61+AJ61+AP61+AV61+IF(BE61="",0,BE61)</f>
        <v/>
      </c>
      <c r="BD61" s="2" t="n">
        <v>408.285262</v>
      </c>
      <c r="BE61" s="2" t="n"/>
      <c r="BF61" s="2" t="n">
        <v>31007.87962962963</v>
      </c>
      <c r="BG61" s="2" t="n">
        <v>458.58</v>
      </c>
      <c r="BH61" s="2" t="n">
        <v>0</v>
      </c>
      <c r="BI61" s="2" t="n">
        <v>36269.25</v>
      </c>
      <c r="BJ61" s="2" t="n">
        <v>69.65810344827587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357.912405</v>
      </c>
      <c r="BQ61" s="2" t="n">
        <v>28217.64459482759</v>
      </c>
      <c r="BR61" s="2" t="n">
        <v>65398.04510327586</v>
      </c>
      <c r="BS61" s="2" t="n">
        <v>878.5887931034483</v>
      </c>
      <c r="BT61" s="2" t="n">
        <v>0</v>
      </c>
      <c r="BU61" s="2" t="n">
        <v>13183.74429827586</v>
      </c>
      <c r="BV61" s="2" t="n">
        <v>14062.33309137931</v>
      </c>
      <c r="BW61" s="2" t="n">
        <v>79460.37819465518</v>
      </c>
      <c r="BX61" s="2" t="n">
        <v>26512.03</v>
      </c>
      <c r="BY61" s="2" t="n">
        <v>0</v>
      </c>
      <c r="BZ61" s="2" t="n">
        <v>6976.48</v>
      </c>
      <c r="CA61" s="2" t="n">
        <v>26512.03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1236</v>
      </c>
      <c r="B62" t="inlineStr">
        <is>
          <t>Pelplin</t>
        </is>
      </c>
      <c r="C62" t="inlineStr">
        <is>
          <t>Pelplin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1895.98</v>
      </c>
      <c r="AP62" s="2" t="n">
        <v>3900</v>
      </c>
      <c r="AQ62" s="2" t="n">
        <v>1755.537037037037</v>
      </c>
      <c r="AR62" s="2" t="n">
        <v>0</v>
      </c>
      <c r="AS62" s="2" t="n">
        <v>1628.29</v>
      </c>
      <c r="AT62" s="2" t="n">
        <v>267.69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1895.98</v>
      </c>
      <c r="BB62" s="2" t="n">
        <v>1895.98</v>
      </c>
      <c r="BC62" s="2">
        <f>F62+L62+R62+X62+AD62+AJ62+AP62+AV62+IF(BE62="",0,BE62)</f>
        <v/>
      </c>
      <c r="BD62" s="2" t="n">
        <v>29.198092</v>
      </c>
      <c r="BE62" s="2" t="n"/>
      <c r="BF62" s="2" t="n">
        <v>1755.537037037037</v>
      </c>
      <c r="BG62" s="2" t="n">
        <v>458.58</v>
      </c>
      <c r="BH62" s="2" t="n">
        <v>0</v>
      </c>
      <c r="BI62" s="2" t="n">
        <v>36269.25</v>
      </c>
      <c r="BJ62" s="2" t="n">
        <v>69.65810344827587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25.59573</v>
      </c>
      <c r="BQ62" s="2" t="n">
        <v>28217.64459482759</v>
      </c>
      <c r="BR62" s="2" t="n">
        <v>65065.72842827586</v>
      </c>
      <c r="BS62" s="2" t="n">
        <v>878.5887931034483</v>
      </c>
      <c r="BT62" s="2" t="n">
        <v>0</v>
      </c>
      <c r="BU62" s="2" t="n">
        <v>13183.74429827586</v>
      </c>
      <c r="BV62" s="2" t="n">
        <v>14062.33309137931</v>
      </c>
      <c r="BW62" s="2" t="n">
        <v>79128.06151965518</v>
      </c>
      <c r="BX62" s="2" t="n">
        <v>1628.29</v>
      </c>
      <c r="BY62" s="2" t="n">
        <v>267.69</v>
      </c>
      <c r="BZ62" s="2" t="n">
        <v>0</v>
      </c>
      <c r="CA62" s="2" t="n">
        <v>1895.98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1237</v>
      </c>
      <c r="B63" t="inlineStr">
        <is>
          <t>Dworcowa 2, 61-801 Poznań</t>
        </is>
      </c>
      <c r="C63" t="inlineStr">
        <is>
          <t>Poznań Główny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10684.35</v>
      </c>
      <c r="L63" s="2" t="n">
        <v>889.3732083333333</v>
      </c>
      <c r="M63" s="2" t="n">
        <v>9892.916666666666</v>
      </c>
      <c r="N63" s="2" t="n">
        <v>2147.29</v>
      </c>
      <c r="O63" s="2" t="n">
        <v>7779.96</v>
      </c>
      <c r="P63" s="2" t="n">
        <v>757.1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24199.03</v>
      </c>
      <c r="AD63" s="2" t="n">
        <v>1546.049138888889</v>
      </c>
      <c r="AE63" s="2" t="n">
        <v>22406.50925925926</v>
      </c>
      <c r="AF63" s="2" t="n">
        <v>3193.57</v>
      </c>
      <c r="AG63" s="2" t="n">
        <v>19104.53</v>
      </c>
      <c r="AH63" s="2" t="n">
        <v>1900.93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9074.550000000001</v>
      </c>
      <c r="AP63" s="2" t="n">
        <v>663.7865277777778</v>
      </c>
      <c r="AQ63" s="2" t="n">
        <v>8402.361111111111</v>
      </c>
      <c r="AR63" s="2" t="n">
        <v>1300.61</v>
      </c>
      <c r="AS63" s="2" t="n">
        <v>6921.41</v>
      </c>
      <c r="AT63" s="2" t="n">
        <v>852.53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43957.93</v>
      </c>
      <c r="BB63" s="2" t="n">
        <v>37316.46</v>
      </c>
      <c r="BC63" s="2">
        <f>F63+L63+R63+X63+AD63+AJ63+AP63+AV63+IF(BE63="",0,BE63)</f>
        <v/>
      </c>
      <c r="BD63" s="2" t="n">
        <v>574.6734839999999</v>
      </c>
      <c r="BE63" s="2" t="n"/>
      <c r="BF63" s="2" t="n">
        <v>40701.78703703703</v>
      </c>
      <c r="BG63" s="2" t="n">
        <v>458.58</v>
      </c>
      <c r="BH63" s="2" t="n">
        <v>0</v>
      </c>
      <c r="BI63" s="2" t="n">
        <v>36269.25</v>
      </c>
      <c r="BJ63" s="2" t="n">
        <v>69.65810344827587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503.77221</v>
      </c>
      <c r="BQ63" s="2" t="n">
        <v>28217.64459482759</v>
      </c>
      <c r="BR63" s="2" t="n">
        <v>65543.90490827587</v>
      </c>
      <c r="BS63" s="2" t="n">
        <v>878.5887931034483</v>
      </c>
      <c r="BT63" s="2" t="n">
        <v>0</v>
      </c>
      <c r="BU63" s="2" t="n">
        <v>13183.74429827586</v>
      </c>
      <c r="BV63" s="2" t="n">
        <v>14062.33309137931</v>
      </c>
      <c r="BW63" s="2" t="n">
        <v>79606.23799965519</v>
      </c>
      <c r="BX63" s="2" t="n">
        <v>33805.89999999999</v>
      </c>
      <c r="BY63" s="2" t="n">
        <v>3510.56</v>
      </c>
      <c r="BZ63" s="2" t="n">
        <v>6641.47</v>
      </c>
      <c r="CA63" s="2" t="n">
        <v>37316.45999999999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1238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1901.13</v>
      </c>
      <c r="L64" s="2" t="n">
        <v>158.2514694444444</v>
      </c>
      <c r="M64" s="2" t="n">
        <v>1760.305555555555</v>
      </c>
      <c r="N64" s="2" t="n">
        <v>200.56</v>
      </c>
      <c r="O64" s="2" t="n">
        <v>1630.57</v>
      </c>
      <c r="P64" s="2" t="n">
        <v>70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7310.06</v>
      </c>
      <c r="AD64" s="2" t="n">
        <v>467.0316111111111</v>
      </c>
      <c r="AE64" s="2" t="n">
        <v>6768.574074074074</v>
      </c>
      <c r="AF64" s="2" t="n">
        <v>2736.35</v>
      </c>
      <c r="AG64" s="2" t="n">
        <v>4439.18</v>
      </c>
      <c r="AH64" s="2" t="n">
        <v>134.53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2155.68</v>
      </c>
      <c r="AP64" s="2" t="n">
        <v>157.684</v>
      </c>
      <c r="AQ64" s="2" t="n">
        <v>1996</v>
      </c>
      <c r="AR64" s="2" t="n">
        <v>1043.27</v>
      </c>
      <c r="AS64" s="2" t="n">
        <v>999.4400000000001</v>
      </c>
      <c r="AT64" s="2" t="n">
        <v>112.97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11366.87</v>
      </c>
      <c r="BB64" s="2" t="n">
        <v>7386.69</v>
      </c>
      <c r="BC64" s="2">
        <f>F64+L64+R64+X64+AD64+AJ64+AP64+AV64+IF(BE64="",0,BE64)</f>
        <v/>
      </c>
      <c r="BD64" s="2" t="n">
        <v>113.755026</v>
      </c>
      <c r="BE64" s="2" t="n"/>
      <c r="BF64" s="2" t="n">
        <v>10524.87962962963</v>
      </c>
      <c r="BG64" s="2" t="n">
        <v>458.58</v>
      </c>
      <c r="BH64" s="2" t="n">
        <v>0</v>
      </c>
      <c r="BI64" s="2" t="n">
        <v>19889.58870967742</v>
      </c>
      <c r="BJ64" s="2" t="n">
        <v>69.65810344827587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99.720315</v>
      </c>
      <c r="BQ64" s="2" t="n">
        <v>28217.64459482759</v>
      </c>
      <c r="BR64" s="2" t="n">
        <v>48760.19172295328</v>
      </c>
      <c r="BS64" s="2" t="n">
        <v>878.5887931034483</v>
      </c>
      <c r="BT64" s="2" t="n">
        <v>0</v>
      </c>
      <c r="BU64" s="2" t="n">
        <v>9907.812040211347</v>
      </c>
      <c r="BV64" s="2" t="n">
        <v>10786.4008333148</v>
      </c>
      <c r="BW64" s="2" t="n">
        <v>59546.59255626808</v>
      </c>
      <c r="BX64" s="2" t="n">
        <v>7069.190000000001</v>
      </c>
      <c r="BY64" s="2" t="n">
        <v>317.5</v>
      </c>
      <c r="BZ64" s="2" t="n">
        <v>3980.18</v>
      </c>
      <c r="CA64" s="2" t="n">
        <v>7386.690000000001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1239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18001.04</v>
      </c>
      <c r="L65" s="2" t="n">
        <v>1498.419903703704</v>
      </c>
      <c r="M65" s="2" t="n">
        <v>16667.62962962963</v>
      </c>
      <c r="N65" s="2" t="n">
        <v>3252.75</v>
      </c>
      <c r="O65" s="2" t="n">
        <v>13977.91</v>
      </c>
      <c r="P65" s="2" t="n">
        <v>770.38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48855.57</v>
      </c>
      <c r="AD65" s="2" t="n">
        <v>3121.328083333333</v>
      </c>
      <c r="AE65" s="2" t="n">
        <v>45236.63888888888</v>
      </c>
      <c r="AF65" s="2" t="n">
        <v>9646.43</v>
      </c>
      <c r="AG65" s="2" t="n">
        <v>37230.65</v>
      </c>
      <c r="AH65" s="2" t="n">
        <v>1978.49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12682.55</v>
      </c>
      <c r="AP65" s="2" t="n">
        <v>927.7050462962961</v>
      </c>
      <c r="AQ65" s="2" t="n">
        <v>11743.10185185185</v>
      </c>
      <c r="AR65" s="2" t="n">
        <v>2261.67</v>
      </c>
      <c r="AS65" s="2" t="n">
        <v>9983.24</v>
      </c>
      <c r="AT65" s="2" t="n">
        <v>437.64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79539.16</v>
      </c>
      <c r="BB65" s="2" t="n">
        <v>64378.31</v>
      </c>
      <c r="BC65" s="2">
        <f>F65+L65+R65+X65+AD65+AJ65+AP65+AV65+IF(BE65="",0,BE65)</f>
        <v/>
      </c>
      <c r="BD65" s="2" t="n">
        <v>991.4259739999999</v>
      </c>
      <c r="BE65" s="2" t="n"/>
      <c r="BF65" s="2" t="n">
        <v>73647.37037037036</v>
      </c>
      <c r="BG65" s="2" t="n">
        <v>458.58</v>
      </c>
      <c r="BH65" s="2" t="n">
        <v>0</v>
      </c>
      <c r="BI65" s="2" t="n">
        <v>36269.25</v>
      </c>
      <c r="BJ65" s="2" t="n">
        <v>69.65810344827587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869.107185</v>
      </c>
      <c r="BQ65" s="2" t="n">
        <v>28217.64459482759</v>
      </c>
      <c r="BR65" s="2" t="n">
        <v>65909.23988327586</v>
      </c>
      <c r="BS65" s="2" t="n">
        <v>878.5887931034483</v>
      </c>
      <c r="BT65" s="2" t="n">
        <v>0</v>
      </c>
      <c r="BU65" s="2" t="n">
        <v>13183.74429827586</v>
      </c>
      <c r="BV65" s="2" t="n">
        <v>14062.33309137931</v>
      </c>
      <c r="BW65" s="2" t="n">
        <v>79971.57297465518</v>
      </c>
      <c r="BX65" s="2" t="n">
        <v>61191.8</v>
      </c>
      <c r="BY65" s="2" t="n">
        <v>3186.51</v>
      </c>
      <c r="BZ65" s="2" t="n">
        <v>15160.85</v>
      </c>
      <c r="CA65" s="2" t="n">
        <v>64378.31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1240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16182</v>
      </c>
      <c r="L66" s="2" t="n">
        <v>1347.001666666667</v>
      </c>
      <c r="M66" s="2" t="n">
        <v>14983.33333333333</v>
      </c>
      <c r="N66" s="2" t="n">
        <v>1689.92</v>
      </c>
      <c r="O66" s="2" t="n">
        <v>13560.79</v>
      </c>
      <c r="P66" s="2" t="n">
        <v>931.29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43181.09</v>
      </c>
      <c r="AD66" s="2" t="n">
        <v>2758.791861111112</v>
      </c>
      <c r="AE66" s="2" t="n">
        <v>39982.49074074074</v>
      </c>
      <c r="AF66" s="2" t="n">
        <v>3923.68</v>
      </c>
      <c r="AG66" s="2" t="n">
        <v>36633.97</v>
      </c>
      <c r="AH66" s="2" t="n">
        <v>2623.44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12497.27</v>
      </c>
      <c r="AP66" s="2" t="n">
        <v>914.1521574074073</v>
      </c>
      <c r="AQ66" s="2" t="n">
        <v>11571.5462962963</v>
      </c>
      <c r="AR66" s="2" t="n">
        <v>1759.2</v>
      </c>
      <c r="AS66" s="2" t="n">
        <v>10313.6</v>
      </c>
      <c r="AT66" s="2" t="n">
        <v>424.47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71860.36</v>
      </c>
      <c r="BB66" s="2" t="n">
        <v>64487.56</v>
      </c>
      <c r="BC66" s="2">
        <f>F66+L66+R66+X66+AD66+AJ66+AP66+AV66+IF(BE66="",0,BE66)</f>
        <v/>
      </c>
      <c r="BD66" s="2" t="n">
        <v>993.108424</v>
      </c>
      <c r="BE66" s="2" t="n"/>
      <c r="BF66" s="2" t="n">
        <v>66537.37037037036</v>
      </c>
      <c r="BG66" s="2" t="n">
        <v>458.58</v>
      </c>
      <c r="BH66" s="2" t="n">
        <v>0</v>
      </c>
      <c r="BI66" s="2" t="n">
        <v>36269.25</v>
      </c>
      <c r="BJ66" s="2" t="n">
        <v>69.65810344827587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870.5820600000001</v>
      </c>
      <c r="BQ66" s="2" t="n">
        <v>28217.64459482759</v>
      </c>
      <c r="BR66" s="2" t="n">
        <v>65910.71475827586</v>
      </c>
      <c r="BS66" s="2" t="n">
        <v>878.5887931034483</v>
      </c>
      <c r="BT66" s="2" t="n">
        <v>0</v>
      </c>
      <c r="BU66" s="2" t="n">
        <v>13183.74429827586</v>
      </c>
      <c r="BV66" s="2" t="n">
        <v>14062.33309137931</v>
      </c>
      <c r="BW66" s="2" t="n">
        <v>79973.04784965518</v>
      </c>
      <c r="BX66" s="2" t="n">
        <v>60508.36</v>
      </c>
      <c r="BY66" s="2" t="n">
        <v>3979.2</v>
      </c>
      <c r="BZ66" s="2" t="n">
        <v>7372.8</v>
      </c>
      <c r="CA66" s="2" t="n">
        <v>64487.56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1241</v>
      </c>
      <c r="B67" t="inlineStr">
        <is>
          <t>Kolejowa 1, 62-510 Konin</t>
        </is>
      </c>
      <c r="C67" t="inlineStr">
        <is>
          <t>Konin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3969.13</v>
      </c>
      <c r="L67" s="2" t="n">
        <v>330.3933212962963</v>
      </c>
      <c r="M67" s="2" t="n">
        <v>3675.12037037037</v>
      </c>
      <c r="N67" s="2" t="n">
        <v>1074.98</v>
      </c>
      <c r="O67" s="2" t="n">
        <v>2845.46</v>
      </c>
      <c r="P67" s="2" t="n">
        <v>48.69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8029.41</v>
      </c>
      <c r="AD67" s="2" t="n">
        <v>512.9900833333334</v>
      </c>
      <c r="AE67" s="2" t="n">
        <v>7434.638888888889</v>
      </c>
      <c r="AF67" s="2" t="n">
        <v>1118.45</v>
      </c>
      <c r="AG67" s="2" t="n">
        <v>6579.24</v>
      </c>
      <c r="AH67" s="2" t="n">
        <v>331.72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93</v>
      </c>
      <c r="AP67" s="2" t="n">
        <v>6.802777777777777</v>
      </c>
      <c r="AQ67" s="2" t="n">
        <v>86.1111111111111</v>
      </c>
      <c r="AR67" s="2" t="n">
        <v>0</v>
      </c>
      <c r="AS67" s="2" t="n">
        <v>93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12091.54</v>
      </c>
      <c r="BB67" s="2" t="n">
        <v>9898.110000000001</v>
      </c>
      <c r="BC67" s="2">
        <f>F67+L67+R67+X67+AD67+AJ67+AP67+AV67+IF(BE67="",0,BE67)</f>
        <v/>
      </c>
      <c r="BD67" s="2" t="n">
        <v>152.430894</v>
      </c>
      <c r="BE67" s="2" t="n"/>
      <c r="BF67" s="2" t="n">
        <v>11195.87037037037</v>
      </c>
      <c r="BG67" s="2" t="n">
        <v>420</v>
      </c>
      <c r="BH67" s="2" t="n">
        <v>187</v>
      </c>
      <c r="BI67" s="2" t="n">
        <v>36269.25</v>
      </c>
      <c r="BJ67" s="2" t="n">
        <v>69.65810344827587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133.624485</v>
      </c>
      <c r="BQ67" s="2" t="n">
        <v>28217.64459482759</v>
      </c>
      <c r="BR67" s="2" t="n">
        <v>65322.17718327586</v>
      </c>
      <c r="BS67" s="2" t="n">
        <v>878.5887931034483</v>
      </c>
      <c r="BT67" s="2" t="n">
        <v>0</v>
      </c>
      <c r="BU67" s="2" t="n">
        <v>13213.42829827586</v>
      </c>
      <c r="BV67" s="2" t="n">
        <v>14092.01709137931</v>
      </c>
      <c r="BW67" s="2" t="n">
        <v>79414.19427465516</v>
      </c>
      <c r="BX67" s="2" t="n">
        <v>9517.700000000001</v>
      </c>
      <c r="BY67" s="2" t="n">
        <v>380.41</v>
      </c>
      <c r="BZ67" s="2" t="n">
        <v>2193.43</v>
      </c>
      <c r="CA67" s="2" t="n">
        <v>9898.110000000001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1242</v>
      </c>
      <c r="B68" t="inlineStr">
        <is>
          <t>Dworcowa 1, 62-800 Kalisz</t>
        </is>
      </c>
      <c r="C68" t="inlineStr">
        <is>
          <t>Kalisz</t>
        </is>
      </c>
      <c r="D68" t="inlineStr">
        <is>
          <t>ST|40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6939.050000000001</v>
      </c>
      <c r="L68" s="2" t="n">
        <v>577.6116620370371</v>
      </c>
      <c r="M68" s="2" t="n">
        <v>6425.046296296297</v>
      </c>
      <c r="N68" s="2" t="n">
        <v>2480.9</v>
      </c>
      <c r="O68" s="2" t="n">
        <v>4210.8</v>
      </c>
      <c r="P68" s="2" t="n">
        <v>247.35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3355.29</v>
      </c>
      <c r="AD68" s="2" t="n">
        <v>214.36575</v>
      </c>
      <c r="AE68" s="2" t="n">
        <v>3106.75</v>
      </c>
      <c r="AF68" s="2" t="n">
        <v>731.91</v>
      </c>
      <c r="AG68" s="2" t="n">
        <v>2390.24</v>
      </c>
      <c r="AH68" s="2" t="n">
        <v>233.14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5612.49</v>
      </c>
      <c r="AP68" s="2" t="n">
        <v>410.5432499999999</v>
      </c>
      <c r="AQ68" s="2" t="n">
        <v>5196.749999999999</v>
      </c>
      <c r="AR68" s="2" t="n">
        <v>1579.92</v>
      </c>
      <c r="AS68" s="2" t="n">
        <v>3656.32</v>
      </c>
      <c r="AT68" s="2" t="n">
        <v>376.25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15906.83</v>
      </c>
      <c r="BB68" s="2" t="n">
        <v>11114.1</v>
      </c>
      <c r="BC68" s="2">
        <f>F68+L68+R68+X68+AD68+AJ68+AP68+AV68+IF(BE68="",0,BE68)</f>
        <v/>
      </c>
      <c r="BD68" s="2" t="n">
        <v>171.15714</v>
      </c>
      <c r="BE68" s="2" t="n"/>
      <c r="BF68" s="2" t="n">
        <v>14728.5462962963</v>
      </c>
      <c r="BG68" s="2" t="n">
        <v>550.4299999999999</v>
      </c>
      <c r="BH68" s="2" t="n">
        <v>213</v>
      </c>
      <c r="BI68" s="2" t="n">
        <v>36269.25</v>
      </c>
      <c r="BJ68" s="2" t="n">
        <v>69.65810344827587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150.04035</v>
      </c>
      <c r="BQ68" s="2" t="n">
        <v>28217.64459482759</v>
      </c>
      <c r="BR68" s="2" t="n">
        <v>65495.02304827586</v>
      </c>
      <c r="BS68" s="2" t="n">
        <v>878.5887931034483</v>
      </c>
      <c r="BT68" s="2" t="n">
        <v>0</v>
      </c>
      <c r="BU68" s="2" t="n">
        <v>13244.71429827586</v>
      </c>
      <c r="BV68" s="2" t="n">
        <v>14123.30309137931</v>
      </c>
      <c r="BW68" s="2" t="n">
        <v>79618.32613965517</v>
      </c>
      <c r="BX68" s="2" t="n">
        <v>10257.36</v>
      </c>
      <c r="BY68" s="2" t="n">
        <v>856.74</v>
      </c>
      <c r="BZ68" s="2" t="n">
        <v>4792.73</v>
      </c>
      <c r="CA68" s="2" t="n">
        <v>11114.1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1243</v>
      </c>
      <c r="B69" t="inlineStr">
        <is>
          <t>Garbary 89, 61-757 Poznań</t>
        </is>
      </c>
      <c r="C69" t="inlineStr">
        <is>
          <t>Poznań Garbary</t>
        </is>
      </c>
      <c r="D69" t="inlineStr">
        <is>
          <t>FAA2000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48.61</v>
      </c>
      <c r="L69" s="2" t="n">
        <v>4.046332407407407</v>
      </c>
      <c r="M69" s="2" t="n">
        <v>45.00925925925925</v>
      </c>
      <c r="N69" s="2" t="n">
        <v>0</v>
      </c>
      <c r="O69" s="2" t="n">
        <v>48.61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16705.12</v>
      </c>
      <c r="AD69" s="2" t="n">
        <v>1067.271555555556</v>
      </c>
      <c r="AE69" s="2" t="n">
        <v>15467.7037037037</v>
      </c>
      <c r="AF69" s="2" t="n">
        <v>2048.59</v>
      </c>
      <c r="AG69" s="2" t="n">
        <v>13771.32</v>
      </c>
      <c r="AH69" s="2" t="n">
        <v>885.21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2387.61</v>
      </c>
      <c r="AP69" s="2" t="n">
        <v>174.64925</v>
      </c>
      <c r="AQ69" s="2" t="n">
        <v>2210.75</v>
      </c>
      <c r="AR69" s="2" t="n">
        <v>453</v>
      </c>
      <c r="AS69" s="2" t="n">
        <v>1844.16</v>
      </c>
      <c r="AT69" s="2" t="n">
        <v>90.45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19141.34</v>
      </c>
      <c r="BB69" s="2" t="n">
        <v>16639.75</v>
      </c>
      <c r="BC69" s="2">
        <f>F69+L69+R69+X69+AD69+AJ69+AP69+AV69+IF(BE69="",0,BE69)</f>
        <v/>
      </c>
      <c r="BD69" s="2" t="n">
        <v>256.25215</v>
      </c>
      <c r="BE69" s="2" t="n"/>
      <c r="BF69" s="2" t="n">
        <v>17723.46296296296</v>
      </c>
      <c r="BG69" s="2" t="n">
        <v>587.13</v>
      </c>
      <c r="BH69" s="2" t="n">
        <v>187</v>
      </c>
      <c r="BI69" s="2" t="n">
        <v>36269.25</v>
      </c>
      <c r="BJ69" s="2" t="n">
        <v>69.65810344827587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224.636625</v>
      </c>
      <c r="BQ69" s="2" t="n">
        <v>28217.64459482759</v>
      </c>
      <c r="BR69" s="2" t="n">
        <v>65580.31932327585</v>
      </c>
      <c r="BS69" s="2" t="n">
        <v>878.5887931034483</v>
      </c>
      <c r="BT69" s="2" t="n">
        <v>0</v>
      </c>
      <c r="BU69" s="2" t="n">
        <v>13246.85429827586</v>
      </c>
      <c r="BV69" s="2" t="n">
        <v>14125.44309137931</v>
      </c>
      <c r="BW69" s="2" t="n">
        <v>79705.76241465517</v>
      </c>
      <c r="BX69" s="2" t="n">
        <v>15664.09</v>
      </c>
      <c r="BY69" s="2" t="n">
        <v>975.6600000000001</v>
      </c>
      <c r="BZ69" s="2" t="n">
        <v>2501.59</v>
      </c>
      <c r="CA69" s="2" t="n">
        <v>16639.75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1244</v>
      </c>
      <c r="B70" t="inlineStr">
        <is>
          <t>Dworcowa 7, 62-200 Gniezno</t>
        </is>
      </c>
      <c r="C70" t="inlineStr">
        <is>
          <t>Gniezno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13367.83</v>
      </c>
      <c r="L70" s="2" t="n">
        <v>1112.748071296296</v>
      </c>
      <c r="M70" s="2" t="n">
        <v>12377.62037037037</v>
      </c>
      <c r="N70" s="2" t="n">
        <v>3471.58</v>
      </c>
      <c r="O70" s="2" t="n">
        <v>9234.940000000001</v>
      </c>
      <c r="P70" s="2" t="n">
        <v>661.3099999999999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15491.93</v>
      </c>
      <c r="AD70" s="2" t="n">
        <v>989.7621944444444</v>
      </c>
      <c r="AE70" s="2" t="n">
        <v>14344.37962962963</v>
      </c>
      <c r="AF70" s="2" t="n">
        <v>4362.54</v>
      </c>
      <c r="AG70" s="2" t="n">
        <v>10384.22</v>
      </c>
      <c r="AH70" s="2" t="n">
        <v>745.17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6105.900000000001</v>
      </c>
      <c r="AP70" s="2" t="n">
        <v>446.6352777777778</v>
      </c>
      <c r="AQ70" s="2" t="n">
        <v>5653.611111111111</v>
      </c>
      <c r="AR70" s="2" t="n">
        <v>1727.2</v>
      </c>
      <c r="AS70" s="2" t="n">
        <v>4056.28</v>
      </c>
      <c r="AT70" s="2" t="n">
        <v>322.42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34965.66</v>
      </c>
      <c r="BB70" s="2" t="n">
        <v>25404.34</v>
      </c>
      <c r="BC70" s="2">
        <f>F70+L70+R70+X70+AD70+AJ70+AP70+AV70+IF(BE70="",0,BE70)</f>
        <v/>
      </c>
      <c r="BD70" s="2" t="n">
        <v>391.226836</v>
      </c>
      <c r="BE70" s="2" t="n"/>
      <c r="BF70" s="2" t="n">
        <v>32375.61111111111</v>
      </c>
      <c r="BG70" s="2" t="n">
        <v>0</v>
      </c>
      <c r="BH70" s="2" t="n">
        <v>0</v>
      </c>
      <c r="BI70" s="2" t="n">
        <v>36269.25</v>
      </c>
      <c r="BJ70" s="2" t="n">
        <v>69.65810344827587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342.95859</v>
      </c>
      <c r="BQ70" s="2" t="n">
        <v>28217.64459482759</v>
      </c>
      <c r="BR70" s="2" t="n">
        <v>64924.51128827586</v>
      </c>
      <c r="BS70" s="2" t="n">
        <v>878.5887931034483</v>
      </c>
      <c r="BT70" s="2" t="n">
        <v>0</v>
      </c>
      <c r="BU70" s="2" t="n">
        <v>13092.02829827586</v>
      </c>
      <c r="BV70" s="2" t="n">
        <v>13970.61709137931</v>
      </c>
      <c r="BW70" s="2" t="n">
        <v>78895.12837965517</v>
      </c>
      <c r="BX70" s="2" t="n">
        <v>23675.44</v>
      </c>
      <c r="BY70" s="2" t="n">
        <v>1728.9</v>
      </c>
      <c r="BZ70" s="2" t="n">
        <v>9561.32</v>
      </c>
      <c r="CA70" s="2" t="n">
        <v>25404.34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1245</v>
      </c>
      <c r="B71" t="inlineStr">
        <is>
          <t>Plac Dworcowy 1, 80-321 Gdańsk</t>
        </is>
      </c>
      <c r="C71" t="inlineStr">
        <is>
          <t>Gdańsk Oliwa</t>
        </is>
      </c>
      <c r="D71" t="inlineStr">
        <is>
          <t>ST|40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3411.43</v>
      </c>
      <c r="L71" s="2" t="n">
        <v>283.9699601851852</v>
      </c>
      <c r="M71" s="2" t="n">
        <v>3158.731481481481</v>
      </c>
      <c r="N71" s="2" t="n">
        <v>1024.94</v>
      </c>
      <c r="O71" s="2" t="n">
        <v>2197.47</v>
      </c>
      <c r="P71" s="2" t="n">
        <v>189.02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4701.84</v>
      </c>
      <c r="AP71" s="2" t="n">
        <v>343.9308888888889</v>
      </c>
      <c r="AQ71" s="2" t="n">
        <v>4353.555555555556</v>
      </c>
      <c r="AR71" s="2" t="n">
        <v>1223.27</v>
      </c>
      <c r="AS71" s="2" t="n">
        <v>3397.07</v>
      </c>
      <c r="AT71" s="2" t="n">
        <v>81.5</v>
      </c>
      <c r="AU71" s="2" t="n">
        <v>1794.75</v>
      </c>
      <c r="AV71" s="2" t="n">
        <v>71.45763888888888</v>
      </c>
      <c r="AW71" s="2" t="n">
        <v>1661.805555555555</v>
      </c>
      <c r="AX71" s="2" t="n">
        <v>593.35</v>
      </c>
      <c r="AY71" s="2" t="n">
        <v>1186</v>
      </c>
      <c r="AZ71" s="2" t="n">
        <v>15.4</v>
      </c>
      <c r="BA71" s="2" t="n">
        <v>9908.02</v>
      </c>
      <c r="BB71" s="2" t="n">
        <v>7066.459999999999</v>
      </c>
      <c r="BC71" s="2">
        <f>F71+L71+R71+X71+AD71+AJ71+AP71+AV71+IF(BE71="",0,BE71)</f>
        <v/>
      </c>
      <c r="BD71" s="2" t="n">
        <v>108.823484</v>
      </c>
      <c r="BE71" s="2" t="n"/>
      <c r="BF71" s="2" t="n">
        <v>9174.092592592591</v>
      </c>
      <c r="BG71" s="2" t="n">
        <v>0</v>
      </c>
      <c r="BH71" s="2" t="n">
        <v>0</v>
      </c>
      <c r="BI71" s="2" t="n">
        <v>36269.25</v>
      </c>
      <c r="BJ71" s="2" t="n">
        <v>69.65810344827587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95.39721</v>
      </c>
      <c r="BQ71" s="2" t="n">
        <v>28217.64459482759</v>
      </c>
      <c r="BR71" s="2" t="n">
        <v>64676.94990827586</v>
      </c>
      <c r="BS71" s="2" t="n">
        <v>878.5887931034483</v>
      </c>
      <c r="BT71" s="2" t="n">
        <v>0</v>
      </c>
      <c r="BU71" s="2" t="n">
        <v>13092.02829827586</v>
      </c>
      <c r="BV71" s="2" t="n">
        <v>13970.61709137931</v>
      </c>
      <c r="BW71" s="2" t="n">
        <v>78647.56699965517</v>
      </c>
      <c r="BX71" s="2" t="n">
        <v>6780.54</v>
      </c>
      <c r="BY71" s="2" t="n">
        <v>285.92</v>
      </c>
      <c r="BZ71" s="2" t="n">
        <v>2841.56</v>
      </c>
      <c r="CA71" s="2" t="n">
        <v>7066.46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1246</v>
      </c>
      <c r="B72" t="inlineStr">
        <is>
          <t>Dworcowa 1, 63-400 Ostrów Wlkp.</t>
        </is>
      </c>
      <c r="C72" t="inlineStr">
        <is>
          <t>Ostrów Wielkopolski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4539.46</v>
      </c>
      <c r="L72" s="2" t="n">
        <v>377.868012962963</v>
      </c>
      <c r="M72" s="2" t="n">
        <v>4203.203703703703</v>
      </c>
      <c r="N72" s="2" t="n">
        <v>1542.11</v>
      </c>
      <c r="O72" s="2" t="n">
        <v>2870.96</v>
      </c>
      <c r="P72" s="2" t="n">
        <v>126.39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9777.460000000001</v>
      </c>
      <c r="AD72" s="2" t="n">
        <v>624.6710555555557</v>
      </c>
      <c r="AE72" s="2" t="n">
        <v>9053.203703703704</v>
      </c>
      <c r="AF72" s="2" t="n">
        <v>2362.55</v>
      </c>
      <c r="AG72" s="2" t="n">
        <v>7116.15</v>
      </c>
      <c r="AH72" s="2" t="n">
        <v>298.76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9788.01</v>
      </c>
      <c r="AP72" s="2" t="n">
        <v>715.9748055555556</v>
      </c>
      <c r="AQ72" s="2" t="n">
        <v>9062.972222222223</v>
      </c>
      <c r="AR72" s="2" t="n">
        <v>2479.82</v>
      </c>
      <c r="AS72" s="2" t="n">
        <v>6923.07</v>
      </c>
      <c r="AT72" s="2" t="n">
        <v>385.12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24104.93</v>
      </c>
      <c r="BB72" s="2" t="n">
        <v>17720.45</v>
      </c>
      <c r="BC72" s="2">
        <f>F72+L72+R72+X72+AD72+AJ72+AP72+AV72+IF(BE72="",0,BE72)</f>
        <v/>
      </c>
      <c r="BD72" s="2" t="n">
        <v>272.89493</v>
      </c>
      <c r="BE72" s="2" t="n"/>
      <c r="BF72" s="2" t="n">
        <v>22319.37962962963</v>
      </c>
      <c r="BG72" s="2" t="n">
        <v>0</v>
      </c>
      <c r="BH72" s="2" t="n">
        <v>113.4</v>
      </c>
      <c r="BI72" s="2" t="n">
        <v>36269.25</v>
      </c>
      <c r="BJ72" s="2" t="n">
        <v>69.65810344827587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239.226075</v>
      </c>
      <c r="BQ72" s="2" t="n">
        <v>28217.64459482759</v>
      </c>
      <c r="BR72" s="2" t="n">
        <v>64934.17877327586</v>
      </c>
      <c r="BS72" s="2" t="n">
        <v>878.5887931034483</v>
      </c>
      <c r="BT72" s="2" t="n">
        <v>0</v>
      </c>
      <c r="BU72" s="2" t="n">
        <v>13114.70829827586</v>
      </c>
      <c r="BV72" s="2" t="n">
        <v>13993.29709137931</v>
      </c>
      <c r="BW72" s="2" t="n">
        <v>78927.47586465516</v>
      </c>
      <c r="BX72" s="2" t="n">
        <v>16910.18</v>
      </c>
      <c r="BY72" s="2" t="n">
        <v>810.27</v>
      </c>
      <c r="BZ72" s="2" t="n">
        <v>6384.48</v>
      </c>
      <c r="CA72" s="2" t="n">
        <v>17720.45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1247</v>
      </c>
      <c r="B73" t="inlineStr">
        <is>
          <t>Kujawska 1, 87-100 Toruń</t>
        </is>
      </c>
      <c r="C73" t="inlineStr">
        <is>
          <t>Toruń</t>
        </is>
      </c>
      <c r="D73" t="inlineStr">
        <is>
          <t>FAA2000</t>
        </is>
      </c>
      <c r="E73" s="2" t="n">
        <v>1116.7</v>
      </c>
      <c r="F73" s="2" t="n">
        <v>1000</v>
      </c>
      <c r="G73" s="2" t="n">
        <v>1033.981481481482</v>
      </c>
      <c r="H73" s="2" t="n">
        <v>333.5</v>
      </c>
      <c r="I73" s="2" t="n">
        <v>746.51</v>
      </c>
      <c r="J73" s="2" t="n">
        <v>36.69</v>
      </c>
      <c r="K73" s="2" t="n">
        <v>4008.96</v>
      </c>
      <c r="L73" s="2" t="n">
        <v>333.7088000000001</v>
      </c>
      <c r="M73" s="2" t="n">
        <v>3712</v>
      </c>
      <c r="N73" s="2" t="n">
        <v>1185.72</v>
      </c>
      <c r="O73" s="2" t="n">
        <v>2714.69</v>
      </c>
      <c r="P73" s="2" t="n">
        <v>108.55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9805.48</v>
      </c>
      <c r="AP73" s="2" t="n">
        <v>717.2527037037037</v>
      </c>
      <c r="AQ73" s="2" t="n">
        <v>9079.148148148148</v>
      </c>
      <c r="AR73" s="2" t="n">
        <v>3332.64</v>
      </c>
      <c r="AS73" s="2" t="n">
        <v>6102.93</v>
      </c>
      <c r="AT73" s="2" t="n">
        <v>369.91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14931.14</v>
      </c>
      <c r="BB73" s="2" t="n">
        <v>10079.28</v>
      </c>
      <c r="BC73" s="2">
        <f>F73+L73+R73+X73+AD73+AJ73+AP73+AV73+IF(BE73="",0,BE73)</f>
        <v/>
      </c>
      <c r="BD73" s="2" t="n">
        <v>155.220912</v>
      </c>
      <c r="BE73" s="2" t="n"/>
      <c r="BF73" s="2" t="n">
        <v>13825.12962962963</v>
      </c>
      <c r="BG73" s="2" t="n">
        <v>0</v>
      </c>
      <c r="BH73" s="2" t="n">
        <v>0</v>
      </c>
      <c r="BI73" s="2" t="n">
        <v>36269.25</v>
      </c>
      <c r="BJ73" s="2" t="n">
        <v>69.65810344827587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136.07028</v>
      </c>
      <c r="BQ73" s="2" t="n">
        <v>28217.64459482759</v>
      </c>
      <c r="BR73" s="2" t="n">
        <v>64717.62297827586</v>
      </c>
      <c r="BS73" s="2" t="n">
        <v>878.5887931034483</v>
      </c>
      <c r="BT73" s="2" t="n">
        <v>0</v>
      </c>
      <c r="BU73" s="2" t="n">
        <v>13092.02829827586</v>
      </c>
      <c r="BV73" s="2" t="n">
        <v>13970.61709137931</v>
      </c>
      <c r="BW73" s="2" t="n">
        <v>78688.24006965518</v>
      </c>
      <c r="BX73" s="2" t="n">
        <v>9564.130000000001</v>
      </c>
      <c r="BY73" s="2" t="n">
        <v>515.1500000000001</v>
      </c>
      <c r="BZ73" s="2" t="n">
        <v>4851.86</v>
      </c>
      <c r="CA73" s="2" t="n">
        <v>10079.28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1249</v>
      </c>
      <c r="B74" t="inlineStr">
        <is>
          <t>Stefana Okrzei 65, 87-810 Włocławek</t>
        </is>
      </c>
      <c r="C74" t="inlineStr">
        <is>
          <t>Włocławek</t>
        </is>
      </c>
      <c r="D74" t="inlineStr">
        <is>
          <t>FAA2000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2678.25</v>
      </c>
      <c r="L74" s="2" t="n">
        <v>222.9395138888889</v>
      </c>
      <c r="M74" s="2" t="n">
        <v>2479.861111111111</v>
      </c>
      <c r="N74" s="2" t="n">
        <v>675.36</v>
      </c>
      <c r="O74" s="2" t="n">
        <v>1645.51</v>
      </c>
      <c r="P74" s="2" t="n">
        <v>357.38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4483.27</v>
      </c>
      <c r="AP74" s="2" t="n">
        <v>327.9428981481481</v>
      </c>
      <c r="AQ74" s="2" t="n">
        <v>4151.175925925925</v>
      </c>
      <c r="AR74" s="2" t="n">
        <v>1533.45</v>
      </c>
      <c r="AS74" s="2" t="n">
        <v>2696.13</v>
      </c>
      <c r="AT74" s="2" t="n">
        <v>253.69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7161.52</v>
      </c>
      <c r="BB74" s="2" t="n">
        <v>4952.71</v>
      </c>
      <c r="BC74" s="2">
        <f>F74+L74+R74+X74+AD74+AJ74+AP74+AV74+IF(BE74="",0,BE74)</f>
        <v/>
      </c>
      <c r="BD74" s="2" t="n">
        <v>76.27173400000001</v>
      </c>
      <c r="BE74" s="2" t="n"/>
      <c r="BF74" s="2" t="n">
        <v>6631.037037037036</v>
      </c>
      <c r="BG74" s="2" t="n">
        <v>694.6900000000001</v>
      </c>
      <c r="BH74" s="2" t="n">
        <v>106</v>
      </c>
      <c r="BI74" s="2" t="n">
        <v>36269.25</v>
      </c>
      <c r="BJ74" s="2" t="n">
        <v>69.65810344827587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66.86158499999999</v>
      </c>
      <c r="BQ74" s="2" t="n">
        <v>28217.64459482759</v>
      </c>
      <c r="BR74" s="2" t="n">
        <v>65449.10428327586</v>
      </c>
      <c r="BS74" s="2" t="n">
        <v>878.5887931034483</v>
      </c>
      <c r="BT74" s="2" t="n">
        <v>0</v>
      </c>
      <c r="BU74" s="2" t="n">
        <v>13252.16629827586</v>
      </c>
      <c r="BV74" s="2" t="n">
        <v>14130.75509137931</v>
      </c>
      <c r="BW74" s="2" t="n">
        <v>79579.85937465518</v>
      </c>
      <c r="BX74" s="2" t="n">
        <v>4341.64</v>
      </c>
      <c r="BY74" s="2" t="n">
        <v>611.0699999999999</v>
      </c>
      <c r="BZ74" s="2" t="n">
        <v>2208.81</v>
      </c>
      <c r="CA74" s="2" t="n">
        <v>4952.71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1250</v>
      </c>
      <c r="B75" t="inlineStr">
        <is>
          <t>Kolejowa 3, 58-540 Karpacz</t>
        </is>
      </c>
      <c r="C75" t="inlineStr">
        <is>
          <t>Karpacz</t>
        </is>
      </c>
      <c r="D75" t="inlineStr">
        <is>
          <t>ST|40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11815.96</v>
      </c>
      <c r="R75" s="2" t="n">
        <v>2500</v>
      </c>
      <c r="S75" s="2" t="n">
        <v>10940.7037037037</v>
      </c>
      <c r="T75" s="2" t="n">
        <v>0</v>
      </c>
      <c r="U75" s="2" t="n">
        <v>9685.549999999999</v>
      </c>
      <c r="V75" s="2" t="n">
        <v>2130.41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11815.96</v>
      </c>
      <c r="BB75" s="2" t="n">
        <v>11815.96</v>
      </c>
      <c r="BC75" s="2">
        <f>F75+L75+R75+X75+AD75+AJ75+AP75+AV75+IF(BE75="",0,BE75)</f>
        <v/>
      </c>
      <c r="BD75" s="2" t="n">
        <v>181.965784</v>
      </c>
      <c r="BE75" s="2" t="n"/>
      <c r="BF75" s="2" t="n">
        <v>10940.7037037037</v>
      </c>
      <c r="BG75" s="2" t="n">
        <v>0</v>
      </c>
      <c r="BH75" s="2" t="n">
        <v>0</v>
      </c>
      <c r="BI75" s="2" t="n">
        <v>36269.25</v>
      </c>
      <c r="BJ75" s="2" t="n">
        <v>69.65810344827587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159.51546</v>
      </c>
      <c r="BQ75" s="2" t="n">
        <v>28217.64459482759</v>
      </c>
      <c r="BR75" s="2" t="n">
        <v>64741.06815827586</v>
      </c>
      <c r="BS75" s="2" t="n">
        <v>878.5887931034483</v>
      </c>
      <c r="BT75" s="2" t="n">
        <v>0</v>
      </c>
      <c r="BU75" s="2" t="n">
        <v>13092.02829827586</v>
      </c>
      <c r="BV75" s="2" t="n">
        <v>13970.61709137931</v>
      </c>
      <c r="BW75" s="2" t="n">
        <v>78711.68524965517</v>
      </c>
      <c r="BX75" s="2" t="n">
        <v>9685.549999999999</v>
      </c>
      <c r="BY75" s="2" t="n">
        <v>2130.41</v>
      </c>
      <c r="BZ75" s="2" t="n">
        <v>0</v>
      </c>
      <c r="CA75" s="2" t="n">
        <v>11815.96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1252</v>
      </c>
      <c r="B76" t="inlineStr">
        <is>
          <t>Krakowska 48, 46-020 Opole</t>
        </is>
      </c>
      <c r="C76" t="inlineStr">
        <is>
          <t>Opole Główne</t>
        </is>
      </c>
      <c r="D76" t="inlineStr">
        <is>
          <t>ST|40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7421.31</v>
      </c>
      <c r="L76" s="2" t="n">
        <v>617.7553416666667</v>
      </c>
      <c r="M76" s="2" t="n">
        <v>6871.583333333333</v>
      </c>
      <c r="N76" s="2" t="n">
        <v>2180.38</v>
      </c>
      <c r="O76" s="2" t="n">
        <v>5240.93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13277.91</v>
      </c>
      <c r="AP76" s="2" t="n">
        <v>971.2545277777776</v>
      </c>
      <c r="AQ76" s="2" t="n">
        <v>12294.36111111111</v>
      </c>
      <c r="AR76" s="2" t="n">
        <v>3564.5</v>
      </c>
      <c r="AS76" s="2" t="n">
        <v>9713.41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20699.22</v>
      </c>
      <c r="BB76" s="2" t="n">
        <v>14954.34</v>
      </c>
      <c r="BC76" s="2">
        <f>F76+L76+R76+X76+AD76+AJ76+AP76+AV76+IF(BE76="",0,BE76)</f>
        <v/>
      </c>
      <c r="BD76" s="2" t="n">
        <v>230.296836</v>
      </c>
      <c r="BE76" s="2" t="n"/>
      <c r="BF76" s="2" t="n">
        <v>19165.94444444444</v>
      </c>
      <c r="BG76" s="2" t="n">
        <v>366.96</v>
      </c>
      <c r="BH76" s="2" t="n">
        <v>0</v>
      </c>
      <c r="BI76" s="2" t="n">
        <v>36269.25</v>
      </c>
      <c r="BJ76" s="2" t="n">
        <v>69.65810344827587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201.88359</v>
      </c>
      <c r="BQ76" s="2" t="n">
        <v>28217.64459482759</v>
      </c>
      <c r="BR76" s="2" t="n">
        <v>65150.39628827586</v>
      </c>
      <c r="BS76" s="2" t="n">
        <v>878.5887931034483</v>
      </c>
      <c r="BT76" s="2" t="n">
        <v>0</v>
      </c>
      <c r="BU76" s="2" t="n">
        <v>13165.42029827586</v>
      </c>
      <c r="BV76" s="2" t="n">
        <v>14044.00909137931</v>
      </c>
      <c r="BW76" s="2" t="n">
        <v>79194.40537965516</v>
      </c>
      <c r="BX76" s="2" t="n">
        <v>14954.34</v>
      </c>
      <c r="BY76" s="2" t="n">
        <v>0</v>
      </c>
      <c r="BZ76" s="2" t="n">
        <v>5744.88</v>
      </c>
      <c r="CA76" s="2" t="n">
        <v>14954.34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1254</v>
      </c>
      <c r="B77" t="inlineStr">
        <is>
          <t>Stacyjna 5, 53-600 Wrocław</t>
        </is>
      </c>
      <c r="C77" t="inlineStr">
        <is>
          <t>Wrocław Mikołajów</t>
        </is>
      </c>
      <c r="D77" t="inlineStr">
        <is>
          <t>FAA2000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2725.83</v>
      </c>
      <c r="L77" s="2" t="n">
        <v>226.9001083333334</v>
      </c>
      <c r="M77" s="2" t="n">
        <v>2523.916666666667</v>
      </c>
      <c r="N77" s="2" t="n">
        <v>1090.21</v>
      </c>
      <c r="O77" s="2" t="n">
        <v>1482.97</v>
      </c>
      <c r="P77" s="2" t="n">
        <v>152.65</v>
      </c>
      <c r="Q77" s="2" t="n">
        <v>10885.41</v>
      </c>
      <c r="R77" s="2" t="n">
        <v>1600</v>
      </c>
      <c r="S77" s="2" t="n">
        <v>10079.08333333333</v>
      </c>
      <c r="T77" s="2" t="n">
        <v>2451.45</v>
      </c>
      <c r="U77" s="2" t="n">
        <v>8169.46</v>
      </c>
      <c r="V77" s="2" t="n">
        <v>264.5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8261.85</v>
      </c>
      <c r="AP77" s="2" t="n">
        <v>604.3390277777778</v>
      </c>
      <c r="AQ77" s="2" t="n">
        <v>7649.861111111111</v>
      </c>
      <c r="AR77" s="2" t="n">
        <v>1623.14</v>
      </c>
      <c r="AS77" s="2" t="n">
        <v>6266.12</v>
      </c>
      <c r="AT77" s="2" t="n">
        <v>372.59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21873.09</v>
      </c>
      <c r="BB77" s="2" t="n">
        <v>16708.29</v>
      </c>
      <c r="BC77" s="2">
        <f>F77+L77+R77+X77+AD77+AJ77+AP77+AV77+IF(BE77="",0,BE77)</f>
        <v/>
      </c>
      <c r="BD77" s="2" t="n">
        <v>257.307666</v>
      </c>
      <c r="BE77" s="2" t="n"/>
      <c r="BF77" s="2" t="n">
        <v>20252.86111111111</v>
      </c>
      <c r="BG77" s="2" t="n">
        <v>1056.72</v>
      </c>
      <c r="BH77" s="2" t="n">
        <v>0</v>
      </c>
      <c r="BI77" s="2" t="n">
        <v>36269.25</v>
      </c>
      <c r="BJ77" s="2" t="n">
        <v>69.65810344827587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225.561915</v>
      </c>
      <c r="BQ77" s="2" t="n">
        <v>28217.64459482759</v>
      </c>
      <c r="BR77" s="2" t="n">
        <v>65863.83461327586</v>
      </c>
      <c r="BS77" s="2" t="n">
        <v>878.5887931034483</v>
      </c>
      <c r="BT77" s="2" t="n">
        <v>0</v>
      </c>
      <c r="BU77" s="2" t="n">
        <v>13303.37229827586</v>
      </c>
      <c r="BV77" s="2" t="n">
        <v>14181.96109137931</v>
      </c>
      <c r="BW77" s="2" t="n">
        <v>80045.79570465517</v>
      </c>
      <c r="BX77" s="2" t="n">
        <v>15918.55</v>
      </c>
      <c r="BY77" s="2" t="n">
        <v>789.74</v>
      </c>
      <c r="BZ77" s="2" t="n">
        <v>5164.8</v>
      </c>
      <c r="CA77" s="2" t="n">
        <v>16708.29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1256</v>
      </c>
      <c r="B78" t="inlineStr">
        <is>
          <t>Dworcowa 2, 61-801 Poznań</t>
        </is>
      </c>
      <c r="C78" t="inlineStr">
        <is>
          <t>Poznań Główny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2936.83</v>
      </c>
      <c r="L78" s="2" t="n">
        <v>244.4639046296296</v>
      </c>
      <c r="M78" s="2" t="n">
        <v>2719.287037037037</v>
      </c>
      <c r="N78" s="2" t="n">
        <v>270.64</v>
      </c>
      <c r="O78" s="2" t="n">
        <v>2047.04</v>
      </c>
      <c r="P78" s="2" t="n">
        <v>619.15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5975.68</v>
      </c>
      <c r="AD78" s="2" t="n">
        <v>381.7795555555555</v>
      </c>
      <c r="AE78" s="2" t="n">
        <v>5533.037037037036</v>
      </c>
      <c r="AF78" s="2" t="n">
        <v>310.14</v>
      </c>
      <c r="AG78" s="2" t="n">
        <v>5115.85</v>
      </c>
      <c r="AH78" s="2" t="n">
        <v>549.6900000000001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2159.35</v>
      </c>
      <c r="AP78" s="2" t="n">
        <v>157.9524537037037</v>
      </c>
      <c r="AQ78" s="2" t="n">
        <v>1999.398148148148</v>
      </c>
      <c r="AR78" s="2" t="n">
        <v>115.01</v>
      </c>
      <c r="AS78" s="2" t="n">
        <v>1890.85</v>
      </c>
      <c r="AT78" s="2" t="n">
        <v>153.49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11071.86</v>
      </c>
      <c r="BB78" s="2" t="n">
        <v>10376.07</v>
      </c>
      <c r="BC78" s="2">
        <f>F78+L78+R78+X78+AD78+AJ78+AP78+AV78+IF(BE78="",0,BE78)</f>
        <v/>
      </c>
      <c r="BD78" s="2" t="n">
        <v>159.791478</v>
      </c>
      <c r="BE78" s="2" t="n"/>
      <c r="BF78" s="2" t="n">
        <v>10251.72222222222</v>
      </c>
      <c r="BG78" s="2" t="n">
        <v>458.58</v>
      </c>
      <c r="BH78" s="2" t="n">
        <v>0</v>
      </c>
      <c r="BI78" s="2" t="n">
        <v>36269.25</v>
      </c>
      <c r="BJ78" s="2" t="n">
        <v>69.65810344827587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140.076945</v>
      </c>
      <c r="BQ78" s="2" t="n">
        <v>28217.64459482759</v>
      </c>
      <c r="BR78" s="2" t="n">
        <v>65180.20964327586</v>
      </c>
      <c r="BS78" s="2" t="n">
        <v>878.5887931034483</v>
      </c>
      <c r="BT78" s="2" t="n">
        <v>0</v>
      </c>
      <c r="BU78" s="2" t="n">
        <v>13183.74429827586</v>
      </c>
      <c r="BV78" s="2" t="n">
        <v>14062.33309137931</v>
      </c>
      <c r="BW78" s="2" t="n">
        <v>79242.54273465517</v>
      </c>
      <c r="BX78" s="2" t="n">
        <v>9053.74</v>
      </c>
      <c r="BY78" s="2" t="n">
        <v>1322.33</v>
      </c>
      <c r="BZ78" s="2" t="n">
        <v>695.79</v>
      </c>
      <c r="CA78" s="2" t="n">
        <v>10376.07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1257</v>
      </c>
      <c r="B79" t="inlineStr">
        <is>
          <t>Dworcowa 2, 61-801 Poznań</t>
        </is>
      </c>
      <c r="C79" t="inlineStr">
        <is>
          <t>Poznań Główny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2729.23</v>
      </c>
      <c r="L79" s="2" t="n">
        <v>227.1831268518519</v>
      </c>
      <c r="M79" s="2" t="n">
        <v>2527.064814814815</v>
      </c>
      <c r="N79" s="2" t="n">
        <v>1330.39</v>
      </c>
      <c r="O79" s="2" t="n">
        <v>1398.84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6391.77</v>
      </c>
      <c r="AD79" s="2" t="n">
        <v>408.3630833333333</v>
      </c>
      <c r="AE79" s="2" t="n">
        <v>5918.305555555556</v>
      </c>
      <c r="AF79" s="2" t="n">
        <v>2327.18</v>
      </c>
      <c r="AG79" s="2" t="n">
        <v>4064.59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1873.35</v>
      </c>
      <c r="AP79" s="2" t="n">
        <v>137.0320833333333</v>
      </c>
      <c r="AQ79" s="2" t="n">
        <v>1734.583333333333</v>
      </c>
      <c r="AR79" s="2" t="n">
        <v>613.01</v>
      </c>
      <c r="AS79" s="2" t="n">
        <v>1260.34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10994.35</v>
      </c>
      <c r="BB79" s="2" t="n">
        <v>6723.77</v>
      </c>
      <c r="BC79" s="2">
        <f>F79+L79+R79+X79+AD79+AJ79+AP79+AV79+IF(BE79="",0,BE79)</f>
        <v/>
      </c>
      <c r="BD79" s="2" t="n">
        <v>103.546058</v>
      </c>
      <c r="BE79" s="2" t="n"/>
      <c r="BF79" s="2" t="n">
        <v>10179.9537037037</v>
      </c>
      <c r="BG79" s="2" t="n">
        <v>458.58</v>
      </c>
      <c r="BH79" s="2" t="n">
        <v>0</v>
      </c>
      <c r="BI79" s="2" t="n">
        <v>36269.25</v>
      </c>
      <c r="BJ79" s="2" t="n">
        <v>69.65810344827587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90.770895</v>
      </c>
      <c r="BQ79" s="2" t="n">
        <v>28217.64459482759</v>
      </c>
      <c r="BR79" s="2" t="n">
        <v>65130.90359327586</v>
      </c>
      <c r="BS79" s="2" t="n">
        <v>878.5887931034483</v>
      </c>
      <c r="BT79" s="2" t="n">
        <v>0</v>
      </c>
      <c r="BU79" s="2" t="n">
        <v>13183.74429827586</v>
      </c>
      <c r="BV79" s="2" t="n">
        <v>14062.33309137931</v>
      </c>
      <c r="BW79" s="2" t="n">
        <v>79193.23668465517</v>
      </c>
      <c r="BX79" s="2" t="n">
        <v>6723.77</v>
      </c>
      <c r="BY79" s="2" t="n">
        <v>0</v>
      </c>
      <c r="BZ79" s="2" t="n">
        <v>4270.58</v>
      </c>
      <c r="CA79" s="2" t="n">
        <v>6723.77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1259</v>
      </c>
      <c r="B80" t="inlineStr">
        <is>
          <t>Kolejowa 4, 64-020 Czempin</t>
        </is>
      </c>
      <c r="C80" t="inlineStr">
        <is>
          <t>Czempiń</t>
        </is>
      </c>
      <c r="D80" t="inlineStr">
        <is>
          <t>ST|40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46.2</v>
      </c>
      <c r="L80" s="2" t="n">
        <v>3.845722222222223</v>
      </c>
      <c r="M80" s="2" t="n">
        <v>42.77777777777778</v>
      </c>
      <c r="N80" s="2" t="n">
        <v>46.2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1603.13</v>
      </c>
      <c r="AD80" s="2" t="n">
        <v>102.4221944444444</v>
      </c>
      <c r="AE80" s="2" t="n">
        <v>1484.37962962963</v>
      </c>
      <c r="AF80" s="2" t="n">
        <v>834.28</v>
      </c>
      <c r="AG80" s="2" t="n">
        <v>697.39</v>
      </c>
      <c r="AH80" s="2" t="n">
        <v>71.45999999999999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1472.36</v>
      </c>
      <c r="AP80" s="2" t="n">
        <v>107.7004074074074</v>
      </c>
      <c r="AQ80" s="2" t="n">
        <v>1363.296296296296</v>
      </c>
      <c r="AR80" s="2" t="n">
        <v>1030.64</v>
      </c>
      <c r="AS80" s="2" t="n">
        <v>402.92</v>
      </c>
      <c r="AT80" s="2" t="n">
        <v>38.8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3121.690000000001</v>
      </c>
      <c r="BB80" s="2" t="n">
        <v>1210.57</v>
      </c>
      <c r="BC80" s="2">
        <f>F80+L80+R80+X80+AD80+AJ80+AP80+AV80+IF(BE80="",0,BE80)</f>
        <v/>
      </c>
      <c r="BD80" s="2" t="n">
        <v>18.642778</v>
      </c>
      <c r="BE80" s="2" t="n"/>
      <c r="BF80" s="2" t="n">
        <v>2890.453703703703</v>
      </c>
      <c r="BG80" s="2" t="n">
        <v>0</v>
      </c>
      <c r="BH80" s="2" t="n">
        <v>0</v>
      </c>
      <c r="BI80" s="2" t="n">
        <v>36269.25</v>
      </c>
      <c r="BJ80" s="2" t="n">
        <v>69.65810344827587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16.342695</v>
      </c>
      <c r="BQ80" s="2" t="n">
        <v>28217.64459482759</v>
      </c>
      <c r="BR80" s="2" t="n">
        <v>64597.89539327586</v>
      </c>
      <c r="BS80" s="2" t="n">
        <v>878.5887931034483</v>
      </c>
      <c r="BT80" s="2" t="n">
        <v>0</v>
      </c>
      <c r="BU80" s="2" t="n">
        <v>13092.02829827586</v>
      </c>
      <c r="BV80" s="2" t="n">
        <v>13970.61709137931</v>
      </c>
      <c r="BW80" s="2" t="n">
        <v>78568.51248465516</v>
      </c>
      <c r="BX80" s="2" t="n">
        <v>1100.31</v>
      </c>
      <c r="BY80" s="2" t="n">
        <v>110.26</v>
      </c>
      <c r="BZ80" s="2" t="n">
        <v>1911.12</v>
      </c>
      <c r="CA80" s="2" t="n">
        <v>1210.57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1261</v>
      </c>
      <c r="B81" t="inlineStr">
        <is>
          <t>Pawia 5a, 31-154 Kraków</t>
        </is>
      </c>
      <c r="C81" t="inlineStr">
        <is>
          <t>Kraków Główny</t>
        </is>
      </c>
      <c r="D81" t="inlineStr">
        <is>
          <t>FAA2000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15145.57</v>
      </c>
      <c r="L81" s="2" t="n">
        <v>1260.728465740741</v>
      </c>
      <c r="M81" s="2" t="n">
        <v>14023.67592592593</v>
      </c>
      <c r="N81" s="2" t="n">
        <v>2536.02</v>
      </c>
      <c r="O81" s="2" t="n">
        <v>12393.48</v>
      </c>
      <c r="P81" s="2" t="n">
        <v>216.07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6272.88</v>
      </c>
      <c r="X81" s="2" t="n">
        <v>266</v>
      </c>
      <c r="Y81" s="2" t="n">
        <v>5808.222222222222</v>
      </c>
      <c r="Z81" s="2" t="n">
        <v>658.53</v>
      </c>
      <c r="AA81" s="2" t="n">
        <v>5494.35</v>
      </c>
      <c r="AB81" s="2" t="n">
        <v>120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7026.51</v>
      </c>
      <c r="AP81" s="2" t="n">
        <v>513.9761944444444</v>
      </c>
      <c r="AQ81" s="2" t="n">
        <v>6506.027777777777</v>
      </c>
      <c r="AR81" s="2" t="n">
        <v>1111.05</v>
      </c>
      <c r="AS81" s="2" t="n">
        <v>5665.37</v>
      </c>
      <c r="AT81" s="2" t="n">
        <v>250.09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28444.96</v>
      </c>
      <c r="BB81" s="2" t="n">
        <v>24139.36</v>
      </c>
      <c r="BC81" s="2">
        <f>F81+L81+R81+X81+AD81+AJ81+AP81+AV81+IF(BE81="",0,BE81)</f>
        <v/>
      </c>
      <c r="BD81" s="2" t="n">
        <v>361.078879</v>
      </c>
      <c r="BE81" s="2" t="n"/>
      <c r="BF81" s="2" t="n">
        <v>26337.92592592592</v>
      </c>
      <c r="BG81" s="2" t="n">
        <v>0</v>
      </c>
      <c r="BH81" s="2" t="n">
        <v>0</v>
      </c>
      <c r="BI81" s="2" t="n">
        <v>17549.63709677419</v>
      </c>
      <c r="BJ81" s="2" t="n">
        <v>69.65810344827587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325.88136</v>
      </c>
      <c r="BQ81" s="2" t="n">
        <v>28217.64459482759</v>
      </c>
      <c r="BR81" s="2" t="n">
        <v>46187.82115505006</v>
      </c>
      <c r="BS81" s="2" t="n">
        <v>878.5887931034483</v>
      </c>
      <c r="BT81" s="2" t="n">
        <v>0</v>
      </c>
      <c r="BU81" s="2" t="n">
        <v>9348.1057176307</v>
      </c>
      <c r="BV81" s="2" t="n">
        <v>10226.69451073415</v>
      </c>
      <c r="BW81" s="2" t="n">
        <v>56414.5156657842</v>
      </c>
      <c r="BX81" s="2" t="n">
        <v>23553.2</v>
      </c>
      <c r="BY81" s="2" t="n">
        <v>586.16</v>
      </c>
      <c r="BZ81" s="2" t="n">
        <v>4305.6</v>
      </c>
      <c r="CA81" s="2" t="n">
        <v>24139.36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1262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11385.38</v>
      </c>
      <c r="L82" s="2" t="n">
        <v>947.7274648148149</v>
      </c>
      <c r="M82" s="2" t="n">
        <v>10542.01851851852</v>
      </c>
      <c r="N82" s="2" t="n">
        <v>1474.75</v>
      </c>
      <c r="O82" s="2" t="n">
        <v>9879.280000000001</v>
      </c>
      <c r="P82" s="2" t="n">
        <v>31.35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15353.78</v>
      </c>
      <c r="X82" s="2" t="n">
        <v>750</v>
      </c>
      <c r="Y82" s="2" t="n">
        <v>14216.46296296296</v>
      </c>
      <c r="Z82" s="2" t="n">
        <v>1685.39</v>
      </c>
      <c r="AA82" s="2" t="n">
        <v>13460.61</v>
      </c>
      <c r="AB82" s="2" t="n">
        <v>207.78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6458.01</v>
      </c>
      <c r="AP82" s="2" t="n">
        <v>472.3914722222222</v>
      </c>
      <c r="AQ82" s="2" t="n">
        <v>5979.638888888889</v>
      </c>
      <c r="AR82" s="2" t="n">
        <v>1495.71</v>
      </c>
      <c r="AS82" s="2" t="n">
        <v>4681.22</v>
      </c>
      <c r="AT82" s="2" t="n">
        <v>281.08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33197.17000000001</v>
      </c>
      <c r="BB82" s="2" t="n">
        <v>28541.32</v>
      </c>
      <c r="BC82" s="2">
        <f>F82+L82+R82+X82+AD82+AJ82+AP82+AV82+IF(BE82="",0,BE82)</f>
        <v/>
      </c>
      <c r="BD82" s="2" t="n">
        <v>413.566387</v>
      </c>
      <c r="BE82" s="2" t="n"/>
      <c r="BF82" s="2" t="n">
        <v>30738.12037037037</v>
      </c>
      <c r="BG82" s="2" t="n">
        <v>0</v>
      </c>
      <c r="BH82" s="2" t="n">
        <v>0</v>
      </c>
      <c r="BI82" s="2" t="n">
        <v>36269.25</v>
      </c>
      <c r="BJ82" s="2" t="n">
        <v>69.65810344827587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385.30782</v>
      </c>
      <c r="BQ82" s="2" t="n">
        <v>28217.64459482759</v>
      </c>
      <c r="BR82" s="2" t="n">
        <v>64966.86051827586</v>
      </c>
      <c r="BS82" s="2" t="n">
        <v>878.5887931034483</v>
      </c>
      <c r="BT82" s="2" t="n">
        <v>0</v>
      </c>
      <c r="BU82" s="2" t="n">
        <v>13092.02829827586</v>
      </c>
      <c r="BV82" s="2" t="n">
        <v>13970.61709137931</v>
      </c>
      <c r="BW82" s="2" t="n">
        <v>78937.47760965518</v>
      </c>
      <c r="BX82" s="2" t="n">
        <v>28021.11</v>
      </c>
      <c r="BY82" s="2" t="n">
        <v>520.21</v>
      </c>
      <c r="BZ82" s="2" t="n">
        <v>4655.85</v>
      </c>
      <c r="CA82" s="2" t="n">
        <v>28541.32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1263</v>
      </c>
      <c r="B83" t="inlineStr">
        <is>
          <t>Pawia 5a, 31-154 Kraków</t>
        </is>
      </c>
      <c r="C83" t="inlineStr">
        <is>
          <t>Kraków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48894.78</v>
      </c>
      <c r="L83" s="2" t="n">
        <v>4070.037705555555</v>
      </c>
      <c r="M83" s="2" t="n">
        <v>45272.94444444444</v>
      </c>
      <c r="N83" s="2" t="n">
        <v>5253.72</v>
      </c>
      <c r="O83" s="2" t="n">
        <v>42192.59</v>
      </c>
      <c r="P83" s="2" t="n">
        <v>1448.47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86213.78999999999</v>
      </c>
      <c r="X83" s="2" t="n">
        <v>750</v>
      </c>
      <c r="Y83" s="2" t="n">
        <v>79827.58333333333</v>
      </c>
      <c r="Z83" s="2" t="n">
        <v>7376.22</v>
      </c>
      <c r="AA83" s="2" t="n">
        <v>77769.2</v>
      </c>
      <c r="AB83" s="2" t="n">
        <v>1068.37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22468.56</v>
      </c>
      <c r="AP83" s="2" t="n">
        <v>1643.533555555555</v>
      </c>
      <c r="AQ83" s="2" t="n">
        <v>20804.22222222222</v>
      </c>
      <c r="AR83" s="2" t="n">
        <v>2609.24</v>
      </c>
      <c r="AS83" s="2" t="n">
        <v>18770.38</v>
      </c>
      <c r="AT83" s="2" t="n">
        <v>1088.94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157577.13</v>
      </c>
      <c r="BB83" s="2" t="n">
        <v>142337.95</v>
      </c>
      <c r="BC83" s="2">
        <f>F83+L83+R83+X83+AD83+AJ83+AP83+AV83+IF(BE83="",0,BE83)</f>
        <v/>
      </c>
      <c r="BD83" s="2" t="n">
        <v>2042.213047</v>
      </c>
      <c r="BE83" s="2" t="n"/>
      <c r="BF83" s="2" t="n">
        <v>145904.75</v>
      </c>
      <c r="BG83" s="2" t="n">
        <v>0</v>
      </c>
      <c r="BH83" s="2" t="n">
        <v>0</v>
      </c>
      <c r="BI83" s="2" t="n">
        <v>36269.25</v>
      </c>
      <c r="BJ83" s="2" t="n">
        <v>69.65810344827587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1921.562325</v>
      </c>
      <c r="BQ83" s="2" t="n">
        <v>28217.64459482759</v>
      </c>
      <c r="BR83" s="2" t="n">
        <v>66503.11502327587</v>
      </c>
      <c r="BS83" s="2" t="n">
        <v>878.5887931034483</v>
      </c>
      <c r="BT83" s="2" t="n">
        <v>0</v>
      </c>
      <c r="BU83" s="2" t="n">
        <v>13092.02829827586</v>
      </c>
      <c r="BV83" s="2" t="n">
        <v>13970.61709137931</v>
      </c>
      <c r="BW83" s="2" t="n">
        <v>80473.73211465517</v>
      </c>
      <c r="BX83" s="2" t="n">
        <v>138732.17</v>
      </c>
      <c r="BY83" s="2" t="n">
        <v>3605.78</v>
      </c>
      <c r="BZ83" s="2" t="n">
        <v>15239.18</v>
      </c>
      <c r="CA83" s="2" t="n">
        <v>142337.95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1264</v>
      </c>
      <c r="B84" t="inlineStr">
        <is>
          <t>Dworcowa 1, 66-400 Gorzów Wlkp</t>
        </is>
      </c>
      <c r="C84" t="inlineStr">
        <is>
          <t>Gorzów Wielkopolski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1655.27</v>
      </c>
      <c r="L84" s="2" t="n">
        <v>137.7859009259259</v>
      </c>
      <c r="M84" s="2" t="n">
        <v>1532.657407407407</v>
      </c>
      <c r="N84" s="2" t="n">
        <v>546.22</v>
      </c>
      <c r="O84" s="2" t="n">
        <v>992.88</v>
      </c>
      <c r="P84" s="2" t="n">
        <v>116.17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9481.639999999999</v>
      </c>
      <c r="AP84" s="2" t="n">
        <v>693.5644074074073</v>
      </c>
      <c r="AQ84" s="2" t="n">
        <v>8779.296296296296</v>
      </c>
      <c r="AR84" s="2" t="n">
        <v>1927.37</v>
      </c>
      <c r="AS84" s="2" t="n">
        <v>6786.37</v>
      </c>
      <c r="AT84" s="2" t="n">
        <v>767.9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11136.91</v>
      </c>
      <c r="BB84" s="2" t="n">
        <v>8663.32</v>
      </c>
      <c r="BC84" s="2">
        <f>F84+L84+R84+X84+AD84+AJ84+AP84+AV84+IF(BE84="",0,BE84)</f>
        <v/>
      </c>
      <c r="BD84" s="2" t="n">
        <v>133.415128</v>
      </c>
      <c r="BE84" s="2" t="n"/>
      <c r="BF84" s="2" t="n">
        <v>10311.9537037037</v>
      </c>
      <c r="BG84" s="2" t="n">
        <v>366.96</v>
      </c>
      <c r="BH84" s="2" t="n">
        <v>261</v>
      </c>
      <c r="BI84" s="2" t="n">
        <v>36269.25</v>
      </c>
      <c r="BJ84" s="2" t="n">
        <v>69.65810344827587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116.95482</v>
      </c>
      <c r="BQ84" s="2" t="n">
        <v>28217.64459482759</v>
      </c>
      <c r="BR84" s="2" t="n">
        <v>65326.46751827586</v>
      </c>
      <c r="BS84" s="2" t="n">
        <v>878.5887931034483</v>
      </c>
      <c r="BT84" s="2" t="n">
        <v>0</v>
      </c>
      <c r="BU84" s="2" t="n">
        <v>13217.62029827586</v>
      </c>
      <c r="BV84" s="2" t="n">
        <v>14096.20909137931</v>
      </c>
      <c r="BW84" s="2" t="n">
        <v>79422.67660965517</v>
      </c>
      <c r="BX84" s="2" t="n">
        <v>7779.25</v>
      </c>
      <c r="BY84" s="2" t="n">
        <v>884.0699999999999</v>
      </c>
      <c r="BZ84" s="2" t="n">
        <v>2473.59</v>
      </c>
      <c r="CA84" s="2" t="n">
        <v>8663.32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1265</v>
      </c>
      <c r="B85" t="inlineStr">
        <is>
          <t>pl. Kolejarza 1, 65-024 Zielona Góra</t>
        </is>
      </c>
      <c r="C85" t="inlineStr">
        <is>
          <t>Zielona Góra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4628.37</v>
      </c>
      <c r="L85" s="2" t="n">
        <v>385.2689472222222</v>
      </c>
      <c r="M85" s="2" t="n">
        <v>4285.527777777777</v>
      </c>
      <c r="N85" s="2" t="n">
        <v>2262.77</v>
      </c>
      <c r="O85" s="2" t="n">
        <v>1810.51</v>
      </c>
      <c r="P85" s="2" t="n">
        <v>555.09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5566.49</v>
      </c>
      <c r="AP85" s="2" t="n">
        <v>407.1784351851852</v>
      </c>
      <c r="AQ85" s="2" t="n">
        <v>5154.157407407407</v>
      </c>
      <c r="AR85" s="2" t="n">
        <v>2666.81</v>
      </c>
      <c r="AS85" s="2" t="n">
        <v>2350.11</v>
      </c>
      <c r="AT85" s="2" t="n">
        <v>549.5700000000001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10194.86</v>
      </c>
      <c r="BB85" s="2" t="n">
        <v>5265.280000000001</v>
      </c>
      <c r="BC85" s="2">
        <f>F85+L85+R85+X85+AD85+AJ85+AP85+AV85+IF(BE85="",0,BE85)</f>
        <v/>
      </c>
      <c r="BD85" s="2" t="n">
        <v>81.085312</v>
      </c>
      <c r="BE85" s="2" t="n"/>
      <c r="BF85" s="2" t="n">
        <v>9439.685185185184</v>
      </c>
      <c r="BG85" s="2" t="n">
        <v>366.96</v>
      </c>
      <c r="BH85" s="2" t="n">
        <v>159</v>
      </c>
      <c r="BI85" s="2" t="n">
        <v>36269.25</v>
      </c>
      <c r="BJ85" s="2" t="n">
        <v>69.65810344827587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71.08128000000001</v>
      </c>
      <c r="BQ85" s="2" t="n">
        <v>28217.64459482759</v>
      </c>
      <c r="BR85" s="2" t="n">
        <v>65178.59397827586</v>
      </c>
      <c r="BS85" s="2" t="n">
        <v>878.5887931034483</v>
      </c>
      <c r="BT85" s="2" t="n">
        <v>0</v>
      </c>
      <c r="BU85" s="2" t="n">
        <v>13197.22029827586</v>
      </c>
      <c r="BV85" s="2" t="n">
        <v>14075.80909137931</v>
      </c>
      <c r="BW85" s="2" t="n">
        <v>79254.40306965516</v>
      </c>
      <c r="BX85" s="2" t="n">
        <v>4160.62</v>
      </c>
      <c r="BY85" s="2" t="n">
        <v>1104.66</v>
      </c>
      <c r="BZ85" s="2" t="n">
        <v>4929.58</v>
      </c>
      <c r="CA85" s="2" t="n">
        <v>5265.28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1266</v>
      </c>
      <c r="B86" t="inlineStr">
        <is>
          <t>Dworcowa 1, 64-100 Leszno</t>
        </is>
      </c>
      <c r="C86" t="inlineStr">
        <is>
          <t>Leszno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7120.610000000001</v>
      </c>
      <c r="L86" s="2" t="n">
        <v>592.724850925926</v>
      </c>
      <c r="M86" s="2" t="n">
        <v>6593.157407407408</v>
      </c>
      <c r="N86" s="2" t="n">
        <v>175</v>
      </c>
      <c r="O86" s="2" t="n">
        <v>5962.84</v>
      </c>
      <c r="P86" s="2" t="n">
        <v>982.77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5450.17</v>
      </c>
      <c r="AD86" s="2" t="n">
        <v>348.2053055555556</v>
      </c>
      <c r="AE86" s="2" t="n">
        <v>5046.453703703703</v>
      </c>
      <c r="AF86" s="2" t="n">
        <v>0</v>
      </c>
      <c r="AG86" s="2" t="n">
        <v>4817.68</v>
      </c>
      <c r="AH86" s="2" t="n">
        <v>632.49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3189.7</v>
      </c>
      <c r="AP86" s="2" t="n">
        <v>233.3206481481482</v>
      </c>
      <c r="AQ86" s="2" t="n">
        <v>2953.425925925926</v>
      </c>
      <c r="AR86" s="2" t="n">
        <v>5.26</v>
      </c>
      <c r="AS86" s="2" t="n">
        <v>2936.58</v>
      </c>
      <c r="AT86" s="2" t="n">
        <v>247.86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15760.48</v>
      </c>
      <c r="BB86" s="2" t="n">
        <v>15580.22</v>
      </c>
      <c r="BC86" s="2">
        <f>F86+L86+R86+X86+AD86+AJ86+AP86+AV86+IF(BE86="",0,BE86)</f>
        <v/>
      </c>
      <c r="BD86" s="2" t="n">
        <v>239.935388</v>
      </c>
      <c r="BE86" s="2" t="n"/>
      <c r="BF86" s="2" t="n">
        <v>14593.03703703704</v>
      </c>
      <c r="BG86" s="2" t="n">
        <v>0</v>
      </c>
      <c r="BH86" s="2" t="n">
        <v>121.8</v>
      </c>
      <c r="BI86" s="2" t="n">
        <v>36269.25</v>
      </c>
      <c r="BJ86" s="2" t="n">
        <v>69.65810344827587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210.33297</v>
      </c>
      <c r="BQ86" s="2" t="n">
        <v>28217.64459482759</v>
      </c>
      <c r="BR86" s="2" t="n">
        <v>64913.68566827587</v>
      </c>
      <c r="BS86" s="2" t="n">
        <v>878.5887931034483</v>
      </c>
      <c r="BT86" s="2" t="n">
        <v>0</v>
      </c>
      <c r="BU86" s="2" t="n">
        <v>13116.38829827586</v>
      </c>
      <c r="BV86" s="2" t="n">
        <v>13994.97709137931</v>
      </c>
      <c r="BW86" s="2" t="n">
        <v>78908.66275965518</v>
      </c>
      <c r="BX86" s="2" t="n">
        <v>13717.1</v>
      </c>
      <c r="BY86" s="2" t="n">
        <v>1863.12</v>
      </c>
      <c r="BZ86" s="2" t="n">
        <v>180.26</v>
      </c>
      <c r="CA86" s="2" t="n">
        <v>15580.22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1267</v>
      </c>
      <c r="B87" t="inlineStr">
        <is>
          <t>Pawia 5a, 31-154 Kraków</t>
        </is>
      </c>
      <c r="C87" t="inlineStr">
        <is>
          <t>Kraków Główny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13289.65</v>
      </c>
      <c r="L87" s="2" t="n">
        <v>1106.240310185185</v>
      </c>
      <c r="M87" s="2" t="n">
        <v>12305.23148148148</v>
      </c>
      <c r="N87" s="2" t="n">
        <v>1292.41</v>
      </c>
      <c r="O87" s="2" t="n">
        <v>11648.78</v>
      </c>
      <c r="P87" s="2" t="n">
        <v>348.46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35031.86</v>
      </c>
      <c r="X87" s="2" t="n">
        <v>750</v>
      </c>
      <c r="Y87" s="2" t="n">
        <v>32436.90740740741</v>
      </c>
      <c r="Z87" s="2" t="n">
        <v>2949.43</v>
      </c>
      <c r="AA87" s="2" t="n">
        <v>31767.04</v>
      </c>
      <c r="AB87" s="2" t="n">
        <v>315.39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4810.349999999999</v>
      </c>
      <c r="AP87" s="2" t="n">
        <v>351.8681944444444</v>
      </c>
      <c r="AQ87" s="2" t="n">
        <v>4454.027777777777</v>
      </c>
      <c r="AR87" s="2" t="n">
        <v>750.86</v>
      </c>
      <c r="AS87" s="2" t="n">
        <v>3661.21</v>
      </c>
      <c r="AT87" s="2" t="n">
        <v>398.28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53131.86</v>
      </c>
      <c r="BB87" s="2" t="n">
        <v>48139.16</v>
      </c>
      <c r="BC87" s="2">
        <f>F87+L87+R87+X87+AD87+AJ87+AP87+AV87+IF(BE87="",0,BE87)</f>
        <v/>
      </c>
      <c r="BD87" s="2" t="n">
        <v>680.386447</v>
      </c>
      <c r="BE87" s="2" t="n"/>
      <c r="BF87" s="2" t="n">
        <v>49196.16666666666</v>
      </c>
      <c r="BG87" s="2" t="n">
        <v>1056.72</v>
      </c>
      <c r="BH87" s="2" t="n">
        <v>276</v>
      </c>
      <c r="BI87" s="2" t="n">
        <v>36269.25</v>
      </c>
      <c r="BJ87" s="2" t="n">
        <v>69.65810344827587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649.87866</v>
      </c>
      <c r="BQ87" s="2" t="n">
        <v>28217.64459482759</v>
      </c>
      <c r="BR87" s="2" t="n">
        <v>66564.15135827586</v>
      </c>
      <c r="BS87" s="2" t="n">
        <v>878.5887931034483</v>
      </c>
      <c r="BT87" s="2" t="n">
        <v>0</v>
      </c>
      <c r="BU87" s="2" t="n">
        <v>13358.57229827586</v>
      </c>
      <c r="BV87" s="2" t="n">
        <v>14237.16109137931</v>
      </c>
      <c r="BW87" s="2" t="n">
        <v>80801.31244965518</v>
      </c>
      <c r="BX87" s="2" t="n">
        <v>47077.03</v>
      </c>
      <c r="BY87" s="2" t="n">
        <v>1062.13</v>
      </c>
      <c r="BZ87" s="2" t="n">
        <v>4992.7</v>
      </c>
      <c r="CA87" s="2" t="n">
        <v>48139.16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1268</v>
      </c>
      <c r="B88" t="inlineStr">
        <is>
          <t>Kolejowa 5, 83-200 Starogard Gdański</t>
        </is>
      </c>
      <c r="C88" t="inlineStr">
        <is>
          <t>Starogard Gdański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18180.78</v>
      </c>
      <c r="AP88" s="2" t="n">
        <v>4177</v>
      </c>
      <c r="AQ88" s="2" t="n">
        <v>16834.05555555556</v>
      </c>
      <c r="AR88" s="2" t="n">
        <v>7138.87</v>
      </c>
      <c r="AS88" s="2" t="n">
        <v>10639.03</v>
      </c>
      <c r="AT88" s="2" t="n">
        <v>402.88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18180.78</v>
      </c>
      <c r="BB88" s="2" t="n">
        <v>11041.91</v>
      </c>
      <c r="BC88" s="2">
        <f>F88+L88+R88+X88+AD88+AJ88+AP88+AV88+IF(BE88="",0,BE88)</f>
        <v/>
      </c>
      <c r="BD88" s="2" t="n">
        <v>170.045414</v>
      </c>
      <c r="BE88" s="2" t="n"/>
      <c r="BF88" s="2" t="n">
        <v>16834.05555555556</v>
      </c>
      <c r="BG88" s="2" t="n">
        <v>0</v>
      </c>
      <c r="BH88" s="2" t="n">
        <v>0</v>
      </c>
      <c r="BI88" s="2" t="n">
        <v>5849.879032258064</v>
      </c>
      <c r="BJ88" s="2" t="n">
        <v>69.65810344827587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149.065785</v>
      </c>
      <c r="BQ88" s="2" t="n">
        <v>28217.64459482759</v>
      </c>
      <c r="BR88" s="2" t="n">
        <v>34311.24751553393</v>
      </c>
      <c r="BS88" s="2" t="n">
        <v>878.5887931034483</v>
      </c>
      <c r="BT88" s="2" t="n">
        <v>0</v>
      </c>
      <c r="BU88" s="2" t="n">
        <v>7008.154104727475</v>
      </c>
      <c r="BV88" s="2" t="n">
        <v>7886.742897830924</v>
      </c>
      <c r="BW88" s="2" t="n">
        <v>42197.99041336485</v>
      </c>
      <c r="BX88" s="2" t="n">
        <v>10639.03</v>
      </c>
      <c r="BY88" s="2" t="n">
        <v>402.88</v>
      </c>
      <c r="BZ88" s="2" t="n">
        <v>7138.87</v>
      </c>
      <c r="CA88" s="2" t="n">
        <v>11041.91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1269</v>
      </c>
      <c r="B89" t="inlineStr">
        <is>
          <t>Podwale Grodzkie 1, 80-895 Gdańsk</t>
        </is>
      </c>
      <c r="C89" t="inlineStr">
        <is>
          <t>Gdańsk Główny</t>
        </is>
      </c>
      <c r="D89" t="inlineStr">
        <is>
          <t>ST|40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12961.03</v>
      </c>
      <c r="L89" s="2" t="n">
        <v>1078.885737962963</v>
      </c>
      <c r="M89" s="2" t="n">
        <v>12000.9537037037</v>
      </c>
      <c r="N89" s="2" t="n">
        <v>3742.89</v>
      </c>
      <c r="O89" s="2" t="n">
        <v>9049.290000000001</v>
      </c>
      <c r="P89" s="2" t="n">
        <v>168.85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8821.910000000002</v>
      </c>
      <c r="AP89" s="2" t="n">
        <v>645.3063796296298</v>
      </c>
      <c r="AQ89" s="2" t="n">
        <v>8168.435185185186</v>
      </c>
      <c r="AR89" s="2" t="n">
        <v>2789</v>
      </c>
      <c r="AS89" s="2" t="n">
        <v>5913.38</v>
      </c>
      <c r="AT89" s="2" t="n">
        <v>119.53</v>
      </c>
      <c r="AU89" s="2" t="n">
        <v>2551.55</v>
      </c>
      <c r="AV89" s="2" t="n">
        <v>101.5894907407407</v>
      </c>
      <c r="AW89" s="2" t="n">
        <v>2362.546296296296</v>
      </c>
      <c r="AX89" s="2" t="n">
        <v>473.85</v>
      </c>
      <c r="AY89" s="2" t="n">
        <v>1994.85</v>
      </c>
      <c r="AZ89" s="2" t="n">
        <v>82.84999999999999</v>
      </c>
      <c r="BA89" s="2" t="n">
        <v>24334.49</v>
      </c>
      <c r="BB89" s="2" t="n">
        <v>17328.75</v>
      </c>
      <c r="BC89" s="2">
        <f>F89+L89+R89+X89+AD89+AJ89+AP89+AV89+IF(BE89="",0,BE89)</f>
        <v/>
      </c>
      <c r="BD89" s="2" t="n">
        <v>266.86275</v>
      </c>
      <c r="BE89" s="2" t="n"/>
      <c r="BF89" s="2" t="n">
        <v>22531.93518518519</v>
      </c>
      <c r="BG89" s="2" t="n">
        <v>0</v>
      </c>
      <c r="BH89" s="2" t="n">
        <v>0</v>
      </c>
      <c r="BI89" s="2" t="n">
        <v>36269.25</v>
      </c>
      <c r="BJ89" s="2" t="n">
        <v>69.65810344827587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233.938125</v>
      </c>
      <c r="BQ89" s="2" t="n">
        <v>28217.64459482759</v>
      </c>
      <c r="BR89" s="2" t="n">
        <v>64815.49082327586</v>
      </c>
      <c r="BS89" s="2" t="n">
        <v>878.5887931034483</v>
      </c>
      <c r="BT89" s="2" t="n">
        <v>0</v>
      </c>
      <c r="BU89" s="2" t="n">
        <v>13092.02829827586</v>
      </c>
      <c r="BV89" s="2" t="n">
        <v>13970.61709137931</v>
      </c>
      <c r="BW89" s="2" t="n">
        <v>78786.10791465518</v>
      </c>
      <c r="BX89" s="2" t="n">
        <v>16957.52</v>
      </c>
      <c r="BY89" s="2" t="n">
        <v>371.23</v>
      </c>
      <c r="BZ89" s="2" t="n">
        <v>7005.74</v>
      </c>
      <c r="CA89" s="2" t="n">
        <v>17328.75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1270</v>
      </c>
      <c r="B90" t="inlineStr">
        <is>
          <t>Marii Konopnickiej 10, 10-168 Olsztyn</t>
        </is>
      </c>
      <c r="C90" t="inlineStr">
        <is>
          <t>Olsztyn Zachodni</t>
        </is>
      </c>
      <c r="D90" t="inlineStr">
        <is>
          <t>FAA2000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8695.830000000002</v>
      </c>
      <c r="L90" s="2" t="n">
        <v>723.8473305555557</v>
      </c>
      <c r="M90" s="2" t="n">
        <v>8051.694444444445</v>
      </c>
      <c r="N90" s="2" t="n">
        <v>2227.86</v>
      </c>
      <c r="O90" s="2" t="n">
        <v>6040.52</v>
      </c>
      <c r="P90" s="2" t="n">
        <v>427.45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7506.02</v>
      </c>
      <c r="AP90" s="2" t="n">
        <v>549.051462962963</v>
      </c>
      <c r="AQ90" s="2" t="n">
        <v>6950.018518518518</v>
      </c>
      <c r="AR90" s="2" t="n">
        <v>1641.85</v>
      </c>
      <c r="AS90" s="2" t="n">
        <v>5428.59</v>
      </c>
      <c r="AT90" s="2" t="n">
        <v>435.58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16201.85</v>
      </c>
      <c r="BB90" s="2" t="n">
        <v>12332.14</v>
      </c>
      <c r="BC90" s="2">
        <f>F90+L90+R90+X90+AD90+AJ90+AP90+AV90+IF(BE90="",0,BE90)</f>
        <v/>
      </c>
      <c r="BD90" s="2" t="n">
        <v>189.914956</v>
      </c>
      <c r="BE90" s="2" t="n"/>
      <c r="BF90" s="2" t="n">
        <v>15001.71296296296</v>
      </c>
      <c r="BG90" s="2" t="n">
        <v>343</v>
      </c>
      <c r="BH90" s="2" t="n">
        <v>0</v>
      </c>
      <c r="BI90" s="2" t="n">
        <v>36269.25</v>
      </c>
      <c r="BJ90" s="2" t="n">
        <v>69.65810344827587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166.48389</v>
      </c>
      <c r="BQ90" s="2" t="n">
        <v>28217.64459482759</v>
      </c>
      <c r="BR90" s="2" t="n">
        <v>65091.03658827586</v>
      </c>
      <c r="BS90" s="2" t="n">
        <v>878.5887931034483</v>
      </c>
      <c r="BT90" s="2" t="n">
        <v>0</v>
      </c>
      <c r="BU90" s="2" t="n">
        <v>13160.62829827586</v>
      </c>
      <c r="BV90" s="2" t="n">
        <v>14039.21709137931</v>
      </c>
      <c r="BW90" s="2" t="n">
        <v>79130.25367965517</v>
      </c>
      <c r="BX90" s="2" t="n">
        <v>11469.11</v>
      </c>
      <c r="BY90" s="2" t="n">
        <v>863.03</v>
      </c>
      <c r="BZ90" s="2" t="n">
        <v>3869.71</v>
      </c>
      <c r="CA90" s="2" t="n">
        <v>12332.14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1271</v>
      </c>
      <c r="B91" t="inlineStr">
        <is>
          <t>Zygmunta Augusta 7, 85-082 Bydgoszcz</t>
        </is>
      </c>
      <c r="C91" t="inlineStr">
        <is>
          <t>Bydgoszcz</t>
        </is>
      </c>
      <c r="D91" t="inlineStr">
        <is>
          <t>FAA2000</t>
        </is>
      </c>
      <c r="E91" s="2" t="n">
        <v>6973.62</v>
      </c>
      <c r="F91" s="2" t="n">
        <v>1000</v>
      </c>
      <c r="G91" s="2" t="n">
        <v>6457.055555555555</v>
      </c>
      <c r="H91" s="2" t="n">
        <v>1684.91</v>
      </c>
      <c r="I91" s="2" t="n">
        <v>4856.51</v>
      </c>
      <c r="J91" s="2" t="n">
        <v>432.2</v>
      </c>
      <c r="K91" s="2" t="n">
        <v>10693.42</v>
      </c>
      <c r="L91" s="2" t="n">
        <v>890.1282018518518</v>
      </c>
      <c r="M91" s="2" t="n">
        <v>9901.314814814814</v>
      </c>
      <c r="N91" s="2" t="n">
        <v>3119.63</v>
      </c>
      <c r="O91" s="2" t="n">
        <v>6910.64</v>
      </c>
      <c r="P91" s="2" t="n">
        <v>663.15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17688.26</v>
      </c>
      <c r="AP91" s="2" t="n">
        <v>1293.863462962963</v>
      </c>
      <c r="AQ91" s="2" t="n">
        <v>16378.01851851852</v>
      </c>
      <c r="AR91" s="2" t="n">
        <v>3765.29</v>
      </c>
      <c r="AS91" s="2" t="n">
        <v>13218.21</v>
      </c>
      <c r="AT91" s="2" t="n">
        <v>704.76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35355.3</v>
      </c>
      <c r="BB91" s="2" t="n">
        <v>26785.47</v>
      </c>
      <c r="BC91" s="2">
        <f>F91+L91+R91+X91+AD91+AJ91+AP91+AV91+IF(BE91="",0,BE91)</f>
        <v/>
      </c>
      <c r="BD91" s="2" t="n">
        <v>412.496238</v>
      </c>
      <c r="BE91" s="2" t="n"/>
      <c r="BF91" s="2" t="n">
        <v>32736.38888888888</v>
      </c>
      <c r="BG91" s="2" t="n">
        <v>131.78</v>
      </c>
      <c r="BH91" s="2" t="n">
        <v>119.07</v>
      </c>
      <c r="BI91" s="2" t="n">
        <v>36269.25</v>
      </c>
      <c r="BJ91" s="2" t="n">
        <v>69.65810344827587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361.603845</v>
      </c>
      <c r="BQ91" s="2" t="n">
        <v>28217.64459482759</v>
      </c>
      <c r="BR91" s="2" t="n">
        <v>65194.00654327586</v>
      </c>
      <c r="BS91" s="2" t="n">
        <v>878.5887931034483</v>
      </c>
      <c r="BT91" s="2" t="n">
        <v>0</v>
      </c>
      <c r="BU91" s="2" t="n">
        <v>13142.19829827586</v>
      </c>
      <c r="BV91" s="2" t="n">
        <v>14020.78709137931</v>
      </c>
      <c r="BW91" s="2" t="n">
        <v>79214.79363465517</v>
      </c>
      <c r="BX91" s="2" t="n">
        <v>24985.36</v>
      </c>
      <c r="BY91" s="2" t="n">
        <v>1800.11</v>
      </c>
      <c r="BZ91" s="2" t="n">
        <v>8569.83</v>
      </c>
      <c r="CA91" s="2" t="n">
        <v>26785.47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1272</v>
      </c>
      <c r="B92" t="inlineStr">
        <is>
          <t>Dworcowa 115, 88-110 Inowrocław</t>
        </is>
      </c>
      <c r="C92" t="inlineStr">
        <is>
          <t>Inowrocław</t>
        </is>
      </c>
      <c r="D92" t="inlineStr">
        <is>
          <t>FAA2000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6379.34</v>
      </c>
      <c r="L92" s="2" t="n">
        <v>531.020987037037</v>
      </c>
      <c r="M92" s="2" t="n">
        <v>5906.796296296296</v>
      </c>
      <c r="N92" s="2" t="n">
        <v>2050.15</v>
      </c>
      <c r="O92" s="2" t="n">
        <v>3849.36</v>
      </c>
      <c r="P92" s="2" t="n">
        <v>479.83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8611.030000000001</v>
      </c>
      <c r="AP92" s="2" t="n">
        <v>629.8808981481482</v>
      </c>
      <c r="AQ92" s="2" t="n">
        <v>7973.175925925926</v>
      </c>
      <c r="AR92" s="2" t="n">
        <v>2826.81</v>
      </c>
      <c r="AS92" s="2" t="n">
        <v>5372.61</v>
      </c>
      <c r="AT92" s="2" t="n">
        <v>411.61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14990.37</v>
      </c>
      <c r="BB92" s="2" t="n">
        <v>10113.41</v>
      </c>
      <c r="BC92" s="2">
        <f>F92+L92+R92+X92+AD92+AJ92+AP92+AV92+IF(BE92="",0,BE92)</f>
        <v/>
      </c>
      <c r="BD92" s="2" t="n">
        <v>155.746514</v>
      </c>
      <c r="BE92" s="2" t="n"/>
      <c r="BF92" s="2" t="n">
        <v>13879.97222222222</v>
      </c>
      <c r="BG92" s="2" t="n">
        <v>382</v>
      </c>
      <c r="BH92" s="2" t="n">
        <v>143</v>
      </c>
      <c r="BI92" s="2" t="n">
        <v>36269.25</v>
      </c>
      <c r="BJ92" s="2" t="n">
        <v>69.65810344827587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136.531035</v>
      </c>
      <c r="BQ92" s="2" t="n">
        <v>28217.64459482759</v>
      </c>
      <c r="BR92" s="2" t="n">
        <v>65243.08373327586</v>
      </c>
      <c r="BS92" s="2" t="n">
        <v>878.5887931034483</v>
      </c>
      <c r="BT92" s="2" t="n">
        <v>0</v>
      </c>
      <c r="BU92" s="2" t="n">
        <v>13197.02829827586</v>
      </c>
      <c r="BV92" s="2" t="n">
        <v>14075.61709137931</v>
      </c>
      <c r="BW92" s="2" t="n">
        <v>79318.70082465517</v>
      </c>
      <c r="BX92" s="2" t="n">
        <v>9221.969999999999</v>
      </c>
      <c r="BY92" s="2" t="n">
        <v>891.4400000000001</v>
      </c>
      <c r="BZ92" s="2" t="n">
        <v>4876.96</v>
      </c>
      <c r="CA92" s="2" t="n">
        <v>10113.41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1273</v>
      </c>
      <c r="B93" t="inlineStr">
        <is>
          <t>Towarowa 5, 84-120 Władysławowo</t>
        </is>
      </c>
      <c r="C93" t="inlineStr">
        <is>
          <t>Władysławowo</t>
        </is>
      </c>
      <c r="D93" t="inlineStr">
        <is>
          <t>ST|40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71</v>
      </c>
      <c r="L93" s="2" t="n">
        <v>5.910092592592592</v>
      </c>
      <c r="M93" s="2" t="n">
        <v>65.74074074074073</v>
      </c>
      <c r="N93" s="2" t="n">
        <v>0</v>
      </c>
      <c r="O93" s="2" t="n">
        <v>71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4517.15</v>
      </c>
      <c r="AP93" s="2" t="n">
        <v>5475</v>
      </c>
      <c r="AQ93" s="2" t="n">
        <v>4182.546296296296</v>
      </c>
      <c r="AR93" s="2" t="n">
        <v>0</v>
      </c>
      <c r="AS93" s="2" t="n">
        <v>4159.54</v>
      </c>
      <c r="AT93" s="2" t="n">
        <v>357.61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4588.15</v>
      </c>
      <c r="BB93" s="2" t="n">
        <v>4588.15</v>
      </c>
      <c r="BC93" s="2">
        <f>F93+L93+R93+X93+AD93+AJ93+AP93+AV93+IF(BE93="",0,BE93)</f>
        <v/>
      </c>
      <c r="BD93" s="2" t="n">
        <v>70.65751</v>
      </c>
      <c r="BE93" s="2" t="n"/>
      <c r="BF93" s="2" t="n">
        <v>4248.287037037036</v>
      </c>
      <c r="BG93" s="2" t="n">
        <v>0</v>
      </c>
      <c r="BH93" s="2" t="n">
        <v>0</v>
      </c>
      <c r="BI93" s="2" t="n">
        <v>36269.25</v>
      </c>
      <c r="BJ93" s="2" t="n">
        <v>69.65810344827587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61.940025</v>
      </c>
      <c r="BQ93" s="2" t="n">
        <v>28217.64459482759</v>
      </c>
      <c r="BR93" s="2" t="n">
        <v>64643.49272327586</v>
      </c>
      <c r="BS93" s="2" t="n">
        <v>878.5887931034483</v>
      </c>
      <c r="BT93" s="2" t="n">
        <v>0</v>
      </c>
      <c r="BU93" s="2" t="n">
        <v>13092.02829827586</v>
      </c>
      <c r="BV93" s="2" t="n">
        <v>13970.61709137931</v>
      </c>
      <c r="BW93" s="2" t="n">
        <v>78614.10981465518</v>
      </c>
      <c r="BX93" s="2" t="n">
        <v>4230.54</v>
      </c>
      <c r="BY93" s="2" t="n">
        <v>357.61</v>
      </c>
      <c r="BZ93" s="2" t="n">
        <v>0</v>
      </c>
      <c r="CA93" s="2" t="n">
        <v>4588.15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1274</v>
      </c>
      <c r="B94" t="inlineStr">
        <is>
          <t>Czersk</t>
        </is>
      </c>
      <c r="C94" t="inlineStr">
        <is>
          <t>Czersk</t>
        </is>
      </c>
      <c r="D94" t="inlineStr">
        <is>
          <t>FAA2000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2490.84</v>
      </c>
      <c r="AP94" s="2" t="n">
        <v>3900</v>
      </c>
      <c r="AQ94" s="2" t="n">
        <v>2306.333333333333</v>
      </c>
      <c r="AR94" s="2" t="n">
        <v>0</v>
      </c>
      <c r="AS94" s="2" t="n">
        <v>2155.53</v>
      </c>
      <c r="AT94" s="2" t="n">
        <v>335.31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2490.84</v>
      </c>
      <c r="BB94" s="2" t="n">
        <v>2490.84</v>
      </c>
      <c r="BC94" s="2">
        <f>F94+L94+R94+X94+AD94+AJ94+AP94+AV94+IF(BE94="",0,BE94)</f>
        <v/>
      </c>
      <c r="BD94" s="2" t="n">
        <v>38.358936</v>
      </c>
      <c r="BE94" s="2" t="n"/>
      <c r="BF94" s="2" t="n">
        <v>2306.333333333333</v>
      </c>
      <c r="BG94" s="2" t="n">
        <v>0</v>
      </c>
      <c r="BH94" s="2" t="n">
        <v>0</v>
      </c>
      <c r="BI94" s="2" t="n">
        <v>36269.25</v>
      </c>
      <c r="BJ94" s="2" t="n">
        <v>69.65810344827587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33.62634</v>
      </c>
      <c r="BQ94" s="2" t="n">
        <v>28217.64459482759</v>
      </c>
      <c r="BR94" s="2" t="n">
        <v>64615.17903827586</v>
      </c>
      <c r="BS94" s="2" t="n">
        <v>878.5887931034483</v>
      </c>
      <c r="BT94" s="2" t="n">
        <v>0</v>
      </c>
      <c r="BU94" s="2" t="n">
        <v>13092.02829827586</v>
      </c>
      <c r="BV94" s="2" t="n">
        <v>13970.61709137931</v>
      </c>
      <c r="BW94" s="2" t="n">
        <v>78585.79612965518</v>
      </c>
      <c r="BX94" s="2" t="n">
        <v>2155.53</v>
      </c>
      <c r="BY94" s="2" t="n">
        <v>335.31</v>
      </c>
      <c r="BZ94" s="2" t="n">
        <v>0</v>
      </c>
      <c r="CA94" s="2" t="n">
        <v>2490.84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1276</v>
      </c>
      <c r="B95" t="inlineStr">
        <is>
          <t>GDA-STR</t>
        </is>
      </c>
      <c r="C95" t="inlineStr">
        <is>
          <t>Gdańsk Strzyża</t>
        </is>
      </c>
      <c r="D95" t="inlineStr">
        <is>
          <t>ST|40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7569.500000000001</v>
      </c>
      <c r="AP95" s="2" t="n">
        <v>0</v>
      </c>
      <c r="AQ95" s="2" t="n">
        <v>7008.796296296297</v>
      </c>
      <c r="AR95" s="2" t="n">
        <v>1394.15</v>
      </c>
      <c r="AS95" s="2" t="n">
        <v>6012.46</v>
      </c>
      <c r="AT95" s="2" t="n">
        <v>162.89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7569.500000000001</v>
      </c>
      <c r="BB95" s="2" t="n">
        <v>6175.35</v>
      </c>
      <c r="BC95" s="2">
        <f>F95+L95+R95+X95+AD95+AJ95+AP95+AV95+IF(BE95="",0,BE95)</f>
        <v/>
      </c>
      <c r="BD95" s="2" t="n">
        <v>95.10039</v>
      </c>
      <c r="BE95" s="2" t="n"/>
      <c r="BF95" s="2" t="n">
        <v>7008.796296296297</v>
      </c>
      <c r="BG95" s="2" t="n">
        <v>0</v>
      </c>
      <c r="BH95" s="2" t="n">
        <v>0</v>
      </c>
      <c r="BI95" s="2" t="n">
        <v>36269.25</v>
      </c>
      <c r="BJ95" s="2" t="n">
        <v>69.65810344827587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83.367225</v>
      </c>
      <c r="BQ95" s="2" t="n">
        <v>28217.64459482759</v>
      </c>
      <c r="BR95" s="2" t="n">
        <v>64664.91992327586</v>
      </c>
      <c r="BS95" s="2" t="n">
        <v>878.5887931034483</v>
      </c>
      <c r="BT95" s="2" t="n">
        <v>0</v>
      </c>
      <c r="BU95" s="2" t="n">
        <v>13092.02829827586</v>
      </c>
      <c r="BV95" s="2" t="n">
        <v>13970.61709137931</v>
      </c>
      <c r="BW95" s="2" t="n">
        <v>78635.53701465517</v>
      </c>
      <c r="BX95" s="2" t="n">
        <v>6012.46</v>
      </c>
      <c r="BY95" s="2" t="n">
        <v>162.89</v>
      </c>
      <c r="BZ95" s="2" t="n">
        <v>1394.15</v>
      </c>
      <c r="CA95" s="2" t="n">
        <v>6175.35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1277</v>
      </c>
      <c r="B96" t="inlineStr">
        <is>
          <t>Plac Konstytucji 1, 81-354 Gdynia</t>
        </is>
      </c>
      <c r="C96" t="inlineStr">
        <is>
          <t>Gdynia Główna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7719.27</v>
      </c>
      <c r="L96" s="2" t="n">
        <v>642.5577527777778</v>
      </c>
      <c r="M96" s="2" t="n">
        <v>7147.472222222222</v>
      </c>
      <c r="N96" s="2" t="n">
        <v>3973.99</v>
      </c>
      <c r="O96" s="2" t="n">
        <v>3534.88</v>
      </c>
      <c r="P96" s="2" t="n">
        <v>210.4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12492.24</v>
      </c>
      <c r="AP96" s="2" t="n">
        <v>913.7842222222222</v>
      </c>
      <c r="AQ96" s="2" t="n">
        <v>11566.88888888889</v>
      </c>
      <c r="AR96" s="2" t="n">
        <v>4092.26</v>
      </c>
      <c r="AS96" s="2" t="n">
        <v>7784.98</v>
      </c>
      <c r="AT96" s="2" t="n">
        <v>615</v>
      </c>
      <c r="AU96" s="2" t="n">
        <v>14650.7</v>
      </c>
      <c r="AV96" s="2" t="n">
        <v>583.3149074074073</v>
      </c>
      <c r="AW96" s="2" t="n">
        <v>13565.46296296296</v>
      </c>
      <c r="AX96" s="2" t="n">
        <v>3050.85</v>
      </c>
      <c r="AY96" s="2" t="n">
        <v>10989.05</v>
      </c>
      <c r="AZ96" s="2" t="n">
        <v>610.8</v>
      </c>
      <c r="BA96" s="2" t="n">
        <v>34862.21</v>
      </c>
      <c r="BB96" s="2" t="n">
        <v>23745.11</v>
      </c>
      <c r="BC96" s="2">
        <f>F96+L96+R96+X96+AD96+AJ96+AP96+AV96+IF(BE96="",0,BE96)</f>
        <v/>
      </c>
      <c r="BD96" s="2" t="n">
        <v>365.674694</v>
      </c>
      <c r="BE96" s="2" t="n"/>
      <c r="BF96" s="2" t="n">
        <v>32279.82407407407</v>
      </c>
      <c r="BG96" s="2" t="n">
        <v>971.34</v>
      </c>
      <c r="BH96" s="2" t="n">
        <v>93.59999999999999</v>
      </c>
      <c r="BI96" s="2" t="n">
        <v>36269.25</v>
      </c>
      <c r="BJ96" s="2" t="n">
        <v>69.65810344827587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320.558985</v>
      </c>
      <c r="BQ96" s="2" t="n">
        <v>28217.64459482759</v>
      </c>
      <c r="BR96" s="2" t="n">
        <v>65967.05168327587</v>
      </c>
      <c r="BS96" s="2" t="n">
        <v>878.5887931034483</v>
      </c>
      <c r="BT96" s="2" t="n">
        <v>0</v>
      </c>
      <c r="BU96" s="2" t="n">
        <v>13305.01629827586</v>
      </c>
      <c r="BV96" s="2" t="n">
        <v>14183.60509137931</v>
      </c>
      <c r="BW96" s="2" t="n">
        <v>80150.65677465519</v>
      </c>
      <c r="BX96" s="2" t="n">
        <v>22308.91</v>
      </c>
      <c r="BY96" s="2" t="n">
        <v>1436.2</v>
      </c>
      <c r="BZ96" s="2" t="n">
        <v>11117.1</v>
      </c>
      <c r="CA96" s="2" t="n">
        <v>23745.11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1278</v>
      </c>
      <c r="B97" t="inlineStr">
        <is>
          <t>Plac Konstytucji 1, 81-354 Gdynia</t>
        </is>
      </c>
      <c r="C97" t="inlineStr">
        <is>
          <t>Gdynia Główna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6048.34</v>
      </c>
      <c r="L97" s="2" t="n">
        <v>503.4683018518519</v>
      </c>
      <c r="M97" s="2" t="n">
        <v>5600.314814814815</v>
      </c>
      <c r="N97" s="2" t="n">
        <v>148.86</v>
      </c>
      <c r="O97" s="2" t="n">
        <v>5372.34</v>
      </c>
      <c r="P97" s="2" t="n">
        <v>527.14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11817.22</v>
      </c>
      <c r="AP97" s="2" t="n">
        <v>864.4077592592591</v>
      </c>
      <c r="AQ97" s="2" t="n">
        <v>10941.87037037037</v>
      </c>
      <c r="AR97" s="2" t="n">
        <v>1029.42</v>
      </c>
      <c r="AS97" s="2" t="n">
        <v>10368.14</v>
      </c>
      <c r="AT97" s="2" t="n">
        <v>419.66</v>
      </c>
      <c r="AU97" s="2" t="n">
        <v>14826.65</v>
      </c>
      <c r="AV97" s="2" t="n">
        <v>590.3203240740739</v>
      </c>
      <c r="AW97" s="2" t="n">
        <v>13728.37962962963</v>
      </c>
      <c r="AX97" s="2" t="n">
        <v>1220.3</v>
      </c>
      <c r="AY97" s="2" t="n">
        <v>12808.2</v>
      </c>
      <c r="AZ97" s="2" t="n">
        <v>798.15</v>
      </c>
      <c r="BA97" s="2" t="n">
        <v>32692.21</v>
      </c>
      <c r="BB97" s="2" t="n">
        <v>30293.63</v>
      </c>
      <c r="BC97" s="2">
        <f>F97+L97+R97+X97+AD97+AJ97+AP97+AV97+IF(BE97="",0,BE97)</f>
        <v/>
      </c>
      <c r="BD97" s="2" t="n">
        <v>466.521902</v>
      </c>
      <c r="BE97" s="2" t="n"/>
      <c r="BF97" s="2" t="n">
        <v>30270.56481481481</v>
      </c>
      <c r="BG97" s="2" t="n">
        <v>1216.91</v>
      </c>
      <c r="BH97" s="2" t="n">
        <v>117</v>
      </c>
      <c r="BI97" s="2" t="n">
        <v>36269.25</v>
      </c>
      <c r="BJ97" s="2" t="n">
        <v>69.65810344827587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408.964005</v>
      </c>
      <c r="BQ97" s="2" t="n">
        <v>28217.64459482759</v>
      </c>
      <c r="BR97" s="2" t="n">
        <v>66324.42670327587</v>
      </c>
      <c r="BS97" s="2" t="n">
        <v>878.5887931034483</v>
      </c>
      <c r="BT97" s="2" t="n">
        <v>0</v>
      </c>
      <c r="BU97" s="2" t="n">
        <v>13358.81029827586</v>
      </c>
      <c r="BV97" s="2" t="n">
        <v>14237.39909137931</v>
      </c>
      <c r="BW97" s="2" t="n">
        <v>80561.82579465517</v>
      </c>
      <c r="BX97" s="2" t="n">
        <v>28548.68</v>
      </c>
      <c r="BY97" s="2" t="n">
        <v>1744.95</v>
      </c>
      <c r="BZ97" s="2" t="n">
        <v>2398.58</v>
      </c>
      <c r="CA97" s="2" t="n">
        <v>30293.63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1279</v>
      </c>
      <c r="B98" t="inlineStr">
        <is>
          <t>GDA-GL</t>
        </is>
      </c>
      <c r="C98" t="inlineStr">
        <is>
          <t>Gdańsk Brętowo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3026.35</v>
      </c>
      <c r="AP98" s="2" t="n">
        <v>0</v>
      </c>
      <c r="AQ98" s="2" t="n">
        <v>2802.175925925926</v>
      </c>
      <c r="AR98" s="2" t="n">
        <v>366.96</v>
      </c>
      <c r="AS98" s="2" t="n">
        <v>2526.8</v>
      </c>
      <c r="AT98" s="2" t="n">
        <v>132.59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3026.35</v>
      </c>
      <c r="BB98" s="2" t="n">
        <v>2659.39</v>
      </c>
      <c r="BC98" s="2">
        <f>F98+L98+R98+X98+AD98+AJ98+AP98+AV98+IF(BE98="",0,BE98)</f>
        <v/>
      </c>
      <c r="BD98" s="2" t="n">
        <v>40.95460600000001</v>
      </c>
      <c r="BE98" s="2" t="n"/>
      <c r="BF98" s="2" t="n">
        <v>2802.175925925926</v>
      </c>
      <c r="BG98" s="2" t="n">
        <v>0</v>
      </c>
      <c r="BH98" s="2" t="n">
        <v>0</v>
      </c>
      <c r="BI98" s="2" t="n">
        <v>36269.25</v>
      </c>
      <c r="BJ98" s="2" t="n">
        <v>69.65810344827587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35.901765</v>
      </c>
      <c r="BQ98" s="2" t="n">
        <v>28217.64459482759</v>
      </c>
      <c r="BR98" s="2" t="n">
        <v>64617.45446327586</v>
      </c>
      <c r="BS98" s="2" t="n">
        <v>878.5887931034483</v>
      </c>
      <c r="BT98" s="2" t="n">
        <v>0</v>
      </c>
      <c r="BU98" s="2" t="n">
        <v>13092.02829827586</v>
      </c>
      <c r="BV98" s="2" t="n">
        <v>13970.61709137931</v>
      </c>
      <c r="BW98" s="2" t="n">
        <v>78588.07155465518</v>
      </c>
      <c r="BX98" s="2" t="n">
        <v>2526.8</v>
      </c>
      <c r="BY98" s="2" t="n">
        <v>132.59</v>
      </c>
      <c r="BZ98" s="2" t="n">
        <v>366.96</v>
      </c>
      <c r="CA98" s="2" t="n">
        <v>2659.39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1280</v>
      </c>
      <c r="B99" t="inlineStr">
        <is>
          <t>GRODZW</t>
        </is>
      </c>
      <c r="C99" t="inlineStr">
        <is>
          <t>Gdańsk Jasień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6276.099999999999</v>
      </c>
      <c r="AP99" s="2" t="n">
        <v>0</v>
      </c>
      <c r="AQ99" s="2" t="n">
        <v>5811.203703703703</v>
      </c>
      <c r="AR99" s="2" t="n">
        <v>1189.41</v>
      </c>
      <c r="AS99" s="2" t="n">
        <v>4886.83</v>
      </c>
      <c r="AT99" s="2" t="n">
        <v>199.86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6276.099999999999</v>
      </c>
      <c r="BB99" s="2" t="n">
        <v>5086.69</v>
      </c>
      <c r="BC99" s="2">
        <f>F99+L99+R99+X99+AD99+AJ99+AP99+AV99+IF(BE99="",0,BE99)</f>
        <v/>
      </c>
      <c r="BD99" s="2" t="n">
        <v>78.335026</v>
      </c>
      <c r="BE99" s="2" t="n"/>
      <c r="BF99" s="2" t="n">
        <v>5811.203703703703</v>
      </c>
      <c r="BG99" s="2" t="n">
        <v>0</v>
      </c>
      <c r="BH99" s="2" t="n">
        <v>0</v>
      </c>
      <c r="BI99" s="2" t="n">
        <v>36269.25</v>
      </c>
      <c r="BJ99" s="2" t="n">
        <v>69.65810344827587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68.67031499999999</v>
      </c>
      <c r="BQ99" s="2" t="n">
        <v>28217.64459482759</v>
      </c>
      <c r="BR99" s="2" t="n">
        <v>64650.22301327586</v>
      </c>
      <c r="BS99" s="2" t="n">
        <v>878.5887931034483</v>
      </c>
      <c r="BT99" s="2" t="n">
        <v>0</v>
      </c>
      <c r="BU99" s="2" t="n">
        <v>13092.02829827586</v>
      </c>
      <c r="BV99" s="2" t="n">
        <v>13970.61709137931</v>
      </c>
      <c r="BW99" s="2" t="n">
        <v>78620.84010465517</v>
      </c>
      <c r="BX99" s="2" t="n">
        <v>4886.83</v>
      </c>
      <c r="BY99" s="2" t="n">
        <v>199.86</v>
      </c>
      <c r="BZ99" s="2" t="n">
        <v>1189.41</v>
      </c>
      <c r="CA99" s="2" t="n">
        <v>5086.69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1281</v>
      </c>
      <c r="B100" t="inlineStr">
        <is>
          <t>GRANOW</t>
        </is>
      </c>
      <c r="C100" t="inlineStr">
        <is>
          <t>Gdańsk Kiełpinek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7915.309999999999</v>
      </c>
      <c r="AP100" s="2" t="n">
        <v>0</v>
      </c>
      <c r="AQ100" s="2" t="n">
        <v>7328.99074074074</v>
      </c>
      <c r="AR100" s="2" t="n">
        <v>1068.1</v>
      </c>
      <c r="AS100" s="2" t="n">
        <v>6695.39</v>
      </c>
      <c r="AT100" s="2" t="n">
        <v>151.82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7915.309999999999</v>
      </c>
      <c r="BB100" s="2" t="n">
        <v>6847.21</v>
      </c>
      <c r="BC100" s="2">
        <f>F100+L100+R100+X100+AD100+AJ100+AP100+AV100+IF(BE100="",0,BE100)</f>
        <v/>
      </c>
      <c r="BD100" s="2" t="n">
        <v>105.447034</v>
      </c>
      <c r="BE100" s="2" t="n"/>
      <c r="BF100" s="2" t="n">
        <v>7328.99074074074</v>
      </c>
      <c r="BG100" s="2" t="n">
        <v>0</v>
      </c>
      <c r="BH100" s="2" t="n">
        <v>0</v>
      </c>
      <c r="BI100" s="2" t="n">
        <v>36269.25</v>
      </c>
      <c r="BJ100" s="2" t="n">
        <v>69.65810344827587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92.437335</v>
      </c>
      <c r="BQ100" s="2" t="n">
        <v>28217.64459482759</v>
      </c>
      <c r="BR100" s="2" t="n">
        <v>64673.99003327586</v>
      </c>
      <c r="BS100" s="2" t="n">
        <v>878.5887931034483</v>
      </c>
      <c r="BT100" s="2" t="n">
        <v>0</v>
      </c>
      <c r="BU100" s="2" t="n">
        <v>13092.02829827586</v>
      </c>
      <c r="BV100" s="2" t="n">
        <v>13970.61709137931</v>
      </c>
      <c r="BW100" s="2" t="n">
        <v>78644.60712465517</v>
      </c>
      <c r="BX100" s="2" t="n">
        <v>6695.39</v>
      </c>
      <c r="BY100" s="2" t="n">
        <v>151.82</v>
      </c>
      <c r="BZ100" s="2" t="n">
        <v>1068.1</v>
      </c>
      <c r="CA100" s="2" t="n">
        <v>6847.21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1283</v>
      </c>
      <c r="B101" t="inlineStr">
        <is>
          <t>CZERWO</t>
        </is>
      </c>
      <c r="C101" t="inlineStr">
        <is>
          <t>Gdańsk Port Lotniczy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43013.71</v>
      </c>
      <c r="AP101" s="2" t="n">
        <v>0</v>
      </c>
      <c r="AQ101" s="2" t="n">
        <v>39827.50925925926</v>
      </c>
      <c r="AR101" s="2" t="n">
        <v>5322.25</v>
      </c>
      <c r="AS101" s="2" t="n">
        <v>36529.15</v>
      </c>
      <c r="AT101" s="2" t="n">
        <v>1162.31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43013.71</v>
      </c>
      <c r="BB101" s="2" t="n">
        <v>37691.46</v>
      </c>
      <c r="BC101" s="2">
        <f>F101+L101+R101+X101+AD101+AJ101+AP101+AV101+IF(BE101="",0,BE101)</f>
        <v/>
      </c>
      <c r="BD101" s="2" t="n">
        <v>580.448484</v>
      </c>
      <c r="BE101" s="2" t="n"/>
      <c r="BF101" s="2" t="n">
        <v>39827.50925925926</v>
      </c>
      <c r="BG101" s="2" t="n">
        <v>0</v>
      </c>
      <c r="BH101" s="2" t="n">
        <v>0</v>
      </c>
      <c r="BI101" s="2" t="n">
        <v>36269.25</v>
      </c>
      <c r="BJ101" s="2" t="n">
        <v>69.65810344827587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508.83471</v>
      </c>
      <c r="BQ101" s="2" t="n">
        <v>28217.64459482759</v>
      </c>
      <c r="BR101" s="2" t="n">
        <v>65090.38740827586</v>
      </c>
      <c r="BS101" s="2" t="n">
        <v>878.5887931034483</v>
      </c>
      <c r="BT101" s="2" t="n">
        <v>0</v>
      </c>
      <c r="BU101" s="2" t="n">
        <v>13092.02829827586</v>
      </c>
      <c r="BV101" s="2" t="n">
        <v>13970.61709137931</v>
      </c>
      <c r="BW101" s="2" t="n">
        <v>79061.00449965517</v>
      </c>
      <c r="BX101" s="2" t="n">
        <v>36529.15</v>
      </c>
      <c r="BY101" s="2" t="n">
        <v>1162.31</v>
      </c>
      <c r="BZ101" s="2" t="n">
        <v>5322.25</v>
      </c>
      <c r="CA101" s="2" t="n">
        <v>37691.46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1284</v>
      </c>
      <c r="B102" t="inlineStr">
        <is>
          <t>OWINSK</t>
        </is>
      </c>
      <c r="C102" t="inlineStr">
        <is>
          <t>Gdańsk Rębiechowo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3793.45</v>
      </c>
      <c r="AP102" s="2" t="n">
        <v>0</v>
      </c>
      <c r="AQ102" s="2" t="n">
        <v>3512.453703703703</v>
      </c>
      <c r="AR102" s="2" t="n">
        <v>416.95</v>
      </c>
      <c r="AS102" s="2" t="n">
        <v>3266.35</v>
      </c>
      <c r="AT102" s="2" t="n">
        <v>110.15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3793.45</v>
      </c>
      <c r="BB102" s="2" t="n">
        <v>3376.5</v>
      </c>
      <c r="BC102" s="2">
        <f>F102+L102+R102+X102+AD102+AJ102+AP102+AV102+IF(BE102="",0,BE102)</f>
        <v/>
      </c>
      <c r="BD102" s="2" t="n">
        <v>51.9981</v>
      </c>
      <c r="BE102" s="2" t="n"/>
      <c r="BF102" s="2" t="n">
        <v>3512.453703703703</v>
      </c>
      <c r="BG102" s="2" t="n">
        <v>0</v>
      </c>
      <c r="BH102" s="2" t="n">
        <v>0</v>
      </c>
      <c r="BI102" s="2" t="n">
        <v>36269.25</v>
      </c>
      <c r="BJ102" s="2" t="n">
        <v>69.65810344827587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45.58275</v>
      </c>
      <c r="BQ102" s="2" t="n">
        <v>28217.64459482759</v>
      </c>
      <c r="BR102" s="2" t="n">
        <v>64627.13544827586</v>
      </c>
      <c r="BS102" s="2" t="n">
        <v>878.5887931034483</v>
      </c>
      <c r="BT102" s="2" t="n">
        <v>0</v>
      </c>
      <c r="BU102" s="2" t="n">
        <v>13092.02829827586</v>
      </c>
      <c r="BV102" s="2" t="n">
        <v>13970.61709137931</v>
      </c>
      <c r="BW102" s="2" t="n">
        <v>78597.75253965516</v>
      </c>
      <c r="BX102" s="2" t="n">
        <v>3266.35</v>
      </c>
      <c r="BY102" s="2" t="n">
        <v>110.15</v>
      </c>
      <c r="BZ102" s="2" t="n">
        <v>416.95</v>
      </c>
      <c r="CA102" s="2" t="n">
        <v>3376.5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1285</v>
      </c>
      <c r="B103" t="inlineStr">
        <is>
          <t>ZIELWZG</t>
        </is>
      </c>
      <c r="C103" t="inlineStr">
        <is>
          <t>Gdańsk Osowa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6191.45</v>
      </c>
      <c r="AP103" s="2" t="n">
        <v>0</v>
      </c>
      <c r="AQ103" s="2" t="n">
        <v>5732.824074074074</v>
      </c>
      <c r="AR103" s="2" t="n">
        <v>1562.19</v>
      </c>
      <c r="AS103" s="2" t="n">
        <v>4539.79</v>
      </c>
      <c r="AT103" s="2" t="n">
        <v>89.47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6191.45</v>
      </c>
      <c r="BB103" s="2" t="n">
        <v>4629.26</v>
      </c>
      <c r="BC103" s="2">
        <f>F103+L103+R103+X103+AD103+AJ103+AP103+AV103+IF(BE103="",0,BE103)</f>
        <v/>
      </c>
      <c r="BD103" s="2" t="n">
        <v>71.290604</v>
      </c>
      <c r="BE103" s="2" t="n"/>
      <c r="BF103" s="2" t="n">
        <v>5732.824074074074</v>
      </c>
      <c r="BG103" s="2" t="n">
        <v>0</v>
      </c>
      <c r="BH103" s="2" t="n">
        <v>0</v>
      </c>
      <c r="BI103" s="2" t="n">
        <v>36269.25</v>
      </c>
      <c r="BJ103" s="2" t="n">
        <v>69.65810344827587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62.49501</v>
      </c>
      <c r="BQ103" s="2" t="n">
        <v>28217.64459482759</v>
      </c>
      <c r="BR103" s="2" t="n">
        <v>64644.04770827586</v>
      </c>
      <c r="BS103" s="2" t="n">
        <v>878.5887931034483</v>
      </c>
      <c r="BT103" s="2" t="n">
        <v>0</v>
      </c>
      <c r="BU103" s="2" t="n">
        <v>13092.02829827586</v>
      </c>
      <c r="BV103" s="2" t="n">
        <v>13970.61709137931</v>
      </c>
      <c r="BW103" s="2" t="n">
        <v>78614.66479965518</v>
      </c>
      <c r="BX103" s="2" t="n">
        <v>4539.79</v>
      </c>
      <c r="BY103" s="2" t="n">
        <v>89.47</v>
      </c>
      <c r="BZ103" s="2" t="n">
        <v>1562.19</v>
      </c>
      <c r="CA103" s="2" t="n">
        <v>4629.26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1286</v>
      </c>
      <c r="B104" t="inlineStr">
        <is>
          <t>Dworcowa 2, 61-801 Poznań</t>
        </is>
      </c>
      <c r="C104" t="inlineStr">
        <is>
          <t>Poznań Główny</t>
        </is>
      </c>
      <c r="D104" t="inlineStr">
        <is>
          <t>FAA2000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4850.949999999999</v>
      </c>
      <c r="L104" s="2" t="n">
        <v>403.7966712962962</v>
      </c>
      <c r="M104" s="2" t="n">
        <v>4491.620370370369</v>
      </c>
      <c r="N104" s="2" t="n">
        <v>435.02</v>
      </c>
      <c r="O104" s="2" t="n">
        <v>3703.37</v>
      </c>
      <c r="P104" s="2" t="n">
        <v>712.5599999999999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10004.89</v>
      </c>
      <c r="AD104" s="2" t="n">
        <v>639.2013055555556</v>
      </c>
      <c r="AE104" s="2" t="n">
        <v>9263.787037037036</v>
      </c>
      <c r="AF104" s="2" t="n">
        <v>676.02</v>
      </c>
      <c r="AG104" s="2" t="n">
        <v>8646.16</v>
      </c>
      <c r="AH104" s="2" t="n">
        <v>682.71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3971.39</v>
      </c>
      <c r="AP104" s="2" t="n">
        <v>290.4998240740741</v>
      </c>
      <c r="AQ104" s="2" t="n">
        <v>3677.212962962963</v>
      </c>
      <c r="AR104" s="2" t="n">
        <v>438.55</v>
      </c>
      <c r="AS104" s="2" t="n">
        <v>3284.14</v>
      </c>
      <c r="AT104" s="2" t="n">
        <v>248.7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18827.23</v>
      </c>
      <c r="BB104" s="2" t="n">
        <v>17277.64</v>
      </c>
      <c r="BC104" s="2">
        <f>F104+L104+R104+X104+AD104+AJ104+AP104+AV104+IF(BE104="",0,BE104)</f>
        <v/>
      </c>
      <c r="BD104" s="2" t="n">
        <v>266.075656</v>
      </c>
      <c r="BE104" s="2" t="n"/>
      <c r="BF104" s="2" t="n">
        <v>17432.62037037037</v>
      </c>
      <c r="BG104" s="2" t="n">
        <v>458.58</v>
      </c>
      <c r="BH104" s="2" t="n">
        <v>0</v>
      </c>
      <c r="BI104" s="2" t="n">
        <v>36269.25</v>
      </c>
      <c r="BJ104" s="2" t="n">
        <v>69.65810344827587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233.24814</v>
      </c>
      <c r="BQ104" s="2" t="n">
        <v>28217.64459482759</v>
      </c>
      <c r="BR104" s="2" t="n">
        <v>65273.38083827587</v>
      </c>
      <c r="BS104" s="2" t="n">
        <v>878.5887931034483</v>
      </c>
      <c r="BT104" s="2" t="n">
        <v>0</v>
      </c>
      <c r="BU104" s="2" t="n">
        <v>13183.74429827586</v>
      </c>
      <c r="BV104" s="2" t="n">
        <v>14062.33309137931</v>
      </c>
      <c r="BW104" s="2" t="n">
        <v>79335.71392965518</v>
      </c>
      <c r="BX104" s="2" t="n">
        <v>15633.67</v>
      </c>
      <c r="BY104" s="2" t="n">
        <v>1643.97</v>
      </c>
      <c r="BZ104" s="2" t="n">
        <v>1549.59</v>
      </c>
      <c r="CA104" s="2" t="n">
        <v>17277.64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1287</v>
      </c>
      <c r="B105" t="inlineStr">
        <is>
          <t>Kościuszki 54, 82-500 Kwidzyn</t>
        </is>
      </c>
      <c r="C105" t="inlineStr">
        <is>
          <t>Kwidzyn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2612.83</v>
      </c>
      <c r="AP105" s="2" t="n">
        <v>4060</v>
      </c>
      <c r="AQ105" s="2" t="n">
        <v>2419.287037037037</v>
      </c>
      <c r="AR105" s="2" t="n">
        <v>0</v>
      </c>
      <c r="AS105" s="2" t="n">
        <v>2202.62</v>
      </c>
      <c r="AT105" s="2" t="n">
        <v>410.21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2612.83</v>
      </c>
      <c r="BB105" s="2" t="n">
        <v>2612.83</v>
      </c>
      <c r="BC105" s="2">
        <f>F105+L105+R105+X105+AD105+AJ105+AP105+AV105+IF(BE105="",0,BE105)</f>
        <v/>
      </c>
      <c r="BD105" s="2" t="n">
        <v>40.237582</v>
      </c>
      <c r="BE105" s="2" t="n"/>
      <c r="BF105" s="2" t="n">
        <v>2419.287037037037</v>
      </c>
      <c r="BG105" s="2" t="n">
        <v>0</v>
      </c>
      <c r="BH105" s="2" t="n">
        <v>0</v>
      </c>
      <c r="BI105" s="2" t="n">
        <v>36269.25</v>
      </c>
      <c r="BJ105" s="2" t="n">
        <v>69.65810344827587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35.273205</v>
      </c>
      <c r="BQ105" s="2" t="n">
        <v>28217.64459482759</v>
      </c>
      <c r="BR105" s="2" t="n">
        <v>64616.82590327586</v>
      </c>
      <c r="BS105" s="2" t="n">
        <v>878.5887931034483</v>
      </c>
      <c r="BT105" s="2" t="n">
        <v>0</v>
      </c>
      <c r="BU105" s="2" t="n">
        <v>13092.02829827586</v>
      </c>
      <c r="BV105" s="2" t="n">
        <v>13970.61709137931</v>
      </c>
      <c r="BW105" s="2" t="n">
        <v>78587.44299465517</v>
      </c>
      <c r="BX105" s="2" t="n">
        <v>2202.62</v>
      </c>
      <c r="BY105" s="2" t="n">
        <v>410.21</v>
      </c>
      <c r="BZ105" s="2" t="n">
        <v>0</v>
      </c>
      <c r="CA105" s="2" t="n">
        <v>2612.83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1288</v>
      </c>
      <c r="B106" t="inlineStr">
        <is>
          <t>Ks. Stefańskiego 6, 84-140 Jastarnia</t>
        </is>
      </c>
      <c r="C106" t="inlineStr">
        <is>
          <t>Jastania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3972.56</v>
      </c>
      <c r="AP106" s="2" t="n">
        <v>4494</v>
      </c>
      <c r="AQ106" s="2" t="n">
        <v>3678.296296296296</v>
      </c>
      <c r="AR106" s="2" t="n">
        <v>0</v>
      </c>
      <c r="AS106" s="2" t="n">
        <v>3709.94</v>
      </c>
      <c r="AT106" s="2" t="n">
        <v>262.62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3972.56</v>
      </c>
      <c r="BB106" s="2" t="n">
        <v>3972.56</v>
      </c>
      <c r="BC106" s="2">
        <f>F106+L106+R106+X106+AD106+AJ106+AP106+AV106+IF(BE106="",0,BE106)</f>
        <v/>
      </c>
      <c r="BD106" s="2" t="n">
        <v>61.177424</v>
      </c>
      <c r="BE106" s="2" t="n"/>
      <c r="BF106" s="2" t="n">
        <v>3678.296296296296</v>
      </c>
      <c r="BG106" s="2" t="n">
        <v>0</v>
      </c>
      <c r="BH106" s="2" t="n">
        <v>0</v>
      </c>
      <c r="BI106" s="2" t="n">
        <v>36269.25</v>
      </c>
      <c r="BJ106" s="2" t="n">
        <v>69.65810344827587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53.62956</v>
      </c>
      <c r="BQ106" s="2" t="n">
        <v>28217.64459482759</v>
      </c>
      <c r="BR106" s="2" t="n">
        <v>64635.18225827586</v>
      </c>
      <c r="BS106" s="2" t="n">
        <v>878.5887931034483</v>
      </c>
      <c r="BT106" s="2" t="n">
        <v>0</v>
      </c>
      <c r="BU106" s="2" t="n">
        <v>13092.02829827586</v>
      </c>
      <c r="BV106" s="2" t="n">
        <v>13970.61709137931</v>
      </c>
      <c r="BW106" s="2" t="n">
        <v>78605.79934965516</v>
      </c>
      <c r="BX106" s="2" t="n">
        <v>3709.94</v>
      </c>
      <c r="BY106" s="2" t="n">
        <v>262.62</v>
      </c>
      <c r="BZ106" s="2" t="n">
        <v>0</v>
      </c>
      <c r="CA106" s="2" t="n">
        <v>3972.56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1289</v>
      </c>
      <c r="B107" t="inlineStr">
        <is>
          <t>Dworcowa 1, 84-150 Hel</t>
        </is>
      </c>
      <c r="C107" t="inlineStr">
        <is>
          <t>Hel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7795.76</v>
      </c>
      <c r="AP107" s="2" t="n">
        <v>4494</v>
      </c>
      <c r="AQ107" s="2" t="n">
        <v>7218.296296296296</v>
      </c>
      <c r="AR107" s="2" t="n">
        <v>0</v>
      </c>
      <c r="AS107" s="2" t="n">
        <v>7170.13</v>
      </c>
      <c r="AT107" s="2" t="n">
        <v>625.63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7795.76</v>
      </c>
      <c r="BB107" s="2" t="n">
        <v>7795.76</v>
      </c>
      <c r="BC107" s="2">
        <f>F107+L107+R107+X107+AD107+AJ107+AP107+AV107+IF(BE107="",0,BE107)</f>
        <v/>
      </c>
      <c r="BD107" s="2" t="n">
        <v>120.054704</v>
      </c>
      <c r="BE107" s="2" t="n"/>
      <c r="BF107" s="2" t="n">
        <v>7218.296296296296</v>
      </c>
      <c r="BG107" s="2" t="n">
        <v>0</v>
      </c>
      <c r="BH107" s="2" t="n">
        <v>0</v>
      </c>
      <c r="BI107" s="2" t="n">
        <v>36269.25</v>
      </c>
      <c r="BJ107" s="2" t="n">
        <v>69.65810344827587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105.24276</v>
      </c>
      <c r="BQ107" s="2" t="n">
        <v>28217.64459482759</v>
      </c>
      <c r="BR107" s="2" t="n">
        <v>64686.79545827586</v>
      </c>
      <c r="BS107" s="2" t="n">
        <v>878.5887931034483</v>
      </c>
      <c r="BT107" s="2" t="n">
        <v>0</v>
      </c>
      <c r="BU107" s="2" t="n">
        <v>13092.02829827586</v>
      </c>
      <c r="BV107" s="2" t="n">
        <v>13970.61709137931</v>
      </c>
      <c r="BW107" s="2" t="n">
        <v>78657.41254965517</v>
      </c>
      <c r="BX107" s="2" t="n">
        <v>7170.13</v>
      </c>
      <c r="BY107" s="2" t="n">
        <v>625.63</v>
      </c>
      <c r="BZ107" s="2" t="n">
        <v>0</v>
      </c>
      <c r="CA107" s="2" t="n">
        <v>7795.76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1290</v>
      </c>
      <c r="B108" t="inlineStr">
        <is>
          <t>Kolumba 2, 70-035 Szczecin</t>
        </is>
      </c>
      <c r="C108" t="inlineStr">
        <is>
          <t>Szczecin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8301.98</v>
      </c>
      <c r="L108" s="2" t="n">
        <v>691.0629648148148</v>
      </c>
      <c r="M108" s="2" t="n">
        <v>7687.018518518517</v>
      </c>
      <c r="N108" s="2" t="n">
        <v>3954.37</v>
      </c>
      <c r="O108" s="2" t="n">
        <v>4347.61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29275.16</v>
      </c>
      <c r="AP108" s="2" t="n">
        <v>2141.42374074074</v>
      </c>
      <c r="AQ108" s="2" t="n">
        <v>27106.62962962963</v>
      </c>
      <c r="AR108" s="2" t="n">
        <v>11544.7</v>
      </c>
      <c r="AS108" s="2" t="n">
        <v>17730.46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37577.14</v>
      </c>
      <c r="BB108" s="2" t="n">
        <v>22078.07</v>
      </c>
      <c r="BC108" s="2">
        <f>F108+L108+R108+X108+AD108+AJ108+AP108+AV108+IF(BE108="",0,BE108)</f>
        <v/>
      </c>
      <c r="BD108" s="2" t="n">
        <v>340.002278</v>
      </c>
      <c r="BE108" s="2" t="n"/>
      <c r="BF108" s="2" t="n">
        <v>34793.64814814815</v>
      </c>
      <c r="BG108" s="2" t="n">
        <v>1387.63</v>
      </c>
      <c r="BH108" s="2" t="n">
        <v>187.2</v>
      </c>
      <c r="BI108" s="2" t="n">
        <v>36269.25</v>
      </c>
      <c r="BJ108" s="2" t="n">
        <v>69.65810344827587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298.0539449999999</v>
      </c>
      <c r="BQ108" s="2" t="n">
        <v>28217.64459482759</v>
      </c>
      <c r="BR108" s="2" t="n">
        <v>66454.43664327587</v>
      </c>
      <c r="BS108" s="2" t="n">
        <v>878.5887931034483</v>
      </c>
      <c r="BT108" s="2" t="n">
        <v>0</v>
      </c>
      <c r="BU108" s="2" t="n">
        <v>13406.99429827586</v>
      </c>
      <c r="BV108" s="2" t="n">
        <v>14285.58309137931</v>
      </c>
      <c r="BW108" s="2" t="n">
        <v>80740.01973465519</v>
      </c>
      <c r="BX108" s="2" t="n">
        <v>22078.07</v>
      </c>
      <c r="BY108" s="2" t="n">
        <v>0</v>
      </c>
      <c r="BZ108" s="2" t="n">
        <v>15499.07</v>
      </c>
      <c r="CA108" s="2" t="n">
        <v>22078.07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1291</v>
      </c>
      <c r="B109" t="inlineStr">
        <is>
          <t>pl. Dworcowy 1, 82-300 Elbląg</t>
        </is>
      </c>
      <c r="C109" t="inlineStr">
        <is>
          <t>Elbląg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3103.69</v>
      </c>
      <c r="L109" s="2" t="n">
        <v>258.3534546296297</v>
      </c>
      <c r="M109" s="2" t="n">
        <v>2873.787037037037</v>
      </c>
      <c r="N109" s="2" t="n">
        <v>1174.36</v>
      </c>
      <c r="O109" s="2" t="n">
        <v>1825.73</v>
      </c>
      <c r="P109" s="2" t="n">
        <v>103.6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17125.61</v>
      </c>
      <c r="AP109" s="2" t="n">
        <v>1252.706657407407</v>
      </c>
      <c r="AQ109" s="2" t="n">
        <v>15857.0462962963</v>
      </c>
      <c r="AR109" s="2" t="n">
        <v>4678.97</v>
      </c>
      <c r="AS109" s="2" t="n">
        <v>11853.05</v>
      </c>
      <c r="AT109" s="2" t="n">
        <v>593.59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20229.3</v>
      </c>
      <c r="BB109" s="2" t="n">
        <v>14375.97</v>
      </c>
      <c r="BC109" s="2">
        <f>F109+L109+R109+X109+AD109+AJ109+AP109+AV109+IF(BE109="",0,BE109)</f>
        <v/>
      </c>
      <c r="BD109" s="2" t="n">
        <v>221.389938</v>
      </c>
      <c r="BE109" s="2" t="n"/>
      <c r="BF109" s="2" t="n">
        <v>18730.83333333333</v>
      </c>
      <c r="BG109" s="2" t="n">
        <v>372.81</v>
      </c>
      <c r="BH109" s="2" t="n">
        <v>345</v>
      </c>
      <c r="BI109" s="2" t="n">
        <v>36269.25</v>
      </c>
      <c r="BJ109" s="2" t="n">
        <v>69.65810344827587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194.075595</v>
      </c>
      <c r="BQ109" s="2" t="n">
        <v>28217.64459482759</v>
      </c>
      <c r="BR109" s="2" t="n">
        <v>65493.43829327586</v>
      </c>
      <c r="BS109" s="2" t="n">
        <v>878.5887931034483</v>
      </c>
      <c r="BT109" s="2" t="n">
        <v>0</v>
      </c>
      <c r="BU109" s="2" t="n">
        <v>13235.59029827586</v>
      </c>
      <c r="BV109" s="2" t="n">
        <v>14114.17909137931</v>
      </c>
      <c r="BW109" s="2" t="n">
        <v>79607.61738465517</v>
      </c>
      <c r="BX109" s="2" t="n">
        <v>13678.78</v>
      </c>
      <c r="BY109" s="2" t="n">
        <v>697.1900000000001</v>
      </c>
      <c r="BZ109" s="2" t="n">
        <v>5853.33</v>
      </c>
      <c r="CA109" s="2" t="n">
        <v>14375.97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1292</v>
      </c>
      <c r="B110" t="inlineStr">
        <is>
          <t>Dworcowa 8A, 84-310 Lębork</t>
        </is>
      </c>
      <c r="C110" t="inlineStr">
        <is>
          <t>Lębork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2565.869999999999</v>
      </c>
      <c r="L110" s="2" t="n">
        <v>213.5849194444444</v>
      </c>
      <c r="M110" s="2" t="n">
        <v>2375.805555555555</v>
      </c>
      <c r="N110" s="2" t="n">
        <v>1319.1</v>
      </c>
      <c r="O110" s="2" t="n">
        <v>1159.84</v>
      </c>
      <c r="P110" s="2" t="n">
        <v>86.93000000000001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7401.36</v>
      </c>
      <c r="AP110" s="2" t="n">
        <v>4127</v>
      </c>
      <c r="AQ110" s="2" t="n">
        <v>6853.11111111111</v>
      </c>
      <c r="AR110" s="2" t="n">
        <v>3760.35</v>
      </c>
      <c r="AS110" s="2" t="n">
        <v>3390.23</v>
      </c>
      <c r="AT110" s="2" t="n">
        <v>250.78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9967.23</v>
      </c>
      <c r="BB110" s="2" t="n">
        <v>4887.780000000001</v>
      </c>
      <c r="BC110" s="2">
        <f>F110+L110+R110+X110+AD110+AJ110+AP110+AV110+IF(BE110="",0,BE110)</f>
        <v/>
      </c>
      <c r="BD110" s="2" t="n">
        <v>75.27181200000001</v>
      </c>
      <c r="BE110" s="2" t="n"/>
      <c r="BF110" s="2" t="n">
        <v>9228.916666666664</v>
      </c>
      <c r="BG110" s="2" t="n">
        <v>0</v>
      </c>
      <c r="BH110" s="2" t="n">
        <v>0</v>
      </c>
      <c r="BI110" s="2" t="n">
        <v>36269.25</v>
      </c>
      <c r="BJ110" s="2" t="n">
        <v>69.65810344827587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65.98502999999999</v>
      </c>
      <c r="BQ110" s="2" t="n">
        <v>28217.64459482759</v>
      </c>
      <c r="BR110" s="2" t="n">
        <v>64647.53772827586</v>
      </c>
      <c r="BS110" s="2" t="n">
        <v>878.5887931034483</v>
      </c>
      <c r="BT110" s="2" t="n">
        <v>0</v>
      </c>
      <c r="BU110" s="2" t="n">
        <v>13092.02829827586</v>
      </c>
      <c r="BV110" s="2" t="n">
        <v>13970.61709137931</v>
      </c>
      <c r="BW110" s="2" t="n">
        <v>78618.15481965517</v>
      </c>
      <c r="BX110" s="2" t="n">
        <v>4550.07</v>
      </c>
      <c r="BY110" s="2" t="n">
        <v>337.71</v>
      </c>
      <c r="BZ110" s="2" t="n">
        <v>5079.45</v>
      </c>
      <c r="CA110" s="2" t="n">
        <v>4887.78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1293</v>
      </c>
      <c r="B111" t="inlineStr">
        <is>
          <t>Dworcowa 10, 84-100 Puck</t>
        </is>
      </c>
      <c r="C111" t="inlineStr">
        <is>
          <t>Puck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72</v>
      </c>
      <c r="L111" s="2" t="n">
        <v>5.993333333333333</v>
      </c>
      <c r="M111" s="2" t="n">
        <v>66.66666666666666</v>
      </c>
      <c r="N111" s="2" t="n">
        <v>72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5109.03</v>
      </c>
      <c r="AP111" s="2" t="n">
        <v>4227</v>
      </c>
      <c r="AQ111" s="2" t="n">
        <v>4730.583333333333</v>
      </c>
      <c r="AR111" s="2" t="n">
        <v>1558.92</v>
      </c>
      <c r="AS111" s="2" t="n">
        <v>3390.79</v>
      </c>
      <c r="AT111" s="2" t="n">
        <v>159.32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5181.03</v>
      </c>
      <c r="BB111" s="2" t="n">
        <v>3550.11</v>
      </c>
      <c r="BC111" s="2">
        <f>F111+L111+R111+X111+AD111+AJ111+AP111+AV111+IF(BE111="",0,BE111)</f>
        <v/>
      </c>
      <c r="BD111" s="2" t="n">
        <v>54.671694</v>
      </c>
      <c r="BE111" s="2" t="n"/>
      <c r="BF111" s="2" t="n">
        <v>4797.25</v>
      </c>
      <c r="BG111" s="2" t="n">
        <v>0</v>
      </c>
      <c r="BH111" s="2" t="n">
        <v>0</v>
      </c>
      <c r="BI111" s="2" t="n">
        <v>36269.25</v>
      </c>
      <c r="BJ111" s="2" t="n">
        <v>69.65810344827587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47.926485</v>
      </c>
      <c r="BQ111" s="2" t="n">
        <v>28217.64459482759</v>
      </c>
      <c r="BR111" s="2" t="n">
        <v>64629.47918327586</v>
      </c>
      <c r="BS111" s="2" t="n">
        <v>878.5887931034483</v>
      </c>
      <c r="BT111" s="2" t="n">
        <v>0</v>
      </c>
      <c r="BU111" s="2" t="n">
        <v>13092.02829827586</v>
      </c>
      <c r="BV111" s="2" t="n">
        <v>13970.61709137931</v>
      </c>
      <c r="BW111" s="2" t="n">
        <v>78600.09627465517</v>
      </c>
      <c r="BX111" s="2" t="n">
        <v>3390.79</v>
      </c>
      <c r="BY111" s="2" t="n">
        <v>159.32</v>
      </c>
      <c r="BZ111" s="2" t="n">
        <v>1630.92</v>
      </c>
      <c r="CA111" s="2" t="n">
        <v>3550.11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1294</v>
      </c>
      <c r="B112" t="inlineStr">
        <is>
          <t>Plac Dworcowy 3, 49-300 Brzeg</t>
        </is>
      </c>
      <c r="C112" t="inlineStr">
        <is>
          <t>Brzeg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9637.170000000002</v>
      </c>
      <c r="L112" s="2" t="n">
        <v>802.2051694444446</v>
      </c>
      <c r="M112" s="2" t="n">
        <v>8923.305555555557</v>
      </c>
      <c r="N112" s="2" t="n">
        <v>1017.28</v>
      </c>
      <c r="O112" s="2" t="n">
        <v>8207.120000000001</v>
      </c>
      <c r="P112" s="2" t="n">
        <v>412.77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17389.41</v>
      </c>
      <c r="AP112" s="2" t="n">
        <v>1272.003138888889</v>
      </c>
      <c r="AQ112" s="2" t="n">
        <v>16101.30555555555</v>
      </c>
      <c r="AR112" s="2" t="n">
        <v>3161.6</v>
      </c>
      <c r="AS112" s="2" t="n">
        <v>13333.26</v>
      </c>
      <c r="AT112" s="2" t="n">
        <v>894.55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27026.58</v>
      </c>
      <c r="BB112" s="2" t="n">
        <v>22847.7</v>
      </c>
      <c r="BC112" s="2">
        <f>F112+L112+R112+X112+AD112+AJ112+AP112+AV112+IF(BE112="",0,BE112)</f>
        <v/>
      </c>
      <c r="BD112" s="2" t="n">
        <v>351.8545800000001</v>
      </c>
      <c r="BE112" s="2" t="n"/>
      <c r="BF112" s="2" t="n">
        <v>25024.61111111111</v>
      </c>
      <c r="BG112" s="2" t="n">
        <v>0</v>
      </c>
      <c r="BH112" s="2" t="n">
        <v>0</v>
      </c>
      <c r="BI112" s="2" t="n">
        <v>36269.25</v>
      </c>
      <c r="BJ112" s="2" t="n">
        <v>69.65810344827587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308.44395</v>
      </c>
      <c r="BQ112" s="2" t="n">
        <v>28217.64459482759</v>
      </c>
      <c r="BR112" s="2" t="n">
        <v>64889.99664827586</v>
      </c>
      <c r="BS112" s="2" t="n">
        <v>878.5887931034483</v>
      </c>
      <c r="BT112" s="2" t="n">
        <v>0</v>
      </c>
      <c r="BU112" s="2" t="n">
        <v>13092.02829827586</v>
      </c>
      <c r="BV112" s="2" t="n">
        <v>13970.61709137931</v>
      </c>
      <c r="BW112" s="2" t="n">
        <v>78860.61373965518</v>
      </c>
      <c r="BX112" s="2" t="n">
        <v>21540.38</v>
      </c>
      <c r="BY112" s="2" t="n">
        <v>1307.32</v>
      </c>
      <c r="BZ112" s="2" t="n">
        <v>4178.88</v>
      </c>
      <c r="CA112" s="2" t="n">
        <v>22847.7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1295</v>
      </c>
      <c r="B113" t="inlineStr">
        <is>
          <t>Zygmunta Starego 1, 64-920 Piła</t>
        </is>
      </c>
      <c r="C113" t="inlineStr">
        <is>
          <t>Piła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4015.32</v>
      </c>
      <c r="L113" s="2" t="n">
        <v>334.2382111111111</v>
      </c>
      <c r="M113" s="2" t="n">
        <v>3717.888888888888</v>
      </c>
      <c r="N113" s="2" t="n">
        <v>988.26</v>
      </c>
      <c r="O113" s="2" t="n">
        <v>2726.27</v>
      </c>
      <c r="P113" s="2" t="n">
        <v>300.79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6010.79</v>
      </c>
      <c r="AD113" s="2" t="n">
        <v>384.0226944444444</v>
      </c>
      <c r="AE113" s="2" t="n">
        <v>5565.546296296296</v>
      </c>
      <c r="AF113" s="2" t="n">
        <v>1324.59</v>
      </c>
      <c r="AG113" s="2" t="n">
        <v>3902.3</v>
      </c>
      <c r="AH113" s="2" t="n">
        <v>783.9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11975.51</v>
      </c>
      <c r="AP113" s="2" t="n">
        <v>875.9863796296296</v>
      </c>
      <c r="AQ113" s="2" t="n">
        <v>11088.43518518518</v>
      </c>
      <c r="AR113" s="2" t="n">
        <v>3296.4</v>
      </c>
      <c r="AS113" s="2" t="n">
        <v>7933.16</v>
      </c>
      <c r="AT113" s="2" t="n">
        <v>745.95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22001.62</v>
      </c>
      <c r="BB113" s="2" t="n">
        <v>16392.37</v>
      </c>
      <c r="BC113" s="2">
        <f>F113+L113+R113+X113+AD113+AJ113+AP113+AV113+IF(BE113="",0,BE113)</f>
        <v/>
      </c>
      <c r="BD113" s="2" t="n">
        <v>252.442498</v>
      </c>
      <c r="BE113" s="2" t="n"/>
      <c r="BF113" s="2" t="n">
        <v>20371.87037037037</v>
      </c>
      <c r="BG113" s="2" t="n">
        <v>0</v>
      </c>
      <c r="BH113" s="2" t="n">
        <v>0</v>
      </c>
      <c r="BI113" s="2" t="n">
        <v>36269.25</v>
      </c>
      <c r="BJ113" s="2" t="n">
        <v>69.65810344827587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221.296995</v>
      </c>
      <c r="BQ113" s="2" t="n">
        <v>28217.64459482759</v>
      </c>
      <c r="BR113" s="2" t="n">
        <v>64802.84969327586</v>
      </c>
      <c r="BS113" s="2" t="n">
        <v>878.5887931034483</v>
      </c>
      <c r="BT113" s="2" t="n">
        <v>0</v>
      </c>
      <c r="BU113" s="2" t="n">
        <v>13092.02829827586</v>
      </c>
      <c r="BV113" s="2" t="n">
        <v>13970.61709137931</v>
      </c>
      <c r="BW113" s="2" t="n">
        <v>78773.46678465517</v>
      </c>
      <c r="BX113" s="2" t="n">
        <v>14561.73</v>
      </c>
      <c r="BY113" s="2" t="n">
        <v>1830.64</v>
      </c>
      <c r="BZ113" s="2" t="n">
        <v>5609.25</v>
      </c>
      <c r="CA113" s="2" t="n">
        <v>16392.37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1296</v>
      </c>
      <c r="B114" t="inlineStr">
        <is>
          <t>Dworcowa 2, 61-801 Poznań</t>
        </is>
      </c>
      <c r="C114" t="inlineStr">
        <is>
          <t>Poznań Główny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9752.640000000001</v>
      </c>
      <c r="L114" s="2" t="n">
        <v>811.8169777777779</v>
      </c>
      <c r="M114" s="2" t="n">
        <v>9030.222222222223</v>
      </c>
      <c r="N114" s="2" t="n">
        <v>2350.19</v>
      </c>
      <c r="O114" s="2" t="n">
        <v>7042.75</v>
      </c>
      <c r="P114" s="2" t="n">
        <v>359.7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22213.62</v>
      </c>
      <c r="AD114" s="2" t="n">
        <v>1419.2035</v>
      </c>
      <c r="AE114" s="2" t="n">
        <v>20568.16666666666</v>
      </c>
      <c r="AF114" s="2" t="n">
        <v>3475.9</v>
      </c>
      <c r="AG114" s="2" t="n">
        <v>17528.67</v>
      </c>
      <c r="AH114" s="2" t="n">
        <v>1209.05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5974.469999999999</v>
      </c>
      <c r="AP114" s="2" t="n">
        <v>437.0214166666666</v>
      </c>
      <c r="AQ114" s="2" t="n">
        <v>5531.916666666666</v>
      </c>
      <c r="AR114" s="2" t="n">
        <v>1031.44</v>
      </c>
      <c r="AS114" s="2" t="n">
        <v>4703.03</v>
      </c>
      <c r="AT114" s="2" t="n">
        <v>240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37940.73</v>
      </c>
      <c r="BB114" s="2" t="n">
        <v>31083.2</v>
      </c>
      <c r="BC114" s="2">
        <f>F114+L114+R114+X114+AD114+AJ114+AP114+AV114+IF(BE114="",0,BE114)</f>
        <v/>
      </c>
      <c r="BD114" s="2" t="n">
        <v>478.68128</v>
      </c>
      <c r="BE114" s="2" t="n"/>
      <c r="BF114" s="2" t="n">
        <v>35130.30555555555</v>
      </c>
      <c r="BG114" s="2" t="n">
        <v>458.58</v>
      </c>
      <c r="BH114" s="2" t="n">
        <v>0</v>
      </c>
      <c r="BI114" s="2" t="n">
        <v>36269.25</v>
      </c>
      <c r="BJ114" s="2" t="n">
        <v>69.65810344827587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419.6232</v>
      </c>
      <c r="BQ114" s="2" t="n">
        <v>28217.64459482759</v>
      </c>
      <c r="BR114" s="2" t="n">
        <v>65459.75589827586</v>
      </c>
      <c r="BS114" s="2" t="n">
        <v>878.5887931034483</v>
      </c>
      <c r="BT114" s="2" t="n">
        <v>0</v>
      </c>
      <c r="BU114" s="2" t="n">
        <v>13183.74429827586</v>
      </c>
      <c r="BV114" s="2" t="n">
        <v>14062.33309137931</v>
      </c>
      <c r="BW114" s="2" t="n">
        <v>79522.08898965518</v>
      </c>
      <c r="BX114" s="2" t="n">
        <v>29274.45</v>
      </c>
      <c r="BY114" s="2" t="n">
        <v>1808.75</v>
      </c>
      <c r="BZ114" s="2" t="n">
        <v>6857.530000000001</v>
      </c>
      <c r="CA114" s="2" t="n">
        <v>31083.2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1297</v>
      </c>
      <c r="B115" t="inlineStr">
        <is>
          <t>Dworcowa 2, 61-801 Poznań</t>
        </is>
      </c>
      <c r="C115" t="inlineStr">
        <is>
          <t>Poznań Główny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7541.389999999999</v>
      </c>
      <c r="L115" s="2" t="n">
        <v>627.7508898148147</v>
      </c>
      <c r="M115" s="2" t="n">
        <v>6982.768518518517</v>
      </c>
      <c r="N115" s="2" t="n">
        <v>2025.52</v>
      </c>
      <c r="O115" s="2" t="n">
        <v>5197.36</v>
      </c>
      <c r="P115" s="2" t="n">
        <v>318.51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13490.52</v>
      </c>
      <c r="AD115" s="2" t="n">
        <v>861.8943333333333</v>
      </c>
      <c r="AE115" s="2" t="n">
        <v>12491.22222222222</v>
      </c>
      <c r="AF115" s="2" t="n">
        <v>2462.59</v>
      </c>
      <c r="AG115" s="2" t="n">
        <v>10444.21</v>
      </c>
      <c r="AH115" s="2" t="n">
        <v>583.72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4089.72</v>
      </c>
      <c r="AP115" s="2" t="n">
        <v>299.1554444444444</v>
      </c>
      <c r="AQ115" s="2" t="n">
        <v>3786.777777777777</v>
      </c>
      <c r="AR115" s="2" t="n">
        <v>780.51</v>
      </c>
      <c r="AS115" s="2" t="n">
        <v>3184.86</v>
      </c>
      <c r="AT115" s="2" t="n">
        <v>124.35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25121.63</v>
      </c>
      <c r="BB115" s="2" t="n">
        <v>19853.01</v>
      </c>
      <c r="BC115" s="2">
        <f>F115+L115+R115+X115+AD115+AJ115+AP115+AV115+IF(BE115="",0,BE115)</f>
        <v/>
      </c>
      <c r="BD115" s="2" t="n">
        <v>305.736354</v>
      </c>
      <c r="BE115" s="2" t="n"/>
      <c r="BF115" s="2" t="n">
        <v>23260.76851851851</v>
      </c>
      <c r="BG115" s="2" t="n">
        <v>458.58</v>
      </c>
      <c r="BH115" s="2" t="n">
        <v>0</v>
      </c>
      <c r="BI115" s="2" t="n">
        <v>36269.25</v>
      </c>
      <c r="BJ115" s="2" t="n">
        <v>69.65810344827587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268.015635</v>
      </c>
      <c r="BQ115" s="2" t="n">
        <v>28217.64459482759</v>
      </c>
      <c r="BR115" s="2" t="n">
        <v>65308.14833327587</v>
      </c>
      <c r="BS115" s="2" t="n">
        <v>878.5887931034483</v>
      </c>
      <c r="BT115" s="2" t="n">
        <v>0</v>
      </c>
      <c r="BU115" s="2" t="n">
        <v>13183.74429827586</v>
      </c>
      <c r="BV115" s="2" t="n">
        <v>14062.33309137931</v>
      </c>
      <c r="BW115" s="2" t="n">
        <v>79370.48142465518</v>
      </c>
      <c r="BX115" s="2" t="n">
        <v>18826.43</v>
      </c>
      <c r="BY115" s="2" t="n">
        <v>1026.58</v>
      </c>
      <c r="BZ115" s="2" t="n">
        <v>5268.620000000001</v>
      </c>
      <c r="CA115" s="2" t="n">
        <v>19853.01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1298</v>
      </c>
      <c r="B116" t="inlineStr">
        <is>
          <t>Kolumba 2, 70-035 Szczecin</t>
        </is>
      </c>
      <c r="C116" t="inlineStr">
        <is>
          <t>Szczecin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6183.66</v>
      </c>
      <c r="L116" s="2" t="n">
        <v>514.7324388888889</v>
      </c>
      <c r="M116" s="2" t="n">
        <v>5725.61111111111</v>
      </c>
      <c r="N116" s="2" t="n">
        <v>2658.83</v>
      </c>
      <c r="O116" s="2" t="n">
        <v>3524.83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20665.68</v>
      </c>
      <c r="AP116" s="2" t="n">
        <v>1511.656222222222</v>
      </c>
      <c r="AQ116" s="2" t="n">
        <v>19134.88888888889</v>
      </c>
      <c r="AR116" s="2" t="n">
        <v>7247.03</v>
      </c>
      <c r="AS116" s="2" t="n">
        <v>13418.65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26849.34</v>
      </c>
      <c r="BB116" s="2" t="n">
        <v>16943.48</v>
      </c>
      <c r="BC116" s="2">
        <f>F116+L116+R116+X116+AD116+AJ116+AP116+AV116+IF(BE116="",0,BE116)</f>
        <v/>
      </c>
      <c r="BD116" s="2" t="n">
        <v>260.929592</v>
      </c>
      <c r="BE116" s="2" t="n"/>
      <c r="BF116" s="2" t="n">
        <v>24860.5</v>
      </c>
      <c r="BG116" s="2" t="n">
        <v>1387.63</v>
      </c>
      <c r="BH116" s="2" t="n">
        <v>187.2</v>
      </c>
      <c r="BI116" s="2" t="n">
        <v>36269.25</v>
      </c>
      <c r="BJ116" s="2" t="n">
        <v>69.65810344827587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228.73698</v>
      </c>
      <c r="BQ116" s="2" t="n">
        <v>28217.64459482759</v>
      </c>
      <c r="BR116" s="2" t="n">
        <v>66385.11967827586</v>
      </c>
      <c r="BS116" s="2" t="n">
        <v>878.5887931034483</v>
      </c>
      <c r="BT116" s="2" t="n">
        <v>0</v>
      </c>
      <c r="BU116" s="2" t="n">
        <v>13406.99429827586</v>
      </c>
      <c r="BV116" s="2" t="n">
        <v>14285.58309137931</v>
      </c>
      <c r="BW116" s="2" t="n">
        <v>80670.70276965518</v>
      </c>
      <c r="BX116" s="2" t="n">
        <v>16943.48</v>
      </c>
      <c r="BY116" s="2" t="n">
        <v>0</v>
      </c>
      <c r="BZ116" s="2" t="n">
        <v>9905.860000000001</v>
      </c>
      <c r="CA116" s="2" t="n">
        <v>16943.48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1299</v>
      </c>
      <c r="B117" t="inlineStr">
        <is>
          <t>Pawia 5a, 31-154 Kraków</t>
        </is>
      </c>
      <c r="C117" t="inlineStr">
        <is>
          <t>Kraków Główny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15786.73</v>
      </c>
      <c r="L117" s="2" t="n">
        <v>1314.099099074074</v>
      </c>
      <c r="M117" s="2" t="n">
        <v>14617.34259259259</v>
      </c>
      <c r="N117" s="2" t="n">
        <v>3781.81</v>
      </c>
      <c r="O117" s="2" t="n">
        <v>11899.3</v>
      </c>
      <c r="P117" s="2" t="n">
        <v>105.62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14421.11</v>
      </c>
      <c r="X117" s="2" t="n">
        <v>750</v>
      </c>
      <c r="Y117" s="2" t="n">
        <v>13352.87962962963</v>
      </c>
      <c r="Z117" s="2" t="n">
        <v>1576.84</v>
      </c>
      <c r="AA117" s="2" t="n">
        <v>12670.26</v>
      </c>
      <c r="AB117" s="2" t="n">
        <v>174.01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9158.800000000001</v>
      </c>
      <c r="AP117" s="2" t="n">
        <v>669.9492592592593</v>
      </c>
      <c r="AQ117" s="2" t="n">
        <v>8480.37037037037</v>
      </c>
      <c r="AR117" s="2" t="n">
        <v>1707.96</v>
      </c>
      <c r="AS117" s="2" t="n">
        <v>7043.85</v>
      </c>
      <c r="AT117" s="2" t="n">
        <v>406.99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39366.64</v>
      </c>
      <c r="BB117" s="2" t="n">
        <v>32300.03</v>
      </c>
      <c r="BC117" s="2">
        <f>F117+L117+R117+X117+AD117+AJ117+AP117+AV117+IF(BE117="",0,BE117)</f>
        <v/>
      </c>
      <c r="BD117" s="2" t="n">
        <v>473.016349</v>
      </c>
      <c r="BE117" s="2" t="n"/>
      <c r="BF117" s="2" t="n">
        <v>36450.59259259259</v>
      </c>
      <c r="BG117" s="2" t="n">
        <v>0</v>
      </c>
      <c r="BH117" s="2" t="n">
        <v>0</v>
      </c>
      <c r="BI117" s="2" t="n">
        <v>36269.25</v>
      </c>
      <c r="BJ117" s="2" t="n">
        <v>69.65810344827587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436.050405</v>
      </c>
      <c r="BQ117" s="2" t="n">
        <v>28217.64459482759</v>
      </c>
      <c r="BR117" s="2" t="n">
        <v>65017.60310327586</v>
      </c>
      <c r="BS117" s="2" t="n">
        <v>878.5887931034483</v>
      </c>
      <c r="BT117" s="2" t="n">
        <v>0</v>
      </c>
      <c r="BU117" s="2" t="n">
        <v>13092.02829827586</v>
      </c>
      <c r="BV117" s="2" t="n">
        <v>13970.61709137931</v>
      </c>
      <c r="BW117" s="2" t="n">
        <v>78988.22019465518</v>
      </c>
      <c r="BX117" s="2" t="n">
        <v>31613.41</v>
      </c>
      <c r="BY117" s="2" t="n">
        <v>686.62</v>
      </c>
      <c r="BZ117" s="2" t="n">
        <v>7066.61</v>
      </c>
      <c r="CA117" s="2" t="n">
        <v>32300.03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s="3" t="inlineStr">
        <is>
          <t>PODSUMOWANIE</t>
        </is>
      </c>
      <c r="B118" s="3" t="n"/>
      <c r="C118" s="3" t="n"/>
      <c r="D118" s="3" t="n"/>
      <c r="E118" s="4">
        <f>SUM(E2:E117)</f>
        <v/>
      </c>
      <c r="F118" s="4">
        <f>SUM(F2:F117)</f>
        <v/>
      </c>
      <c r="G118" s="4">
        <f>SUM(G2:G117)</f>
        <v/>
      </c>
      <c r="H118" s="4">
        <f>SUM(H2:H117)</f>
        <v/>
      </c>
      <c r="I118" s="4">
        <f>SUM(I2:I117)</f>
        <v/>
      </c>
      <c r="J118" s="4">
        <f>SUM(J2:J117)</f>
        <v/>
      </c>
      <c r="K118" s="4">
        <f>SUM(K2:K117)</f>
        <v/>
      </c>
      <c r="L118" s="4">
        <f>SUM(L2:L117)</f>
        <v/>
      </c>
      <c r="M118" s="4">
        <f>SUM(M2:M117)</f>
        <v/>
      </c>
      <c r="N118" s="4">
        <f>SUM(N2:N117)</f>
        <v/>
      </c>
      <c r="O118" s="4">
        <f>SUM(O2:O117)</f>
        <v/>
      </c>
      <c r="P118" s="4">
        <f>SUM(P2:P117)</f>
        <v/>
      </c>
      <c r="Q118" s="4">
        <f>SUM(Q2:Q117)</f>
        <v/>
      </c>
      <c r="R118" s="4">
        <f>SUM(R2:R117)</f>
        <v/>
      </c>
      <c r="S118" s="4">
        <f>SUM(S2:S117)</f>
        <v/>
      </c>
      <c r="T118" s="4">
        <f>SUM(T2:T117)</f>
        <v/>
      </c>
      <c r="U118" s="4">
        <f>SUM(U2:U117)</f>
        <v/>
      </c>
      <c r="V118" s="4">
        <f>SUM(V2:V117)</f>
        <v/>
      </c>
      <c r="W118" s="4">
        <f>SUM(W2:W117)</f>
        <v/>
      </c>
      <c r="X118" s="4">
        <f>SUM(X2:X117)</f>
        <v/>
      </c>
      <c r="Y118" s="4">
        <f>SUM(Y2:Y117)</f>
        <v/>
      </c>
      <c r="Z118" s="4">
        <f>SUM(Z2:Z117)</f>
        <v/>
      </c>
      <c r="AA118" s="4">
        <f>SUM(AA2:AA117)</f>
        <v/>
      </c>
      <c r="AB118" s="4">
        <f>SUM(AB2:AB117)</f>
        <v/>
      </c>
      <c r="AC118" s="4">
        <f>SUM(AC2:AC117)</f>
        <v/>
      </c>
      <c r="AD118" s="4">
        <f>SUM(AD2:AD117)</f>
        <v/>
      </c>
      <c r="AE118" s="4">
        <f>SUM(AE2:AE117)</f>
        <v/>
      </c>
      <c r="AF118" s="4">
        <f>SUM(AF2:AF117)</f>
        <v/>
      </c>
      <c r="AG118" s="4">
        <f>SUM(AG2:AG117)</f>
        <v/>
      </c>
      <c r="AH118" s="4">
        <f>SUM(AH2:AH117)</f>
        <v/>
      </c>
      <c r="AI118" s="4">
        <f>SUM(AI2:AI117)</f>
        <v/>
      </c>
      <c r="AJ118" s="4">
        <f>SUM(AJ2:AJ117)</f>
        <v/>
      </c>
      <c r="AK118" s="4">
        <f>SUM(AK2:AK117)</f>
        <v/>
      </c>
      <c r="AL118" s="4">
        <f>SUM(AL2:AL117)</f>
        <v/>
      </c>
      <c r="AM118" s="4">
        <f>SUM(AM2:AM117)</f>
        <v/>
      </c>
      <c r="AN118" s="4">
        <f>SUM(AN2:AN117)</f>
        <v/>
      </c>
      <c r="AO118" s="4">
        <f>SUM(AO2:AO117)</f>
        <v/>
      </c>
      <c r="AP118" s="4">
        <f>SUM(AP2:AP117)</f>
        <v/>
      </c>
      <c r="AQ118" s="4">
        <f>SUM(AQ2:AQ117)</f>
        <v/>
      </c>
      <c r="AR118" s="4">
        <f>SUM(AR2:AR117)</f>
        <v/>
      </c>
      <c r="AS118" s="4">
        <f>SUM(AS2:AS117)</f>
        <v/>
      </c>
      <c r="AT118" s="4">
        <f>SUM(AT2:AT117)</f>
        <v/>
      </c>
      <c r="AU118" s="4">
        <f>SUM(AU2:AU117)</f>
        <v/>
      </c>
      <c r="AV118" s="4">
        <f>SUM(AV2:AV117)</f>
        <v/>
      </c>
      <c r="AW118" s="4">
        <f>SUM(AW2:AW117)</f>
        <v/>
      </c>
      <c r="AX118" s="4">
        <f>SUM(AX2:AX117)</f>
        <v/>
      </c>
      <c r="AY118" s="4">
        <f>SUM(AY2:AY117)</f>
        <v/>
      </c>
      <c r="AZ118" s="4">
        <f>SUM(AZ2:AZ117)</f>
        <v/>
      </c>
      <c r="BA118" s="4">
        <f>SUM(BA2:BA117)</f>
        <v/>
      </c>
      <c r="BB118" s="4">
        <f>SUM(BB2:BB117)</f>
        <v/>
      </c>
      <c r="BC118" s="4">
        <f>SUM(BC2:BC117)</f>
        <v/>
      </c>
      <c r="BD118" s="4">
        <f>SUM(BD2:BD117)</f>
        <v/>
      </c>
      <c r="BE118" s="4">
        <f>SUM(BE2:BE117)</f>
        <v/>
      </c>
      <c r="BF118" s="4">
        <f>SUM(BF2:BF117)</f>
        <v/>
      </c>
      <c r="BG118" s="4">
        <f>SUM(BG2:BG117)</f>
        <v/>
      </c>
      <c r="BH118" s="4">
        <f>SUM(BH2:BH117)</f>
        <v/>
      </c>
      <c r="BI118" s="4">
        <f>SUM(BI2:BI117)</f>
        <v/>
      </c>
      <c r="BJ118" s="4">
        <f>SUM(BJ2:BJ117)</f>
        <v/>
      </c>
      <c r="BK118" s="4">
        <f>SUM(BK2:BK117)</f>
        <v/>
      </c>
      <c r="BL118" s="4">
        <f>SUM(BL2:BL117)</f>
        <v/>
      </c>
      <c r="BM118" s="4">
        <f>SUM(BM2:BM117)</f>
        <v/>
      </c>
      <c r="BN118" s="4">
        <f>SUM(BN2:BN117)</f>
        <v/>
      </c>
      <c r="BO118" s="4">
        <f>SUM(BO2:BO117)</f>
        <v/>
      </c>
      <c r="BP118" s="4">
        <f>SUM(BP2:BP117)</f>
        <v/>
      </c>
      <c r="BQ118" s="4">
        <f>SUM(BQ2:BQ117)</f>
        <v/>
      </c>
      <c r="BR118" s="4">
        <f>SUM(BR2:BR117)</f>
        <v/>
      </c>
      <c r="BS118" s="4">
        <f>SUM(BS2:BS117)</f>
        <v/>
      </c>
      <c r="BT118" s="4">
        <f>SUM(BT2:BT117)</f>
        <v/>
      </c>
      <c r="BU118" s="4">
        <f>SUM(BU2:BU117)</f>
        <v/>
      </c>
      <c r="BV118" s="4">
        <f>SUM(BV2:BV117)</f>
        <v/>
      </c>
      <c r="BW118" s="4">
        <f>SUM(BW2:BW117)</f>
        <v/>
      </c>
      <c r="BX118" s="4">
        <f>SUM(BX2:BX117)</f>
        <v/>
      </c>
      <c r="BY118" s="4">
        <f>SUM(BY2:BY117)</f>
        <v/>
      </c>
      <c r="BZ118" s="4">
        <f>SUM(BZ2:BZ117)</f>
        <v/>
      </c>
      <c r="CA118" s="4">
        <f>SUM(CA2:CA117)</f>
        <v/>
      </c>
      <c r="CB118" s="4">
        <f>SUM(CB2:CB117)</f>
        <v/>
      </c>
      <c r="CC118" s="3" t="n"/>
    </row>
  </sheetData>
  <conditionalFormatting sqref="CB2:CB117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1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1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20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0" customWidth="1" min="30" max="30"/>
    <col width="20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1" customWidth="1" min="56" max="56"/>
    <col width="17" customWidth="1" min="57" max="57"/>
    <col width="20" customWidth="1" min="58" max="58"/>
    <col width="20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20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20721.5</v>
      </c>
      <c r="L2" s="2" t="n">
        <v>1724.873009259259</v>
      </c>
      <c r="M2" s="2" t="n">
        <v>19186.57407407407</v>
      </c>
      <c r="N2" s="2" t="n">
        <v>0</v>
      </c>
      <c r="O2" s="2" t="n">
        <v>20002.36</v>
      </c>
      <c r="P2" s="2" t="n">
        <v>719.14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24413.57</v>
      </c>
      <c r="X2" s="2" t="n">
        <v>880</v>
      </c>
      <c r="Y2" s="2" t="n">
        <v>22605.15740740741</v>
      </c>
      <c r="Z2" s="2" t="n">
        <v>0</v>
      </c>
      <c r="AA2" s="2" t="n">
        <v>23523.36</v>
      </c>
      <c r="AB2" s="2" t="n">
        <v>890.21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10050.1</v>
      </c>
      <c r="AP2" s="2" t="n">
        <v>465.2824074074074</v>
      </c>
      <c r="AQ2" s="2" t="n">
        <v>9305.648148148148</v>
      </c>
      <c r="AR2" s="2" t="n">
        <v>0</v>
      </c>
      <c r="AS2" s="2" t="n">
        <v>9575.360000000001</v>
      </c>
      <c r="AT2" s="2" t="n">
        <v>474.74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55185.17</v>
      </c>
      <c r="BB2" s="2" t="n">
        <v>55185.17</v>
      </c>
      <c r="BC2" s="2">
        <f>F2+L2+R2+X2+AD2+AJ2+AP2+AV2+IF(BE2="",0,BE2)</f>
        <v/>
      </c>
      <c r="BD2" s="2" t="n">
        <v>803.465835</v>
      </c>
      <c r="BE2" s="2" t="n"/>
      <c r="BF2" s="2" t="n">
        <v>51097.37962962962</v>
      </c>
      <c r="BG2" s="2" t="n">
        <v>1175.06</v>
      </c>
      <c r="BH2" s="2" t="n">
        <v>240</v>
      </c>
      <c r="BI2" s="2" t="n">
        <v>30040.16</v>
      </c>
      <c r="BJ2" s="2" t="n">
        <v>63.96905982905983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744.9997949999999</v>
      </c>
      <c r="BQ2" s="2" t="n">
        <v>0</v>
      </c>
      <c r="BR2" s="2" t="n">
        <v>32289.18885482906</v>
      </c>
      <c r="BS2" s="2" t="n">
        <v>1198.661025641026</v>
      </c>
      <c r="BT2" s="2" t="n">
        <v>0</v>
      </c>
      <c r="BU2" s="2" t="n">
        <v>6548.570017094017</v>
      </c>
      <c r="BV2" s="2" t="n">
        <v>7747.231042735043</v>
      </c>
      <c r="BW2" s="2" t="n">
        <v>40036.4198975641</v>
      </c>
      <c r="BX2" s="2" t="n">
        <v>53101.08</v>
      </c>
      <c r="BY2" s="2" t="n">
        <v>2084.09</v>
      </c>
      <c r="BZ2" s="2" t="n">
        <v>0</v>
      </c>
      <c r="CA2" s="2" t="n">
        <v>55185.17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1569.09</v>
      </c>
      <c r="L3" s="2" t="n">
        <v>130.6122138888889</v>
      </c>
      <c r="M3" s="2" t="n">
        <v>1452.861111111111</v>
      </c>
      <c r="N3" s="2" t="n">
        <v>0</v>
      </c>
      <c r="O3" s="2" t="n">
        <v>1417.99</v>
      </c>
      <c r="P3" s="2" t="n">
        <v>151.1</v>
      </c>
      <c r="Q3" s="2" t="n">
        <v>2089.05</v>
      </c>
      <c r="R3" s="2" t="n">
        <v>145.0729166666667</v>
      </c>
      <c r="S3" s="2" t="n">
        <v>1934.305555555556</v>
      </c>
      <c r="T3" s="2" t="n">
        <v>0</v>
      </c>
      <c r="U3" s="2" t="n">
        <v>2069.05</v>
      </c>
      <c r="V3" s="2" t="n">
        <v>20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57.98</v>
      </c>
      <c r="AD3" s="2" t="n">
        <v>3.757962962962963</v>
      </c>
      <c r="AE3" s="2" t="n">
        <v>53.68518518518518</v>
      </c>
      <c r="AF3" s="2" t="n">
        <v>0</v>
      </c>
      <c r="AG3" s="2" t="n">
        <v>57.98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4921.360000000001</v>
      </c>
      <c r="AP3" s="2" t="n">
        <v>227.8407407407408</v>
      </c>
      <c r="AQ3" s="2" t="n">
        <v>4556.814814814815</v>
      </c>
      <c r="AR3" s="2" t="n">
        <v>0</v>
      </c>
      <c r="AS3" s="2" t="n">
        <v>4662.56</v>
      </c>
      <c r="AT3" s="2" t="n">
        <v>258.8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8637.480000000001</v>
      </c>
      <c r="BB3" s="2" t="n">
        <v>8637.480000000001</v>
      </c>
      <c r="BC3" s="2">
        <f>F3+L3+R3+X3+AD3+AJ3+AP3+AV3+IF(BE3="",0,BE3)</f>
        <v/>
      </c>
      <c r="BD3" s="2" t="n">
        <v>133.017192</v>
      </c>
      <c r="BE3" s="2" t="n"/>
      <c r="BF3" s="2" t="n">
        <v>7997.666666666666</v>
      </c>
      <c r="BG3" s="2" t="n">
        <v>0</v>
      </c>
      <c r="BH3" s="2" t="n">
        <v>0</v>
      </c>
      <c r="BI3" s="2" t="n">
        <v>30040.16</v>
      </c>
      <c r="BJ3" s="2" t="n">
        <v>63.96905982905983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116.60598</v>
      </c>
      <c r="BQ3" s="2" t="n">
        <v>0</v>
      </c>
      <c r="BR3" s="2" t="n">
        <v>30245.73503982906</v>
      </c>
      <c r="BS3" s="2" t="n">
        <v>1198.661025641026</v>
      </c>
      <c r="BT3" s="2" t="n">
        <v>0</v>
      </c>
      <c r="BU3" s="2" t="n">
        <v>6265.558017094017</v>
      </c>
      <c r="BV3" s="2" t="n">
        <v>7464.219042735042</v>
      </c>
      <c r="BW3" s="2" t="n">
        <v>37709.9540825641</v>
      </c>
      <c r="BX3" s="2" t="n">
        <v>8207.58</v>
      </c>
      <c r="BY3" s="2" t="n">
        <v>429.9</v>
      </c>
      <c r="BZ3" s="2" t="n">
        <v>0</v>
      </c>
      <c r="CA3" s="2" t="n">
        <v>8637.48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4961.4</v>
      </c>
      <c r="L4" s="2" t="n">
        <v>412.9906111111111</v>
      </c>
      <c r="M4" s="2" t="n">
        <v>4593.888888888889</v>
      </c>
      <c r="N4" s="2" t="n">
        <v>0</v>
      </c>
      <c r="O4" s="2" t="n">
        <v>4371.2</v>
      </c>
      <c r="P4" s="2" t="n">
        <v>590.2</v>
      </c>
      <c r="Q4" s="2" t="n">
        <v>15954.13</v>
      </c>
      <c r="R4" s="2" t="n">
        <v>500</v>
      </c>
      <c r="S4" s="2" t="n">
        <v>14772.34259259259</v>
      </c>
      <c r="T4" s="2" t="n">
        <v>0</v>
      </c>
      <c r="U4" s="2" t="n">
        <v>15120.22</v>
      </c>
      <c r="V4" s="2" t="n">
        <v>833.91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23.9</v>
      </c>
      <c r="AD4" s="2" t="n">
        <v>1.549074074074074</v>
      </c>
      <c r="AE4" s="2" t="n">
        <v>22.12962962962963</v>
      </c>
      <c r="AF4" s="2" t="n">
        <v>0</v>
      </c>
      <c r="AG4" s="2" t="n">
        <v>0</v>
      </c>
      <c r="AH4" s="2" t="n">
        <v>23.9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2809.19</v>
      </c>
      <c r="AP4" s="2" t="n">
        <v>130.0550925925926</v>
      </c>
      <c r="AQ4" s="2" t="n">
        <v>2601.101851851852</v>
      </c>
      <c r="AR4" s="2" t="n">
        <v>0</v>
      </c>
      <c r="AS4" s="2" t="n">
        <v>2689.18</v>
      </c>
      <c r="AT4" s="2" t="n">
        <v>120.01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23748.62</v>
      </c>
      <c r="BB4" s="2" t="n">
        <v>23748.62</v>
      </c>
      <c r="BC4" s="2">
        <f>F4+L4+R4+X4+AD4+AJ4+AP4+AV4+IF(BE4="",0,BE4)</f>
        <v/>
      </c>
      <c r="BD4" s="2" t="n">
        <v>365.728748</v>
      </c>
      <c r="BE4" s="2" t="n"/>
      <c r="BF4" s="2" t="n">
        <v>21989.46296296296</v>
      </c>
      <c r="BG4" s="2" t="n">
        <v>0</v>
      </c>
      <c r="BH4" s="2" t="n">
        <v>0</v>
      </c>
      <c r="BI4" s="2" t="n">
        <v>30040.16</v>
      </c>
      <c r="BJ4" s="2" t="n">
        <v>63.96905982905983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320.60637</v>
      </c>
      <c r="BQ4" s="2" t="n">
        <v>0</v>
      </c>
      <c r="BR4" s="2" t="n">
        <v>30449.73542982906</v>
      </c>
      <c r="BS4" s="2" t="n">
        <v>1198.661025641026</v>
      </c>
      <c r="BT4" s="2" t="n">
        <v>0</v>
      </c>
      <c r="BU4" s="2" t="n">
        <v>6265.558017094017</v>
      </c>
      <c r="BV4" s="2" t="n">
        <v>7464.219042735042</v>
      </c>
      <c r="BW4" s="2" t="n">
        <v>37913.9544725641</v>
      </c>
      <c r="BX4" s="2" t="n">
        <v>22180.6</v>
      </c>
      <c r="BY4" s="2" t="n">
        <v>1568.02</v>
      </c>
      <c r="BZ4" s="2" t="n">
        <v>0</v>
      </c>
      <c r="CA4" s="2" t="n">
        <v>23748.62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23</v>
      </c>
      <c r="F5" s="2" t="n">
        <v>1.490740740740741</v>
      </c>
      <c r="G5" s="2" t="n">
        <v>21.29629629629629</v>
      </c>
      <c r="H5" s="2" t="n">
        <v>0</v>
      </c>
      <c r="I5" s="2" t="n">
        <v>0</v>
      </c>
      <c r="J5" s="2" t="n">
        <v>23</v>
      </c>
      <c r="K5" s="2" t="n">
        <v>14982.03</v>
      </c>
      <c r="L5" s="2" t="n">
        <v>1247.115275</v>
      </c>
      <c r="M5" s="2" t="n">
        <v>13872.25</v>
      </c>
      <c r="N5" s="2" t="n">
        <v>0</v>
      </c>
      <c r="O5" s="2" t="n">
        <v>13908.57</v>
      </c>
      <c r="P5" s="2" t="n">
        <v>1073.46</v>
      </c>
      <c r="Q5" s="2" t="n">
        <v>52.7</v>
      </c>
      <c r="R5" s="2" t="n">
        <v>3.659722222222222</v>
      </c>
      <c r="S5" s="2" t="n">
        <v>48.7962962962963</v>
      </c>
      <c r="T5" s="2" t="n">
        <v>0</v>
      </c>
      <c r="U5" s="2" t="n">
        <v>52.7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27807.33</v>
      </c>
      <c r="AD5" s="2" t="n">
        <v>1802.326944444444</v>
      </c>
      <c r="AE5" s="2" t="n">
        <v>25747.52777777777</v>
      </c>
      <c r="AF5" s="2" t="n">
        <v>0</v>
      </c>
      <c r="AG5" s="2" t="n">
        <v>25399.46</v>
      </c>
      <c r="AH5" s="2" t="n">
        <v>2407.87</v>
      </c>
      <c r="AI5" s="2" t="n">
        <v>47.8</v>
      </c>
      <c r="AJ5" s="2" t="n">
        <v>3.319444444444444</v>
      </c>
      <c r="AK5" s="2" t="n">
        <v>44.25925925925925</v>
      </c>
      <c r="AL5" s="2" t="n">
        <v>0</v>
      </c>
      <c r="AM5" s="2" t="n">
        <v>47.8</v>
      </c>
      <c r="AN5" s="2" t="n">
        <v>0</v>
      </c>
      <c r="AO5" s="2" t="n">
        <v>9636.809999999999</v>
      </c>
      <c r="AP5" s="2" t="n">
        <v>446.1486111111111</v>
      </c>
      <c r="AQ5" s="2" t="n">
        <v>8922.972222222221</v>
      </c>
      <c r="AR5" s="2" t="n">
        <v>0</v>
      </c>
      <c r="AS5" s="2" t="n">
        <v>8012.3</v>
      </c>
      <c r="AT5" s="2" t="n">
        <v>1624.51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52549.67</v>
      </c>
      <c r="BB5" s="2" t="n">
        <v>52549.67</v>
      </c>
      <c r="BC5" s="2">
        <f>F5+L5+R5+X5+AD5+AJ5+AP5+AV5+IF(BE5="",0,BE5)</f>
        <v/>
      </c>
      <c r="BD5" s="2" t="n">
        <v>809.264918</v>
      </c>
      <c r="BE5" s="2" t="n"/>
      <c r="BF5" s="2" t="n">
        <v>48657.10185185185</v>
      </c>
      <c r="BG5" s="2" t="n">
        <v>0</v>
      </c>
      <c r="BH5" s="2" t="n">
        <v>0</v>
      </c>
      <c r="BI5" s="2" t="n">
        <v>30040.16</v>
      </c>
      <c r="BJ5" s="2" t="n">
        <v>63.96905982905983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709.4205449999999</v>
      </c>
      <c r="BQ5" s="2" t="n">
        <v>0</v>
      </c>
      <c r="BR5" s="2" t="n">
        <v>30838.54960482906</v>
      </c>
      <c r="BS5" s="2" t="n">
        <v>1198.661025641026</v>
      </c>
      <c r="BT5" s="2" t="n">
        <v>0</v>
      </c>
      <c r="BU5" s="2" t="n">
        <v>6265.558017094017</v>
      </c>
      <c r="BV5" s="2" t="n">
        <v>7464.219042735042</v>
      </c>
      <c r="BW5" s="2" t="n">
        <v>38302.7686475641</v>
      </c>
      <c r="BX5" s="2" t="n">
        <v>47420.83</v>
      </c>
      <c r="BY5" s="2" t="n">
        <v>5128.84</v>
      </c>
      <c r="BZ5" s="2" t="n">
        <v>0</v>
      </c>
      <c r="CA5" s="2" t="n">
        <v>52549.67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1597.21</v>
      </c>
      <c r="L6" s="2" t="n">
        <v>132.9529435185185</v>
      </c>
      <c r="M6" s="2" t="n">
        <v>1478.898148148148</v>
      </c>
      <c r="N6" s="2" t="n">
        <v>0</v>
      </c>
      <c r="O6" s="2" t="n">
        <v>1340.61</v>
      </c>
      <c r="P6" s="2" t="n">
        <v>256.6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8291.58</v>
      </c>
      <c r="AP6" s="2" t="n">
        <v>383.8694444444445</v>
      </c>
      <c r="AQ6" s="2" t="n">
        <v>7677.388888888889</v>
      </c>
      <c r="AR6" s="2" t="n">
        <v>0</v>
      </c>
      <c r="AS6" s="2" t="n">
        <v>7789.46</v>
      </c>
      <c r="AT6" s="2" t="n">
        <v>502.12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9888.790000000001</v>
      </c>
      <c r="BB6" s="2" t="n">
        <v>9888.790000000001</v>
      </c>
      <c r="BC6" s="2">
        <f>F6+L6+R6+X6+AD6+AJ6+AP6+AV6+IF(BE6="",0,BE6)</f>
        <v/>
      </c>
      <c r="BD6" s="2" t="n">
        <v>152.287366</v>
      </c>
      <c r="BE6" s="2" t="n"/>
      <c r="BF6" s="2" t="n">
        <v>9156.287037037036</v>
      </c>
      <c r="BG6" s="2" t="n">
        <v>0</v>
      </c>
      <c r="BH6" s="2" t="n">
        <v>0</v>
      </c>
      <c r="BI6" s="2" t="n">
        <v>30040.16</v>
      </c>
      <c r="BJ6" s="2" t="n">
        <v>63.96905982905983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133.498665</v>
      </c>
      <c r="BQ6" s="2" t="n">
        <v>0</v>
      </c>
      <c r="BR6" s="2" t="n">
        <v>30262.62772482906</v>
      </c>
      <c r="BS6" s="2" t="n">
        <v>1198.661025641026</v>
      </c>
      <c r="BT6" s="2" t="n">
        <v>0</v>
      </c>
      <c r="BU6" s="2" t="n">
        <v>6265.558017094017</v>
      </c>
      <c r="BV6" s="2" t="n">
        <v>7464.219042735042</v>
      </c>
      <c r="BW6" s="2" t="n">
        <v>37726.8467675641</v>
      </c>
      <c r="BX6" s="2" t="n">
        <v>9130.07</v>
      </c>
      <c r="BY6" s="2" t="n">
        <v>758.72</v>
      </c>
      <c r="BZ6" s="2" t="n">
        <v>0</v>
      </c>
      <c r="CA6" s="2" t="n">
        <v>9888.789999999999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8252.75</v>
      </c>
      <c r="L7" s="2" t="n">
        <v>686.9650231481481</v>
      </c>
      <c r="M7" s="2" t="n">
        <v>7641.435185185184</v>
      </c>
      <c r="N7" s="2" t="n">
        <v>0</v>
      </c>
      <c r="O7" s="2" t="n">
        <v>7631.39</v>
      </c>
      <c r="P7" s="2" t="n">
        <v>621.36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26161.41</v>
      </c>
      <c r="AP7" s="2" t="n">
        <v>1211.176388888889</v>
      </c>
      <c r="AQ7" s="2" t="n">
        <v>24223.52777777778</v>
      </c>
      <c r="AR7" s="2" t="n">
        <v>0</v>
      </c>
      <c r="AS7" s="2" t="n">
        <v>23566.41</v>
      </c>
      <c r="AT7" s="2" t="n">
        <v>2595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34414.16</v>
      </c>
      <c r="BB7" s="2" t="n">
        <v>34414.16</v>
      </c>
      <c r="BC7" s="2">
        <f>F7+L7+R7+X7+AD7+AJ7+AP7+AV7+IF(BE7="",0,BE7)</f>
        <v/>
      </c>
      <c r="BD7" s="2" t="n">
        <v>529.978064</v>
      </c>
      <c r="BE7" s="2" t="n"/>
      <c r="BF7" s="2" t="n">
        <v>31864.96296296296</v>
      </c>
      <c r="BG7" s="2" t="n">
        <v>0</v>
      </c>
      <c r="BH7" s="2" t="n">
        <v>0</v>
      </c>
      <c r="BI7" s="2" t="n">
        <v>30040.16</v>
      </c>
      <c r="BJ7" s="2" t="n">
        <v>63.96905982905983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464.59116</v>
      </c>
      <c r="BQ7" s="2" t="n">
        <v>0</v>
      </c>
      <c r="BR7" s="2" t="n">
        <v>30593.72021982906</v>
      </c>
      <c r="BS7" s="2" t="n">
        <v>1198.661025641026</v>
      </c>
      <c r="BT7" s="2" t="n">
        <v>0</v>
      </c>
      <c r="BU7" s="2" t="n">
        <v>6265.558017094017</v>
      </c>
      <c r="BV7" s="2" t="n">
        <v>7464.219042735042</v>
      </c>
      <c r="BW7" s="2" t="n">
        <v>38057.9392625641</v>
      </c>
      <c r="BX7" s="2" t="n">
        <v>31197.8</v>
      </c>
      <c r="BY7" s="2" t="n">
        <v>3216.36</v>
      </c>
      <c r="BZ7" s="2" t="n">
        <v>0</v>
      </c>
      <c r="CA7" s="2" t="n">
        <v>34414.16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9144.34</v>
      </c>
      <c r="L8" s="2" t="n">
        <v>761.1816351851853</v>
      </c>
      <c r="M8" s="2" t="n">
        <v>8466.981481481482</v>
      </c>
      <c r="N8" s="2" t="n">
        <v>0</v>
      </c>
      <c r="O8" s="2" t="n">
        <v>8343.98</v>
      </c>
      <c r="P8" s="2" t="n">
        <v>800.36</v>
      </c>
      <c r="Q8" s="2" t="n">
        <v>181.11</v>
      </c>
      <c r="R8" s="2" t="n">
        <v>12.57708333333333</v>
      </c>
      <c r="S8" s="2" t="n">
        <v>167.6944444444445</v>
      </c>
      <c r="T8" s="2" t="n">
        <v>0</v>
      </c>
      <c r="U8" s="2" t="n">
        <v>181.11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18130.96</v>
      </c>
      <c r="AP8" s="2" t="n">
        <v>839.3962962962962</v>
      </c>
      <c r="AQ8" s="2" t="n">
        <v>16787.92592592592</v>
      </c>
      <c r="AR8" s="2" t="n">
        <v>0</v>
      </c>
      <c r="AS8" s="2" t="n">
        <v>16860.71</v>
      </c>
      <c r="AT8" s="2" t="n">
        <v>1270.25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27456.41</v>
      </c>
      <c r="BB8" s="2" t="n">
        <v>27456.41</v>
      </c>
      <c r="BC8" s="2">
        <f>F8+L8+R8+X8+AD8+AJ8+AP8+AV8+IF(BE8="",0,BE8)</f>
        <v/>
      </c>
      <c r="BD8" s="2" t="n">
        <v>422.828714</v>
      </c>
      <c r="BE8" s="2" t="n"/>
      <c r="BF8" s="2" t="n">
        <v>25422.60185185185</v>
      </c>
      <c r="BG8" s="2" t="n">
        <v>0</v>
      </c>
      <c r="BH8" s="2" t="n">
        <v>0</v>
      </c>
      <c r="BI8" s="2" t="n">
        <v>30040.16</v>
      </c>
      <c r="BJ8" s="2" t="n">
        <v>63.96905982905983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370.661535</v>
      </c>
      <c r="BQ8" s="2" t="n">
        <v>0</v>
      </c>
      <c r="BR8" s="2" t="n">
        <v>30499.79059482906</v>
      </c>
      <c r="BS8" s="2" t="n">
        <v>1198.661025641026</v>
      </c>
      <c r="BT8" s="2" t="n">
        <v>0</v>
      </c>
      <c r="BU8" s="2" t="n">
        <v>6265.558017094017</v>
      </c>
      <c r="BV8" s="2" t="n">
        <v>7464.219042735042</v>
      </c>
      <c r="BW8" s="2" t="n">
        <v>37964.0096375641</v>
      </c>
      <c r="BX8" s="2" t="n">
        <v>25385.8</v>
      </c>
      <c r="BY8" s="2" t="n">
        <v>2070.61</v>
      </c>
      <c r="BZ8" s="2" t="n">
        <v>0</v>
      </c>
      <c r="CA8" s="2" t="n">
        <v>27456.41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5671.05</v>
      </c>
      <c r="L9" s="2" t="n">
        <v>472.0624027777778</v>
      </c>
      <c r="M9" s="2" t="n">
        <v>5250.972222222222</v>
      </c>
      <c r="N9" s="2" t="n">
        <v>0</v>
      </c>
      <c r="O9" s="2" t="n">
        <v>5291.95</v>
      </c>
      <c r="P9" s="2" t="n">
        <v>379.1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16228.12</v>
      </c>
      <c r="AP9" s="2" t="n">
        <v>751.3018518518518</v>
      </c>
      <c r="AQ9" s="2" t="n">
        <v>15026.03703703703</v>
      </c>
      <c r="AR9" s="2" t="n">
        <v>0</v>
      </c>
      <c r="AS9" s="2" t="n">
        <v>15396.4</v>
      </c>
      <c r="AT9" s="2" t="n">
        <v>831.72</v>
      </c>
      <c r="AU9" s="2" t="n">
        <v>172.4</v>
      </c>
      <c r="AV9" s="2" t="n">
        <v>6.864074074074072</v>
      </c>
      <c r="AW9" s="2" t="n">
        <v>159.6296296296296</v>
      </c>
      <c r="AX9" s="2" t="n">
        <v>0</v>
      </c>
      <c r="AY9" s="2" t="n">
        <v>149.95</v>
      </c>
      <c r="AZ9" s="2" t="n">
        <v>22.45</v>
      </c>
      <c r="BA9" s="2" t="n">
        <v>22071.57</v>
      </c>
      <c r="BB9" s="2" t="n">
        <v>22071.57</v>
      </c>
      <c r="BC9" s="2">
        <f>F9+L9+R9+X9+AD9+AJ9+AP9+AV9+IF(BE9="",0,BE9)</f>
        <v/>
      </c>
      <c r="BD9" s="2" t="n">
        <v>339.902178</v>
      </c>
      <c r="BE9" s="2" t="n"/>
      <c r="BF9" s="2" t="n">
        <v>20436.63888888889</v>
      </c>
      <c r="BG9" s="2" t="n">
        <v>0</v>
      </c>
      <c r="BH9" s="2" t="n">
        <v>0</v>
      </c>
      <c r="BI9" s="2" t="n">
        <v>30040.16</v>
      </c>
      <c r="BJ9" s="2" t="n">
        <v>63.96905982905983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297.966195</v>
      </c>
      <c r="BQ9" s="2" t="n">
        <v>0</v>
      </c>
      <c r="BR9" s="2" t="n">
        <v>30427.09525482906</v>
      </c>
      <c r="BS9" s="2" t="n">
        <v>1198.661025641026</v>
      </c>
      <c r="BT9" s="2" t="n">
        <v>0</v>
      </c>
      <c r="BU9" s="2" t="n">
        <v>6265.558017094017</v>
      </c>
      <c r="BV9" s="2" t="n">
        <v>7464.219042735042</v>
      </c>
      <c r="BW9" s="2" t="n">
        <v>37891.3142975641</v>
      </c>
      <c r="BX9" s="2" t="n">
        <v>20838.3</v>
      </c>
      <c r="BY9" s="2" t="n">
        <v>1233.27</v>
      </c>
      <c r="BZ9" s="2" t="n">
        <v>0</v>
      </c>
      <c r="CA9" s="2" t="n">
        <v>22071.57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3286.24</v>
      </c>
      <c r="L10" s="2" t="n">
        <v>273.5490518518519</v>
      </c>
      <c r="M10" s="2" t="n">
        <v>3042.814814814814</v>
      </c>
      <c r="N10" s="2" t="n">
        <v>0</v>
      </c>
      <c r="O10" s="2" t="n">
        <v>3027.74</v>
      </c>
      <c r="P10" s="2" t="n">
        <v>258.5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4811.19</v>
      </c>
      <c r="AP10" s="2" t="n">
        <v>222.7402777777777</v>
      </c>
      <c r="AQ10" s="2" t="n">
        <v>4454.805555555555</v>
      </c>
      <c r="AR10" s="2" t="n">
        <v>0</v>
      </c>
      <c r="AS10" s="2" t="n">
        <v>4601.73</v>
      </c>
      <c r="AT10" s="2" t="n">
        <v>209.46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8097.429999999999</v>
      </c>
      <c r="BB10" s="2" t="n">
        <v>8097.429999999999</v>
      </c>
      <c r="BC10" s="2">
        <f>F10+L10+R10+X10+AD10+AJ10+AP10+AV10+IF(BE10="",0,BE10)</f>
        <v/>
      </c>
      <c r="BD10" s="2" t="n">
        <v>124.700422</v>
      </c>
      <c r="BE10" s="2" t="n"/>
      <c r="BF10" s="2" t="n">
        <v>7497.620370370369</v>
      </c>
      <c r="BG10" s="2" t="n">
        <v>0</v>
      </c>
      <c r="BH10" s="2" t="n">
        <v>0</v>
      </c>
      <c r="BI10" s="2" t="n">
        <v>30040.16</v>
      </c>
      <c r="BJ10" s="2" t="n">
        <v>63.96905982905983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109.315305</v>
      </c>
      <c r="BQ10" s="2" t="n">
        <v>0</v>
      </c>
      <c r="BR10" s="2" t="n">
        <v>30238.44436482906</v>
      </c>
      <c r="BS10" s="2" t="n">
        <v>1198.661025641026</v>
      </c>
      <c r="BT10" s="2" t="n">
        <v>0</v>
      </c>
      <c r="BU10" s="2" t="n">
        <v>6265.558017094017</v>
      </c>
      <c r="BV10" s="2" t="n">
        <v>7464.219042735042</v>
      </c>
      <c r="BW10" s="2" t="n">
        <v>37702.6634075641</v>
      </c>
      <c r="BX10" s="2" t="n">
        <v>7629.469999999999</v>
      </c>
      <c r="BY10" s="2" t="n">
        <v>467.96</v>
      </c>
      <c r="BZ10" s="2" t="n">
        <v>0</v>
      </c>
      <c r="CA10" s="2" t="n">
        <v>8097.429999999999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2419.14</v>
      </c>
      <c r="L11" s="2" t="n">
        <v>201.3710055555556</v>
      </c>
      <c r="M11" s="2" t="n">
        <v>2239.944444444444</v>
      </c>
      <c r="N11" s="2" t="n">
        <v>0</v>
      </c>
      <c r="O11" s="2" t="n">
        <v>2282.35</v>
      </c>
      <c r="P11" s="2" t="n">
        <v>136.79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4820.08</v>
      </c>
      <c r="AP11" s="2" t="n">
        <v>223.1518518518518</v>
      </c>
      <c r="AQ11" s="2" t="n">
        <v>4463.037037037036</v>
      </c>
      <c r="AR11" s="2" t="n">
        <v>0</v>
      </c>
      <c r="AS11" s="2" t="n">
        <v>4246.13</v>
      </c>
      <c r="AT11" s="2" t="n">
        <v>573.95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7239.219999999999</v>
      </c>
      <c r="BB11" s="2" t="n">
        <v>7239.219999999999</v>
      </c>
      <c r="BC11" s="2">
        <f>F11+L11+R11+X11+AD11+AJ11+AP11+AV11+IF(BE11="",0,BE11)</f>
        <v/>
      </c>
      <c r="BD11" s="2" t="n">
        <v>111.483988</v>
      </c>
      <c r="BE11" s="2" t="n"/>
      <c r="BF11" s="2" t="n">
        <v>6702.981481481481</v>
      </c>
      <c r="BG11" s="2" t="n">
        <v>0</v>
      </c>
      <c r="BH11" s="2" t="n">
        <v>0</v>
      </c>
      <c r="BI11" s="2" t="n">
        <v>30040.16</v>
      </c>
      <c r="BJ11" s="2" t="n">
        <v>63.96905982905983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97.72946999999999</v>
      </c>
      <c r="BQ11" s="2" t="n">
        <v>0</v>
      </c>
      <c r="BR11" s="2" t="n">
        <v>30226.85852982906</v>
      </c>
      <c r="BS11" s="2" t="n">
        <v>1198.661025641026</v>
      </c>
      <c r="BT11" s="2" t="n">
        <v>0</v>
      </c>
      <c r="BU11" s="2" t="n">
        <v>6265.558017094017</v>
      </c>
      <c r="BV11" s="2" t="n">
        <v>7464.219042735042</v>
      </c>
      <c r="BW11" s="2" t="n">
        <v>37691.0775725641</v>
      </c>
      <c r="BX11" s="2" t="n">
        <v>6528.48</v>
      </c>
      <c r="BY11" s="2" t="n">
        <v>710.74</v>
      </c>
      <c r="BZ11" s="2" t="n">
        <v>0</v>
      </c>
      <c r="CA11" s="2" t="n">
        <v>7239.219999999999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118.3</v>
      </c>
      <c r="L12" s="2" t="n">
        <v>9.847379629629629</v>
      </c>
      <c r="M12" s="2" t="n">
        <v>109.537037037037</v>
      </c>
      <c r="N12" s="2" t="n">
        <v>0</v>
      </c>
      <c r="O12" s="2" t="n">
        <v>118.3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4071.51</v>
      </c>
      <c r="AP12" s="2" t="n">
        <v>2950</v>
      </c>
      <c r="AQ12" s="2" t="n">
        <v>3769.916666666666</v>
      </c>
      <c r="AR12" s="2" t="n">
        <v>0</v>
      </c>
      <c r="AS12" s="2" t="n">
        <v>3974.31</v>
      </c>
      <c r="AT12" s="2" t="n">
        <v>97.2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4189.809999999999</v>
      </c>
      <c r="BB12" s="2" t="n">
        <v>4189.809999999999</v>
      </c>
      <c r="BC12" s="2">
        <f>F12+L12+R12+X12+AD12+AJ12+AP12+AV12+IF(BE12="",0,BE12)</f>
        <v/>
      </c>
      <c r="BD12" s="2" t="n">
        <v>64.52307399999999</v>
      </c>
      <c r="BE12" s="2" t="n"/>
      <c r="BF12" s="2" t="n">
        <v>3879.453703703703</v>
      </c>
      <c r="BG12" s="2" t="n">
        <v>0</v>
      </c>
      <c r="BH12" s="2" t="n">
        <v>0</v>
      </c>
      <c r="BI12" s="2" t="n">
        <v>30040.16</v>
      </c>
      <c r="BJ12" s="2" t="n">
        <v>63.96905982905983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56.562435</v>
      </c>
      <c r="BQ12" s="2" t="n">
        <v>0</v>
      </c>
      <c r="BR12" s="2" t="n">
        <v>30185.69149482906</v>
      </c>
      <c r="BS12" s="2" t="n">
        <v>1198.661025641026</v>
      </c>
      <c r="BT12" s="2" t="n">
        <v>0</v>
      </c>
      <c r="BU12" s="2" t="n">
        <v>6265.558017094017</v>
      </c>
      <c r="BV12" s="2" t="n">
        <v>7464.219042735042</v>
      </c>
      <c r="BW12" s="2" t="n">
        <v>37649.9105375641</v>
      </c>
      <c r="BX12" s="2" t="n">
        <v>4092.61</v>
      </c>
      <c r="BY12" s="2" t="n">
        <v>97.2</v>
      </c>
      <c r="BZ12" s="2" t="n">
        <v>0</v>
      </c>
      <c r="CA12" s="2" t="n">
        <v>4189.81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1930.15</v>
      </c>
      <c r="F13" s="2" t="n">
        <v>125.1023148148148</v>
      </c>
      <c r="G13" s="2" t="n">
        <v>1787.175925925926</v>
      </c>
      <c r="H13" s="2" t="n">
        <v>0</v>
      </c>
      <c r="I13" s="2" t="n">
        <v>1828.79</v>
      </c>
      <c r="J13" s="2" t="n">
        <v>101.36</v>
      </c>
      <c r="K13" s="2" t="n">
        <v>1248.87</v>
      </c>
      <c r="L13" s="2" t="n">
        <v>103.9568638888889</v>
      </c>
      <c r="M13" s="2" t="n">
        <v>1156.361111111111</v>
      </c>
      <c r="N13" s="2" t="n">
        <v>0</v>
      </c>
      <c r="O13" s="2" t="n">
        <v>1108.69</v>
      </c>
      <c r="P13" s="2" t="n">
        <v>140.18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38.7</v>
      </c>
      <c r="AD13" s="2" t="n">
        <v>2.508333333333334</v>
      </c>
      <c r="AE13" s="2" t="n">
        <v>35.83333333333334</v>
      </c>
      <c r="AF13" s="2" t="n">
        <v>0</v>
      </c>
      <c r="AG13" s="2" t="n">
        <v>38.7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6107.63</v>
      </c>
      <c r="AP13" s="2" t="n">
        <v>3200</v>
      </c>
      <c r="AQ13" s="2" t="n">
        <v>5655.212962962963</v>
      </c>
      <c r="AR13" s="2" t="n">
        <v>0</v>
      </c>
      <c r="AS13" s="2" t="n">
        <v>5747.08</v>
      </c>
      <c r="AT13" s="2" t="n">
        <v>360.55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9325.35</v>
      </c>
      <c r="BB13" s="2" t="n">
        <v>9325.35</v>
      </c>
      <c r="BC13" s="2">
        <f>F13+L13+R13+X13+AD13+AJ13+AP13+AV13+IF(BE13="",0,BE13)</f>
        <v/>
      </c>
      <c r="BD13" s="2" t="n">
        <v>143.61039</v>
      </c>
      <c r="BE13" s="2" t="n"/>
      <c r="BF13" s="2" t="n">
        <v>8634.583333333332</v>
      </c>
      <c r="BG13" s="2" t="n">
        <v>0</v>
      </c>
      <c r="BH13" s="2" t="n">
        <v>0</v>
      </c>
      <c r="BI13" s="2" t="n">
        <v>30040.16</v>
      </c>
      <c r="BJ13" s="2" t="n">
        <v>63.96905982905983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125.892225</v>
      </c>
      <c r="BQ13" s="2" t="n">
        <v>0</v>
      </c>
      <c r="BR13" s="2" t="n">
        <v>30255.02128482906</v>
      </c>
      <c r="BS13" s="2" t="n">
        <v>1198.661025641026</v>
      </c>
      <c r="BT13" s="2" t="n">
        <v>0</v>
      </c>
      <c r="BU13" s="2" t="n">
        <v>6265.558017094017</v>
      </c>
      <c r="BV13" s="2" t="n">
        <v>7464.219042735042</v>
      </c>
      <c r="BW13" s="2" t="n">
        <v>37719.2403275641</v>
      </c>
      <c r="BX13" s="2" t="n">
        <v>8723.26</v>
      </c>
      <c r="BY13" s="2" t="n">
        <v>602.09</v>
      </c>
      <c r="BZ13" s="2" t="n">
        <v>0</v>
      </c>
      <c r="CA13" s="2" t="n">
        <v>9325.35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6969.55</v>
      </c>
      <c r="L14" s="2" t="n">
        <v>580.1505046296296</v>
      </c>
      <c r="M14" s="2" t="n">
        <v>6453.287037037036</v>
      </c>
      <c r="N14" s="2" t="n">
        <v>0</v>
      </c>
      <c r="O14" s="2" t="n">
        <v>6767.8</v>
      </c>
      <c r="P14" s="2" t="n">
        <v>201.75</v>
      </c>
      <c r="Q14" s="2" t="n">
        <v>4464</v>
      </c>
      <c r="R14" s="2" t="n">
        <v>309.9999999999999</v>
      </c>
      <c r="S14" s="2" t="n">
        <v>4133.333333333333</v>
      </c>
      <c r="T14" s="2" t="n">
        <v>0</v>
      </c>
      <c r="U14" s="2" t="n">
        <v>4322.01</v>
      </c>
      <c r="V14" s="2" t="n">
        <v>141.99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6854.3</v>
      </c>
      <c r="AP14" s="2" t="n">
        <v>3550</v>
      </c>
      <c r="AQ14" s="2" t="n">
        <v>6346.574074074074</v>
      </c>
      <c r="AR14" s="2" t="n">
        <v>0</v>
      </c>
      <c r="AS14" s="2" t="n">
        <v>6463.66</v>
      </c>
      <c r="AT14" s="2" t="n">
        <v>390.64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18287.85</v>
      </c>
      <c r="BB14" s="2" t="n">
        <v>18287.85</v>
      </c>
      <c r="BC14" s="2">
        <f>F14+L14+R14+X14+AD14+AJ14+AP14+AV14+IF(BE14="",0,BE14)</f>
        <v/>
      </c>
      <c r="BD14" s="2" t="n">
        <v>281.63289</v>
      </c>
      <c r="BE14" s="2" t="n"/>
      <c r="BF14" s="2" t="n">
        <v>16933.19444444444</v>
      </c>
      <c r="BG14" s="2" t="n">
        <v>0</v>
      </c>
      <c r="BH14" s="2" t="n">
        <v>0</v>
      </c>
      <c r="BI14" s="2" t="n">
        <v>30040.16</v>
      </c>
      <c r="BJ14" s="2" t="n">
        <v>63.96905982905983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246.885975</v>
      </c>
      <c r="BQ14" s="2" t="n">
        <v>0</v>
      </c>
      <c r="BR14" s="2" t="n">
        <v>30376.01503482906</v>
      </c>
      <c r="BS14" s="2" t="n">
        <v>1198.661025641026</v>
      </c>
      <c r="BT14" s="2" t="n">
        <v>0</v>
      </c>
      <c r="BU14" s="2" t="n">
        <v>6265.558017094017</v>
      </c>
      <c r="BV14" s="2" t="n">
        <v>7464.219042735042</v>
      </c>
      <c r="BW14" s="2" t="n">
        <v>37840.2340775641</v>
      </c>
      <c r="BX14" s="2" t="n">
        <v>17553.47</v>
      </c>
      <c r="BY14" s="2" t="n">
        <v>734.38</v>
      </c>
      <c r="BZ14" s="2" t="n">
        <v>0</v>
      </c>
      <c r="CA14" s="2" t="n">
        <v>18287.85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51</v>
      </c>
      <c r="F15" s="2" t="n">
        <v>3.305555555555556</v>
      </c>
      <c r="G15" s="2" t="n">
        <v>47.22222222222222</v>
      </c>
      <c r="H15" s="2" t="n">
        <v>0</v>
      </c>
      <c r="I15" s="2" t="n">
        <v>51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2284.96</v>
      </c>
      <c r="AP15" s="2" t="n">
        <v>2950</v>
      </c>
      <c r="AQ15" s="2" t="n">
        <v>2115.703703703703</v>
      </c>
      <c r="AR15" s="2" t="n">
        <v>0</v>
      </c>
      <c r="AS15" s="2" t="n">
        <v>2158.96</v>
      </c>
      <c r="AT15" s="2" t="n">
        <v>126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2335.96</v>
      </c>
      <c r="BB15" s="2" t="n">
        <v>2335.96</v>
      </c>
      <c r="BC15" s="2">
        <f>F15+L15+R15+X15+AD15+AJ15+AP15+AV15+IF(BE15="",0,BE15)</f>
        <v/>
      </c>
      <c r="BD15" s="2" t="n">
        <v>35.973784</v>
      </c>
      <c r="BE15" s="2" t="n"/>
      <c r="BF15" s="2" t="n">
        <v>2162.925925925926</v>
      </c>
      <c r="BG15" s="2" t="n">
        <v>0</v>
      </c>
      <c r="BH15" s="2" t="n">
        <v>0</v>
      </c>
      <c r="BI15" s="2" t="n">
        <v>30040.16</v>
      </c>
      <c r="BJ15" s="2" t="n">
        <v>63.96905982905983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31.53546</v>
      </c>
      <c r="BQ15" s="2" t="n">
        <v>0</v>
      </c>
      <c r="BR15" s="2" t="n">
        <v>30160.66451982906</v>
      </c>
      <c r="BS15" s="2" t="n">
        <v>1198.661025641026</v>
      </c>
      <c r="BT15" s="2" t="n">
        <v>0</v>
      </c>
      <c r="BU15" s="2" t="n">
        <v>6265.558017094017</v>
      </c>
      <c r="BV15" s="2" t="n">
        <v>7464.219042735042</v>
      </c>
      <c r="BW15" s="2" t="n">
        <v>37624.8835625641</v>
      </c>
      <c r="BX15" s="2" t="n">
        <v>2209.96</v>
      </c>
      <c r="BY15" s="2" t="n">
        <v>126</v>
      </c>
      <c r="BZ15" s="2" t="n">
        <v>0</v>
      </c>
      <c r="CA15" s="2" t="n">
        <v>2335.96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12931.11</v>
      </c>
      <c r="L16" s="2" t="n">
        <v>1076.395175</v>
      </c>
      <c r="M16" s="2" t="n">
        <v>11973.25</v>
      </c>
      <c r="N16" s="2" t="n">
        <v>0</v>
      </c>
      <c r="O16" s="2" t="n">
        <v>12457.17</v>
      </c>
      <c r="P16" s="2" t="n">
        <v>473.94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44332.42</v>
      </c>
      <c r="X16" s="2" t="n">
        <v>880</v>
      </c>
      <c r="Y16" s="2" t="n">
        <v>41048.53703703703</v>
      </c>
      <c r="Z16" s="2" t="n">
        <v>0</v>
      </c>
      <c r="AA16" s="2" t="n">
        <v>43481.47</v>
      </c>
      <c r="AB16" s="2" t="n">
        <v>850.95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27.9</v>
      </c>
      <c r="AJ16" s="2" t="n">
        <v>1.9375</v>
      </c>
      <c r="AK16" s="2" t="n">
        <v>25.83333333333333</v>
      </c>
      <c r="AL16" s="2" t="n">
        <v>0</v>
      </c>
      <c r="AM16" s="2" t="n">
        <v>27.9</v>
      </c>
      <c r="AN16" s="2" t="n">
        <v>0</v>
      </c>
      <c r="AO16" s="2" t="n">
        <v>5759.78</v>
      </c>
      <c r="AP16" s="2" t="n">
        <v>3600</v>
      </c>
      <c r="AQ16" s="2" t="n">
        <v>5333.129629629629</v>
      </c>
      <c r="AR16" s="2" t="n">
        <v>0</v>
      </c>
      <c r="AS16" s="2" t="n">
        <v>5560.59</v>
      </c>
      <c r="AT16" s="2" t="n">
        <v>199.19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63051.21</v>
      </c>
      <c r="BB16" s="2" t="n">
        <v>63051.21</v>
      </c>
      <c r="BC16" s="2">
        <f>F16+L16+R16+X16+AD16+AJ16+AP16+AV16+IF(BE16="",0,BE16)</f>
        <v/>
      </c>
      <c r="BD16" s="2" t="n">
        <v>886.757036</v>
      </c>
      <c r="BE16" s="2" t="n"/>
      <c r="BF16" s="2" t="n">
        <v>58380.74999999999</v>
      </c>
      <c r="BG16" s="2" t="n">
        <v>1056.72</v>
      </c>
      <c r="BH16" s="2" t="n">
        <v>276</v>
      </c>
      <c r="BI16" s="2" t="n">
        <v>30040.16</v>
      </c>
      <c r="BJ16" s="2" t="n">
        <v>63.96905982905983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851.191335</v>
      </c>
      <c r="BQ16" s="2" t="n">
        <v>0</v>
      </c>
      <c r="BR16" s="2" t="n">
        <v>32313.04039482906</v>
      </c>
      <c r="BS16" s="2" t="n">
        <v>1198.661025641026</v>
      </c>
      <c r="BT16" s="2" t="n">
        <v>0</v>
      </c>
      <c r="BU16" s="2" t="n">
        <v>6532.102017094017</v>
      </c>
      <c r="BV16" s="2" t="n">
        <v>7730.763042735043</v>
      </c>
      <c r="BW16" s="2" t="n">
        <v>40043.8034375641</v>
      </c>
      <c r="BX16" s="2" t="n">
        <v>61527.13</v>
      </c>
      <c r="BY16" s="2" t="n">
        <v>1524.08</v>
      </c>
      <c r="BZ16" s="2" t="n">
        <v>0</v>
      </c>
      <c r="CA16" s="2" t="n">
        <v>63051.21000000001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1544.77</v>
      </c>
      <c r="AP17" s="2" t="n">
        <v>2950</v>
      </c>
      <c r="AQ17" s="2" t="n">
        <v>1430.342592592592</v>
      </c>
      <c r="AR17" s="2" t="n">
        <v>0</v>
      </c>
      <c r="AS17" s="2" t="n">
        <v>1387.16</v>
      </c>
      <c r="AT17" s="2" t="n">
        <v>157.61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1544.77</v>
      </c>
      <c r="BB17" s="2" t="n">
        <v>1544.77</v>
      </c>
      <c r="BC17" s="2">
        <f>F17+L17+R17+X17+AD17+AJ17+AP17+AV17+IF(BE17="",0,BE17)</f>
        <v/>
      </c>
      <c r="BD17" s="2" t="n">
        <v>23.789458</v>
      </c>
      <c r="BE17" s="2" t="n"/>
      <c r="BF17" s="2" t="n">
        <v>1430.342592592592</v>
      </c>
      <c r="BG17" s="2" t="n">
        <v>0</v>
      </c>
      <c r="BH17" s="2" t="n">
        <v>0</v>
      </c>
      <c r="BI17" s="2" t="n">
        <v>30040.16</v>
      </c>
      <c r="BJ17" s="2" t="n">
        <v>63.96905982905983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20.854395</v>
      </c>
      <c r="BQ17" s="2" t="n">
        <v>0</v>
      </c>
      <c r="BR17" s="2" t="n">
        <v>30149.98345482906</v>
      </c>
      <c r="BS17" s="2" t="n">
        <v>1198.661025641026</v>
      </c>
      <c r="BT17" s="2" t="n">
        <v>0</v>
      </c>
      <c r="BU17" s="2" t="n">
        <v>6265.558017094017</v>
      </c>
      <c r="BV17" s="2" t="n">
        <v>7464.219042735042</v>
      </c>
      <c r="BW17" s="2" t="n">
        <v>37614.2024975641</v>
      </c>
      <c r="BX17" s="2" t="n">
        <v>1387.16</v>
      </c>
      <c r="BY17" s="2" t="n">
        <v>157.61</v>
      </c>
      <c r="BZ17" s="2" t="n">
        <v>0</v>
      </c>
      <c r="CA17" s="2" t="n">
        <v>1544.77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11874.49</v>
      </c>
      <c r="L18" s="2" t="n">
        <v>988.4413435185186</v>
      </c>
      <c r="M18" s="2" t="n">
        <v>10994.89814814815</v>
      </c>
      <c r="N18" s="2" t="n">
        <v>0</v>
      </c>
      <c r="O18" s="2" t="n">
        <v>11289.35</v>
      </c>
      <c r="P18" s="2" t="n">
        <v>585.14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2759.34</v>
      </c>
      <c r="AP18" s="2" t="n">
        <v>3600</v>
      </c>
      <c r="AQ18" s="2" t="n">
        <v>2554.944444444444</v>
      </c>
      <c r="AR18" s="2" t="n">
        <v>0</v>
      </c>
      <c r="AS18" s="2" t="n">
        <v>2340.99</v>
      </c>
      <c r="AT18" s="2" t="n">
        <v>418.35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14633.83</v>
      </c>
      <c r="BB18" s="2" t="n">
        <v>14633.83</v>
      </c>
      <c r="BC18" s="2">
        <f>F18+L18+R18+X18+AD18+AJ18+AP18+AV18+IF(BE18="",0,BE18)</f>
        <v/>
      </c>
      <c r="BD18" s="2" t="n">
        <v>225.360982</v>
      </c>
      <c r="BE18" s="2" t="n"/>
      <c r="BF18" s="2" t="n">
        <v>13549.84259259259</v>
      </c>
      <c r="BG18" s="2" t="n">
        <v>0</v>
      </c>
      <c r="BH18" s="2" t="n">
        <v>0</v>
      </c>
      <c r="BI18" s="2" t="n">
        <v>30040.16</v>
      </c>
      <c r="BJ18" s="2" t="n">
        <v>63.96905982905983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197.556705</v>
      </c>
      <c r="BQ18" s="2" t="n">
        <v>0</v>
      </c>
      <c r="BR18" s="2" t="n">
        <v>30326.68576482906</v>
      </c>
      <c r="BS18" s="2" t="n">
        <v>1198.661025641026</v>
      </c>
      <c r="BT18" s="2" t="n">
        <v>0</v>
      </c>
      <c r="BU18" s="2" t="n">
        <v>6265.558017094017</v>
      </c>
      <c r="BV18" s="2" t="n">
        <v>7464.219042735042</v>
      </c>
      <c r="BW18" s="2" t="n">
        <v>37790.9048075641</v>
      </c>
      <c r="BX18" s="2" t="n">
        <v>13630.34</v>
      </c>
      <c r="BY18" s="2" t="n">
        <v>1003.49</v>
      </c>
      <c r="BZ18" s="2" t="n">
        <v>0</v>
      </c>
      <c r="CA18" s="2" t="n">
        <v>14633.83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6529.610000000001</v>
      </c>
      <c r="L19" s="2" t="n">
        <v>543.5295731481482</v>
      </c>
      <c r="M19" s="2" t="n">
        <v>6045.935185185185</v>
      </c>
      <c r="N19" s="2" t="n">
        <v>0</v>
      </c>
      <c r="O19" s="2" t="n">
        <v>6202.56</v>
      </c>
      <c r="P19" s="2" t="n">
        <v>327.05</v>
      </c>
      <c r="Q19" s="2" t="n">
        <v>21379.97</v>
      </c>
      <c r="R19" s="2" t="n">
        <v>1484.720138888889</v>
      </c>
      <c r="S19" s="2" t="n">
        <v>19796.26851851852</v>
      </c>
      <c r="T19" s="2" t="n">
        <v>0</v>
      </c>
      <c r="U19" s="2" t="n">
        <v>20436.11</v>
      </c>
      <c r="V19" s="2" t="n">
        <v>943.86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5855.69</v>
      </c>
      <c r="AP19" s="2" t="n">
        <v>3600</v>
      </c>
      <c r="AQ19" s="2" t="n">
        <v>5421.935185185184</v>
      </c>
      <c r="AR19" s="2" t="n">
        <v>0</v>
      </c>
      <c r="AS19" s="2" t="n">
        <v>5613.24</v>
      </c>
      <c r="AT19" s="2" t="n">
        <v>242.45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33765.27</v>
      </c>
      <c r="BB19" s="2" t="n">
        <v>33765.27</v>
      </c>
      <c r="BC19" s="2">
        <f>F19+L19+R19+X19+AD19+AJ19+AP19+AV19+IF(BE19="",0,BE19)</f>
        <v/>
      </c>
      <c r="BD19" s="2" t="n">
        <v>519.9851580000001</v>
      </c>
      <c r="BE19" s="2" t="n"/>
      <c r="BF19" s="2" t="n">
        <v>31264.13888888889</v>
      </c>
      <c r="BG19" s="2" t="n">
        <v>0</v>
      </c>
      <c r="BH19" s="2" t="n">
        <v>0</v>
      </c>
      <c r="BI19" s="2" t="n">
        <v>30040.16</v>
      </c>
      <c r="BJ19" s="2" t="n">
        <v>63.96905982905983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455.831145</v>
      </c>
      <c r="BQ19" s="2" t="n">
        <v>0</v>
      </c>
      <c r="BR19" s="2" t="n">
        <v>30584.96020482906</v>
      </c>
      <c r="BS19" s="2" t="n">
        <v>1198.661025641026</v>
      </c>
      <c r="BT19" s="2" t="n">
        <v>0</v>
      </c>
      <c r="BU19" s="2" t="n">
        <v>6265.558017094017</v>
      </c>
      <c r="BV19" s="2" t="n">
        <v>7464.219042735042</v>
      </c>
      <c r="BW19" s="2" t="n">
        <v>38049.1792475641</v>
      </c>
      <c r="BX19" s="2" t="n">
        <v>32251.91</v>
      </c>
      <c r="BY19" s="2" t="n">
        <v>1513.36</v>
      </c>
      <c r="BZ19" s="2" t="n">
        <v>0</v>
      </c>
      <c r="CA19" s="2" t="n">
        <v>33765.27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2330.32</v>
      </c>
      <c r="L20" s="2" t="n">
        <v>193.977562962963</v>
      </c>
      <c r="M20" s="2" t="n">
        <v>2157.703703703704</v>
      </c>
      <c r="N20" s="2" t="n">
        <v>0</v>
      </c>
      <c r="O20" s="2" t="n">
        <v>2161.32</v>
      </c>
      <c r="P20" s="2" t="n">
        <v>169</v>
      </c>
      <c r="Q20" s="2" t="n">
        <v>12.15</v>
      </c>
      <c r="R20" s="2" t="n">
        <v>0.84375</v>
      </c>
      <c r="S20" s="2" t="n">
        <v>11.25</v>
      </c>
      <c r="T20" s="2" t="n">
        <v>0</v>
      </c>
      <c r="U20" s="2" t="n">
        <v>12.15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4054.54</v>
      </c>
      <c r="AP20" s="2" t="n">
        <v>3600</v>
      </c>
      <c r="AQ20" s="2" t="n">
        <v>3754.203703703703</v>
      </c>
      <c r="AR20" s="2" t="n">
        <v>0</v>
      </c>
      <c r="AS20" s="2" t="n">
        <v>3647.38</v>
      </c>
      <c r="AT20" s="2" t="n">
        <v>407.16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6397.01</v>
      </c>
      <c r="BB20" s="2" t="n">
        <v>6397.01</v>
      </c>
      <c r="BC20" s="2">
        <f>F20+L20+R20+X20+AD20+AJ20+AP20+AV20+IF(BE20="",0,BE20)</f>
        <v/>
      </c>
      <c r="BD20" s="2" t="n">
        <v>98.51395400000001</v>
      </c>
      <c r="BE20" s="2" t="n"/>
      <c r="BF20" s="2" t="n">
        <v>5923.157407407407</v>
      </c>
      <c r="BG20" s="2" t="n">
        <v>0</v>
      </c>
      <c r="BH20" s="2" t="n">
        <v>0</v>
      </c>
      <c r="BI20" s="2" t="n">
        <v>30040.16</v>
      </c>
      <c r="BJ20" s="2" t="n">
        <v>63.96905982905983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86.359635</v>
      </c>
      <c r="BQ20" s="2" t="n">
        <v>0</v>
      </c>
      <c r="BR20" s="2" t="n">
        <v>30215.48869482906</v>
      </c>
      <c r="BS20" s="2" t="n">
        <v>1198.661025641026</v>
      </c>
      <c r="BT20" s="2" t="n">
        <v>0</v>
      </c>
      <c r="BU20" s="2" t="n">
        <v>6265.558017094017</v>
      </c>
      <c r="BV20" s="2" t="n">
        <v>7464.219042735042</v>
      </c>
      <c r="BW20" s="2" t="n">
        <v>37679.7077375641</v>
      </c>
      <c r="BX20" s="2" t="n">
        <v>5820.85</v>
      </c>
      <c r="BY20" s="2" t="n">
        <v>576.1600000000001</v>
      </c>
      <c r="BZ20" s="2" t="n">
        <v>0</v>
      </c>
      <c r="CA20" s="2" t="n">
        <v>6397.01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666</v>
      </c>
      <c r="L21" s="2" t="n">
        <v>55.43833333333333</v>
      </c>
      <c r="M21" s="2" t="n">
        <v>616.6666666666666</v>
      </c>
      <c r="N21" s="2" t="n">
        <v>0</v>
      </c>
      <c r="O21" s="2" t="n">
        <v>573</v>
      </c>
      <c r="P21" s="2" t="n">
        <v>93</v>
      </c>
      <c r="Q21" s="2" t="n">
        <v>126.7</v>
      </c>
      <c r="R21" s="2" t="n">
        <v>8.798611111111111</v>
      </c>
      <c r="S21" s="2" t="n">
        <v>117.3148148148148</v>
      </c>
      <c r="T21" s="2" t="n">
        <v>0</v>
      </c>
      <c r="U21" s="2" t="n">
        <v>126.7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6957.120000000001</v>
      </c>
      <c r="AP21" s="2" t="n">
        <v>3600</v>
      </c>
      <c r="AQ21" s="2" t="n">
        <v>6441.777777777778</v>
      </c>
      <c r="AR21" s="2" t="n">
        <v>0</v>
      </c>
      <c r="AS21" s="2" t="n">
        <v>6657.77</v>
      </c>
      <c r="AT21" s="2" t="n">
        <v>299.35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7749.820000000001</v>
      </c>
      <c r="BB21" s="2" t="n">
        <v>7749.820000000001</v>
      </c>
      <c r="BC21" s="2">
        <f>F21+L21+R21+X21+AD21+AJ21+AP21+AV21+IF(BE21="",0,BE21)</f>
        <v/>
      </c>
      <c r="BD21" s="2" t="n">
        <v>119.347228</v>
      </c>
      <c r="BE21" s="2" t="n"/>
      <c r="BF21" s="2" t="n">
        <v>7175.75925925926</v>
      </c>
      <c r="BG21" s="2" t="n">
        <v>0</v>
      </c>
      <c r="BH21" s="2" t="n">
        <v>0</v>
      </c>
      <c r="BI21" s="2" t="n">
        <v>30040.16</v>
      </c>
      <c r="BJ21" s="2" t="n">
        <v>63.96905982905983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104.62257</v>
      </c>
      <c r="BQ21" s="2" t="n">
        <v>0</v>
      </c>
      <c r="BR21" s="2" t="n">
        <v>30233.75162982906</v>
      </c>
      <c r="BS21" s="2" t="n">
        <v>1198.661025641026</v>
      </c>
      <c r="BT21" s="2" t="n">
        <v>0</v>
      </c>
      <c r="BU21" s="2" t="n">
        <v>6265.558017094017</v>
      </c>
      <c r="BV21" s="2" t="n">
        <v>7464.219042735042</v>
      </c>
      <c r="BW21" s="2" t="n">
        <v>37697.9706725641</v>
      </c>
      <c r="BX21" s="2" t="n">
        <v>7357.47</v>
      </c>
      <c r="BY21" s="2" t="n">
        <v>392.35</v>
      </c>
      <c r="BZ21" s="2" t="n">
        <v>0</v>
      </c>
      <c r="CA21" s="2" t="n">
        <v>7749.820000000001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Elblag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148.35</v>
      </c>
      <c r="L22" s="2" t="n">
        <v>12.34876388888889</v>
      </c>
      <c r="M22" s="2" t="n">
        <v>137.3611111111111</v>
      </c>
      <c r="N22" s="2" t="n">
        <v>0</v>
      </c>
      <c r="O22" s="2" t="n">
        <v>129.5</v>
      </c>
      <c r="P22" s="2" t="n">
        <v>18.85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968.9000000000001</v>
      </c>
      <c r="AP22" s="2" t="n">
        <v>2950</v>
      </c>
      <c r="AQ22" s="2" t="n">
        <v>897.1296296296297</v>
      </c>
      <c r="AR22" s="2" t="n">
        <v>0</v>
      </c>
      <c r="AS22" s="2" t="n">
        <v>927.71</v>
      </c>
      <c r="AT22" s="2" t="n">
        <v>41.19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1117.25</v>
      </c>
      <c r="BB22" s="2" t="n">
        <v>1117.25</v>
      </c>
      <c r="BC22" s="2">
        <f>F22+L22+R22+X22+AD22+AJ22+AP22+AV22+IF(BE22="",0,BE22)</f>
        <v/>
      </c>
      <c r="BD22" s="2" t="n">
        <v>17.20565</v>
      </c>
      <c r="BE22" s="2" t="n"/>
      <c r="BF22" s="2" t="n">
        <v>1034.490740740741</v>
      </c>
      <c r="BG22" s="2" t="n">
        <v>0</v>
      </c>
      <c r="BH22" s="2" t="n">
        <v>0</v>
      </c>
      <c r="BI22" s="2" t="n">
        <v>30040.16</v>
      </c>
      <c r="BJ22" s="2" t="n">
        <v>63.96905982905983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15.082875</v>
      </c>
      <c r="BQ22" s="2" t="n">
        <v>0</v>
      </c>
      <c r="BR22" s="2" t="n">
        <v>30144.21193482906</v>
      </c>
      <c r="BS22" s="2" t="n">
        <v>1198.661025641026</v>
      </c>
      <c r="BT22" s="2" t="n">
        <v>0</v>
      </c>
      <c r="BU22" s="2" t="n">
        <v>6265.558017094017</v>
      </c>
      <c r="BV22" s="2" t="n">
        <v>7464.219042735042</v>
      </c>
      <c r="BW22" s="2" t="n">
        <v>37608.4309775641</v>
      </c>
      <c r="BX22" s="2" t="n">
        <v>1057.21</v>
      </c>
      <c r="BY22" s="2" t="n">
        <v>60.04</v>
      </c>
      <c r="BZ22" s="2" t="n">
        <v>0</v>
      </c>
      <c r="CA22" s="2" t="n">
        <v>1117.25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7780.06</v>
      </c>
      <c r="L23" s="2" t="n">
        <v>647.6179574074074</v>
      </c>
      <c r="M23" s="2" t="n">
        <v>7203.759259259259</v>
      </c>
      <c r="N23" s="2" t="n">
        <v>0</v>
      </c>
      <c r="O23" s="2" t="n">
        <v>6629.18</v>
      </c>
      <c r="P23" s="2" t="n">
        <v>1150.88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10763.13</v>
      </c>
      <c r="AP23" s="2" t="n">
        <v>2950</v>
      </c>
      <c r="AQ23" s="2" t="n">
        <v>9965.861111111109</v>
      </c>
      <c r="AR23" s="2" t="n">
        <v>0</v>
      </c>
      <c r="AS23" s="2" t="n">
        <v>10352.75</v>
      </c>
      <c r="AT23" s="2" t="n">
        <v>410.38</v>
      </c>
      <c r="AU23" s="2" t="n">
        <v>4885.25</v>
      </c>
      <c r="AV23" s="2" t="n">
        <v>389.0106481481481</v>
      </c>
      <c r="AW23" s="2" t="n">
        <v>4523.37962962963</v>
      </c>
      <c r="AX23" s="2" t="n">
        <v>0</v>
      </c>
      <c r="AY23" s="2" t="n">
        <v>4768.75</v>
      </c>
      <c r="AZ23" s="2" t="n">
        <v>116.5</v>
      </c>
      <c r="BA23" s="2" t="n">
        <v>23428.44</v>
      </c>
      <c r="BB23" s="2" t="n">
        <v>23428.44</v>
      </c>
      <c r="BC23" s="2">
        <f>F23+L23+R23+X23+AD23+AJ23+AP23+AV23+IF(BE23="",0,BE23)</f>
        <v/>
      </c>
      <c r="BD23" s="2" t="n">
        <v>360.7979759999999</v>
      </c>
      <c r="BE23" s="2" t="n"/>
      <c r="BF23" s="2" t="n">
        <v>21693</v>
      </c>
      <c r="BG23" s="2" t="n">
        <v>0</v>
      </c>
      <c r="BH23" s="2" t="n">
        <v>0</v>
      </c>
      <c r="BI23" s="2" t="n">
        <v>30040.16</v>
      </c>
      <c r="BJ23" s="2" t="n">
        <v>63.96905982905983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316.28394</v>
      </c>
      <c r="BQ23" s="2" t="n">
        <v>0</v>
      </c>
      <c r="BR23" s="2" t="n">
        <v>30445.41299982906</v>
      </c>
      <c r="BS23" s="2" t="n">
        <v>1198.661025641026</v>
      </c>
      <c r="BT23" s="2" t="n">
        <v>0</v>
      </c>
      <c r="BU23" s="2" t="n">
        <v>6265.558017094017</v>
      </c>
      <c r="BV23" s="2" t="n">
        <v>7464.219042735042</v>
      </c>
      <c r="BW23" s="2" t="n">
        <v>37909.6320425641</v>
      </c>
      <c r="BX23" s="2" t="n">
        <v>21750.68</v>
      </c>
      <c r="BY23" s="2" t="n">
        <v>1677.76</v>
      </c>
      <c r="BZ23" s="2" t="n">
        <v>0</v>
      </c>
      <c r="CA23" s="2" t="n">
        <v>23428.44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4086.25</v>
      </c>
      <c r="L24" s="2" t="n">
        <v>340.1424768518519</v>
      </c>
      <c r="M24" s="2" t="n">
        <v>3783.564814814815</v>
      </c>
      <c r="N24" s="2" t="n">
        <v>0</v>
      </c>
      <c r="O24" s="2" t="n">
        <v>3610.68</v>
      </c>
      <c r="P24" s="2" t="n">
        <v>475.57</v>
      </c>
      <c r="Q24" s="2" t="n">
        <v>18.71</v>
      </c>
      <c r="R24" s="2" t="n">
        <v>0</v>
      </c>
      <c r="S24" s="2" t="n">
        <v>17.32407407407407</v>
      </c>
      <c r="T24" s="2" t="n">
        <v>0</v>
      </c>
      <c r="U24" s="2" t="n">
        <v>0</v>
      </c>
      <c r="V24" s="2" t="n">
        <v>18.71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5300.13</v>
      </c>
      <c r="AJ24" s="2" t="n">
        <v>368.0645833333333</v>
      </c>
      <c r="AK24" s="2" t="n">
        <v>4907.527777777777</v>
      </c>
      <c r="AL24" s="2" t="n">
        <v>0</v>
      </c>
      <c r="AM24" s="2" t="n">
        <v>4607.56</v>
      </c>
      <c r="AN24" s="2" t="n">
        <v>692.5700000000001</v>
      </c>
      <c r="AO24" s="2" t="n">
        <v>1298.56</v>
      </c>
      <c r="AP24" s="2" t="n">
        <v>3650</v>
      </c>
      <c r="AQ24" s="2" t="n">
        <v>1202.37037037037</v>
      </c>
      <c r="AR24" s="2" t="n">
        <v>0</v>
      </c>
      <c r="AS24" s="2" t="n">
        <v>1183.25</v>
      </c>
      <c r="AT24" s="2" t="n">
        <v>115.31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10703.65</v>
      </c>
      <c r="BB24" s="2" t="n">
        <v>10703.65</v>
      </c>
      <c r="BC24" s="2">
        <f>F24+L24+R24+X24+AD24+AJ24+AP24+AV24+IF(BE24="",0,BE24)</f>
        <v/>
      </c>
      <c r="BD24" s="2" t="n">
        <v>164.83621</v>
      </c>
      <c r="BE24" s="2" t="n"/>
      <c r="BF24" s="2" t="n">
        <v>9910.787037037036</v>
      </c>
      <c r="BG24" s="2" t="n">
        <v>0</v>
      </c>
      <c r="BH24" s="2" t="n">
        <v>0</v>
      </c>
      <c r="BI24" s="2" t="n">
        <v>30040.16</v>
      </c>
      <c r="BJ24" s="2" t="n">
        <v>63.96905982905983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144.499275</v>
      </c>
      <c r="BQ24" s="2" t="n">
        <v>0</v>
      </c>
      <c r="BR24" s="2" t="n">
        <v>30273.62833482906</v>
      </c>
      <c r="BS24" s="2" t="n">
        <v>1198.661025641026</v>
      </c>
      <c r="BT24" s="2" t="n">
        <v>0</v>
      </c>
      <c r="BU24" s="2" t="n">
        <v>6265.558017094017</v>
      </c>
      <c r="BV24" s="2" t="n">
        <v>7464.219042735042</v>
      </c>
      <c r="BW24" s="2" t="n">
        <v>37737.8473775641</v>
      </c>
      <c r="BX24" s="2" t="n">
        <v>9401.49</v>
      </c>
      <c r="BY24" s="2" t="n">
        <v>1302.16</v>
      </c>
      <c r="BZ24" s="2" t="n">
        <v>0</v>
      </c>
      <c r="CA24" s="2" t="n">
        <v>10703.65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33996.87</v>
      </c>
      <c r="L25" s="2" t="n">
        <v>2829.924641666667</v>
      </c>
      <c r="M25" s="2" t="n">
        <v>31478.58333333333</v>
      </c>
      <c r="N25" s="2" t="n">
        <v>0</v>
      </c>
      <c r="O25" s="2" t="n">
        <v>32150.45</v>
      </c>
      <c r="P25" s="2" t="n">
        <v>1846.42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534.48</v>
      </c>
      <c r="AJ25" s="2" t="n">
        <v>37.11666666666666</v>
      </c>
      <c r="AK25" s="2" t="n">
        <v>494.8888888888889</v>
      </c>
      <c r="AL25" s="2" t="n">
        <v>0</v>
      </c>
      <c r="AM25" s="2" t="n">
        <v>534.48</v>
      </c>
      <c r="AN25" s="2" t="n">
        <v>0</v>
      </c>
      <c r="AO25" s="2" t="n">
        <v>1336.85</v>
      </c>
      <c r="AP25" s="2" t="n">
        <v>103.9772222222222</v>
      </c>
      <c r="AQ25" s="2" t="n">
        <v>1237.824074074074</v>
      </c>
      <c r="AR25" s="2" t="n">
        <v>0</v>
      </c>
      <c r="AS25" s="2" t="n">
        <v>1322.85</v>
      </c>
      <c r="AT25" s="2" t="n">
        <v>14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35868.2</v>
      </c>
      <c r="BB25" s="2" t="n">
        <v>35868.2</v>
      </c>
      <c r="BC25" s="2">
        <f>F25+L25+R25+X25+AD25+AJ25+AP25+AV25+IF(BE25="",0,BE25)</f>
        <v/>
      </c>
      <c r="BD25" s="2" t="n">
        <v>552.3702800000001</v>
      </c>
      <c r="BE25" s="2" t="n"/>
      <c r="BF25" s="2" t="n">
        <v>33211.2962962963</v>
      </c>
      <c r="BG25" s="2" t="n">
        <v>888.52</v>
      </c>
      <c r="BH25" s="2" t="n">
        <v>244.08</v>
      </c>
      <c r="BI25" s="2" t="n">
        <v>30040.16</v>
      </c>
      <c r="BJ25" s="2" t="n">
        <v>63.96905982905983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484.2207000000001</v>
      </c>
      <c r="BQ25" s="2" t="n">
        <v>0</v>
      </c>
      <c r="BR25" s="2" t="n">
        <v>31745.94975982906</v>
      </c>
      <c r="BS25" s="2" t="n">
        <v>1198.661025641026</v>
      </c>
      <c r="BT25" s="2" t="n">
        <v>0</v>
      </c>
      <c r="BU25" s="2" t="n">
        <v>6492.078017094017</v>
      </c>
      <c r="BV25" s="2" t="n">
        <v>7690.739042735043</v>
      </c>
      <c r="BW25" s="2" t="n">
        <v>39436.6888025641</v>
      </c>
      <c r="BX25" s="2" t="n">
        <v>34007.78</v>
      </c>
      <c r="BY25" s="2" t="n">
        <v>1860.42</v>
      </c>
      <c r="BZ25" s="2" t="n">
        <v>0</v>
      </c>
      <c r="CA25" s="2" t="n">
        <v>35868.2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22691.25</v>
      </c>
      <c r="L26" s="2" t="n">
        <v>1888.836458333333</v>
      </c>
      <c r="M26" s="2" t="n">
        <v>21010.41666666666</v>
      </c>
      <c r="N26" s="2" t="n">
        <v>0</v>
      </c>
      <c r="O26" s="2" t="n">
        <v>21170.71</v>
      </c>
      <c r="P26" s="2" t="n">
        <v>1520.54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561.89</v>
      </c>
      <c r="AJ26" s="2" t="n">
        <v>39.02013888888889</v>
      </c>
      <c r="AK26" s="2" t="n">
        <v>520.2685185185185</v>
      </c>
      <c r="AL26" s="2" t="n">
        <v>0</v>
      </c>
      <c r="AM26" s="2" t="n">
        <v>525.89</v>
      </c>
      <c r="AN26" s="2" t="n">
        <v>36</v>
      </c>
      <c r="AO26" s="2" t="n">
        <v>1333.3</v>
      </c>
      <c r="AP26" s="2" t="n">
        <v>103.7011111111111</v>
      </c>
      <c r="AQ26" s="2" t="n">
        <v>1234.537037037037</v>
      </c>
      <c r="AR26" s="2" t="n">
        <v>0</v>
      </c>
      <c r="AS26" s="2" t="n">
        <v>1237</v>
      </c>
      <c r="AT26" s="2" t="n">
        <v>96.3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24586.44</v>
      </c>
      <c r="BB26" s="2" t="n">
        <v>24586.44</v>
      </c>
      <c r="BC26" s="2">
        <f>F26+L26+R26+X26+AD26+AJ26+AP26+AV26+IF(BE26="",0,BE26)</f>
        <v/>
      </c>
      <c r="BD26" s="2" t="n">
        <v>378.631176</v>
      </c>
      <c r="BE26" s="2" t="n"/>
      <c r="BF26" s="2" t="n">
        <v>22765.22222222222</v>
      </c>
      <c r="BG26" s="2" t="n">
        <v>888.5</v>
      </c>
      <c r="BH26" s="2" t="n">
        <v>244.08</v>
      </c>
      <c r="BI26" s="2" t="n">
        <v>30040.16</v>
      </c>
      <c r="BJ26" s="2" t="n">
        <v>63.96905982905983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331.91694</v>
      </c>
      <c r="BQ26" s="2" t="n">
        <v>0</v>
      </c>
      <c r="BR26" s="2" t="n">
        <v>31593.62599982906</v>
      </c>
      <c r="BS26" s="2" t="n">
        <v>1198.661025641026</v>
      </c>
      <c r="BT26" s="2" t="n">
        <v>0</v>
      </c>
      <c r="BU26" s="2" t="n">
        <v>6492.074017094017</v>
      </c>
      <c r="BV26" s="2" t="n">
        <v>7690.735042735043</v>
      </c>
      <c r="BW26" s="2" t="n">
        <v>39284.36104256409</v>
      </c>
      <c r="BX26" s="2" t="n">
        <v>22933.6</v>
      </c>
      <c r="BY26" s="2" t="n">
        <v>1652.84</v>
      </c>
      <c r="BZ26" s="2" t="n">
        <v>0</v>
      </c>
      <c r="CA26" s="2" t="n">
        <v>24586.44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2918.28</v>
      </c>
      <c r="L27" s="2" t="n">
        <v>242.9197888888889</v>
      </c>
      <c r="M27" s="2" t="n">
        <v>2702.111111111111</v>
      </c>
      <c r="N27" s="2" t="n">
        <v>0</v>
      </c>
      <c r="O27" s="2" t="n">
        <v>2477.5</v>
      </c>
      <c r="P27" s="2" t="n">
        <v>440.78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422.67</v>
      </c>
      <c r="AD27" s="2" t="n">
        <v>27.39527777777777</v>
      </c>
      <c r="AE27" s="2" t="n">
        <v>391.361111111111</v>
      </c>
      <c r="AF27" s="2" t="n">
        <v>0</v>
      </c>
      <c r="AG27" s="2" t="n">
        <v>288.46</v>
      </c>
      <c r="AH27" s="2" t="n">
        <v>134.21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2389.29</v>
      </c>
      <c r="AP27" s="2" t="n">
        <v>185.8336666666667</v>
      </c>
      <c r="AQ27" s="2" t="n">
        <v>2212.305555555555</v>
      </c>
      <c r="AR27" s="2" t="n">
        <v>0</v>
      </c>
      <c r="AS27" s="2" t="n">
        <v>2156.97</v>
      </c>
      <c r="AT27" s="2" t="n">
        <v>232.32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5730.24</v>
      </c>
      <c r="BB27" s="2" t="n">
        <v>5730.24</v>
      </c>
      <c r="BC27" s="2">
        <f>F27+L27+R27+X27+AD27+AJ27+AP27+AV27+IF(BE27="",0,BE27)</f>
        <v/>
      </c>
      <c r="BD27" s="2" t="n">
        <v>88.245696</v>
      </c>
      <c r="BE27" s="2" t="n"/>
      <c r="BF27" s="2" t="n">
        <v>5305.777777777777</v>
      </c>
      <c r="BG27" s="2" t="n">
        <v>518</v>
      </c>
      <c r="BH27" s="2" t="n">
        <v>352</v>
      </c>
      <c r="BI27" s="2" t="n">
        <v>30040.16</v>
      </c>
      <c r="BJ27" s="2" t="n">
        <v>63.96905982905983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77.35824</v>
      </c>
      <c r="BQ27" s="2" t="n">
        <v>0</v>
      </c>
      <c r="BR27" s="2" t="n">
        <v>31076.48729982906</v>
      </c>
      <c r="BS27" s="2" t="n">
        <v>1198.661025641026</v>
      </c>
      <c r="BT27" s="2" t="n">
        <v>0</v>
      </c>
      <c r="BU27" s="2" t="n">
        <v>6439.558017094017</v>
      </c>
      <c r="BV27" s="2" t="n">
        <v>7638.219042735042</v>
      </c>
      <c r="BW27" s="2" t="n">
        <v>38714.7063425641</v>
      </c>
      <c r="BX27" s="2" t="n">
        <v>4922.93</v>
      </c>
      <c r="BY27" s="2" t="n">
        <v>807.3099999999999</v>
      </c>
      <c r="BZ27" s="2" t="n">
        <v>0</v>
      </c>
      <c r="CA27" s="2" t="n">
        <v>5730.24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1212.25</v>
      </c>
      <c r="L28" s="2" t="n">
        <v>100.908587962963</v>
      </c>
      <c r="M28" s="2" t="n">
        <v>1122.453703703704</v>
      </c>
      <c r="N28" s="2" t="n">
        <v>0</v>
      </c>
      <c r="O28" s="2" t="n">
        <v>1014.17</v>
      </c>
      <c r="P28" s="2" t="n">
        <v>198.08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7582.19</v>
      </c>
      <c r="AD28" s="2" t="n">
        <v>491.4382407407408</v>
      </c>
      <c r="AE28" s="2" t="n">
        <v>7020.546296296296</v>
      </c>
      <c r="AF28" s="2" t="n">
        <v>0</v>
      </c>
      <c r="AG28" s="2" t="n">
        <v>7282.48</v>
      </c>
      <c r="AH28" s="2" t="n">
        <v>299.71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8794.439999999999</v>
      </c>
      <c r="BB28" s="2" t="n">
        <v>8794.439999999999</v>
      </c>
      <c r="BC28" s="2">
        <f>F28+L28+R28+X28+AD28+AJ28+AP28+AV28+IF(BE28="",0,BE28)</f>
        <v/>
      </c>
      <c r="BD28" s="2" t="n">
        <v>135.434376</v>
      </c>
      <c r="BE28" s="2" t="n"/>
      <c r="BF28" s="2" t="n">
        <v>8142.999999999999</v>
      </c>
      <c r="BG28" s="2" t="n">
        <v>400</v>
      </c>
      <c r="BH28" s="2" t="n">
        <v>241.5</v>
      </c>
      <c r="BI28" s="2" t="n">
        <v>30040.16</v>
      </c>
      <c r="BJ28" s="2" t="n">
        <v>63.96905982905983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118.72494</v>
      </c>
      <c r="BQ28" s="2" t="n">
        <v>0</v>
      </c>
      <c r="BR28" s="2" t="n">
        <v>30889.35399982906</v>
      </c>
      <c r="BS28" s="2" t="n">
        <v>1198.661025641026</v>
      </c>
      <c r="BT28" s="2" t="n">
        <v>0</v>
      </c>
      <c r="BU28" s="2" t="n">
        <v>6393.858017094017</v>
      </c>
      <c r="BV28" s="2" t="n">
        <v>7592.519042735043</v>
      </c>
      <c r="BW28" s="2" t="n">
        <v>38481.8730425641</v>
      </c>
      <c r="BX28" s="2" t="n">
        <v>8296.65</v>
      </c>
      <c r="BY28" s="2" t="n">
        <v>497.79</v>
      </c>
      <c r="BZ28" s="2" t="n">
        <v>0</v>
      </c>
      <c r="CA28" s="2" t="n">
        <v>8794.439999999999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1568.93</v>
      </c>
      <c r="L29" s="2" t="n">
        <v>130.5988953703704</v>
      </c>
      <c r="M29" s="2" t="n">
        <v>1452.712962962963</v>
      </c>
      <c r="N29" s="2" t="n">
        <v>0</v>
      </c>
      <c r="O29" s="2" t="n">
        <v>1395.16</v>
      </c>
      <c r="P29" s="2" t="n">
        <v>173.77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3293.63</v>
      </c>
      <c r="AD29" s="2" t="n">
        <v>213.4760185185185</v>
      </c>
      <c r="AE29" s="2" t="n">
        <v>3049.657407407407</v>
      </c>
      <c r="AF29" s="2" t="n">
        <v>0</v>
      </c>
      <c r="AG29" s="2" t="n">
        <v>2954.31</v>
      </c>
      <c r="AH29" s="2" t="n">
        <v>339.32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1255.66</v>
      </c>
      <c r="AP29" s="2" t="n">
        <v>97.66244444444445</v>
      </c>
      <c r="AQ29" s="2" t="n">
        <v>1162.648148148148</v>
      </c>
      <c r="AR29" s="2" t="n">
        <v>0</v>
      </c>
      <c r="AS29" s="2" t="n">
        <v>1076.34</v>
      </c>
      <c r="AT29" s="2" t="n">
        <v>179.32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6118.22</v>
      </c>
      <c r="BB29" s="2" t="n">
        <v>6118.22</v>
      </c>
      <c r="BC29" s="2">
        <f>F29+L29+R29+X29+AD29+AJ29+AP29+AV29+IF(BE29="",0,BE29)</f>
        <v/>
      </c>
      <c r="BD29" s="2" t="n">
        <v>94.22058800000001</v>
      </c>
      <c r="BE29" s="2" t="n"/>
      <c r="BF29" s="2" t="n">
        <v>5665.018518518518</v>
      </c>
      <c r="BG29" s="2" t="n">
        <v>362.81</v>
      </c>
      <c r="BH29" s="2" t="n">
        <v>246</v>
      </c>
      <c r="BI29" s="2" t="n">
        <v>30040.16</v>
      </c>
      <c r="BJ29" s="2" t="n">
        <v>63.96905982905983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82.59596999999999</v>
      </c>
      <c r="BQ29" s="2" t="n">
        <v>0</v>
      </c>
      <c r="BR29" s="2" t="n">
        <v>30820.53502982906</v>
      </c>
      <c r="BS29" s="2" t="n">
        <v>1198.661025641026</v>
      </c>
      <c r="BT29" s="2" t="n">
        <v>0</v>
      </c>
      <c r="BU29" s="2" t="n">
        <v>6387.320017094017</v>
      </c>
      <c r="BV29" s="2" t="n">
        <v>7585.981042735043</v>
      </c>
      <c r="BW29" s="2" t="n">
        <v>38406.5160725641</v>
      </c>
      <c r="BX29" s="2" t="n">
        <v>5425.81</v>
      </c>
      <c r="BY29" s="2" t="n">
        <v>692.4100000000001</v>
      </c>
      <c r="BZ29" s="2" t="n">
        <v>0</v>
      </c>
      <c r="CA29" s="2" t="n">
        <v>6118.22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2989.64</v>
      </c>
      <c r="L30" s="2" t="n">
        <v>248.8598481481481</v>
      </c>
      <c r="M30" s="2" t="n">
        <v>2768.185185185185</v>
      </c>
      <c r="N30" s="2" t="n">
        <v>0</v>
      </c>
      <c r="O30" s="2" t="n">
        <v>2795.85</v>
      </c>
      <c r="P30" s="2" t="n">
        <v>193.79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3391.47</v>
      </c>
      <c r="AD30" s="2" t="n">
        <v>219.8175</v>
      </c>
      <c r="AE30" s="2" t="n">
        <v>3140.25</v>
      </c>
      <c r="AF30" s="2" t="n">
        <v>0</v>
      </c>
      <c r="AG30" s="2" t="n">
        <v>3108.46</v>
      </c>
      <c r="AH30" s="2" t="n">
        <v>283.01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1842.81</v>
      </c>
      <c r="AP30" s="2" t="n">
        <v>143.3296666666667</v>
      </c>
      <c r="AQ30" s="2" t="n">
        <v>1706.305555555555</v>
      </c>
      <c r="AR30" s="2" t="n">
        <v>0</v>
      </c>
      <c r="AS30" s="2" t="n">
        <v>1737.19</v>
      </c>
      <c r="AT30" s="2" t="n">
        <v>105.62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8223.92</v>
      </c>
      <c r="BB30" s="2" t="n">
        <v>8223.92</v>
      </c>
      <c r="BC30" s="2">
        <f>F30+L30+R30+X30+AD30+AJ30+AP30+AV30+IF(BE30="",0,BE30)</f>
        <v/>
      </c>
      <c r="BD30" s="2" t="n">
        <v>126.648368</v>
      </c>
      <c r="BE30" s="2" t="n"/>
      <c r="BF30" s="2" t="n">
        <v>7614.74074074074</v>
      </c>
      <c r="BG30" s="2" t="n">
        <v>300</v>
      </c>
      <c r="BH30" s="2" t="n">
        <v>340.5</v>
      </c>
      <c r="BI30" s="2" t="n">
        <v>30040.16</v>
      </c>
      <c r="BJ30" s="2" t="n">
        <v>63.96905982905983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111.02292</v>
      </c>
      <c r="BQ30" s="2" t="n">
        <v>0</v>
      </c>
      <c r="BR30" s="2" t="n">
        <v>30880.65197982906</v>
      </c>
      <c r="BS30" s="2" t="n">
        <v>1198.661025641026</v>
      </c>
      <c r="BT30" s="2" t="n">
        <v>0</v>
      </c>
      <c r="BU30" s="2" t="n">
        <v>6393.658017094017</v>
      </c>
      <c r="BV30" s="2" t="n">
        <v>7592.319042735043</v>
      </c>
      <c r="BW30" s="2" t="n">
        <v>38472.9710225641</v>
      </c>
      <c r="BX30" s="2" t="n">
        <v>7641.5</v>
      </c>
      <c r="BY30" s="2" t="n">
        <v>582.42</v>
      </c>
      <c r="BZ30" s="2" t="n">
        <v>0</v>
      </c>
      <c r="CA30" s="2" t="n">
        <v>8223.92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2318.48</v>
      </c>
      <c r="L31" s="2" t="n">
        <v>192.9919925925926</v>
      </c>
      <c r="M31" s="2" t="n">
        <v>2146.74074074074</v>
      </c>
      <c r="N31" s="2" t="n">
        <v>0</v>
      </c>
      <c r="O31" s="2" t="n">
        <v>2168.78</v>
      </c>
      <c r="P31" s="2" t="n">
        <v>149.7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236.64</v>
      </c>
      <c r="AD31" s="2" t="n">
        <v>15.33777777777778</v>
      </c>
      <c r="AE31" s="2" t="n">
        <v>219.1111111111111</v>
      </c>
      <c r="AF31" s="2" t="n">
        <v>0</v>
      </c>
      <c r="AG31" s="2" t="n">
        <v>202.84</v>
      </c>
      <c r="AH31" s="2" t="n">
        <v>33.8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1227.27</v>
      </c>
      <c r="AP31" s="2" t="n">
        <v>95.45433333333334</v>
      </c>
      <c r="AQ31" s="2" t="n">
        <v>1136.361111111111</v>
      </c>
      <c r="AR31" s="2" t="n">
        <v>0</v>
      </c>
      <c r="AS31" s="2" t="n">
        <v>1184.79</v>
      </c>
      <c r="AT31" s="2" t="n">
        <v>42.48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3782.39</v>
      </c>
      <c r="BB31" s="2" t="n">
        <v>3782.39</v>
      </c>
      <c r="BC31" s="2">
        <f>F31+L31+R31+X31+AD31+AJ31+AP31+AV31+IF(BE31="",0,BE31)</f>
        <v/>
      </c>
      <c r="BD31" s="2" t="n">
        <v>58.248806</v>
      </c>
      <c r="BE31" s="2" t="n"/>
      <c r="BF31" s="2" t="n">
        <v>3502.212962962963</v>
      </c>
      <c r="BG31" s="2" t="n">
        <v>250</v>
      </c>
      <c r="BH31" s="2" t="n">
        <v>178</v>
      </c>
      <c r="BI31" s="2" t="n">
        <v>30040.16</v>
      </c>
      <c r="BJ31" s="2" t="n">
        <v>63.96905982905983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51.062265</v>
      </c>
      <c r="BQ31" s="2" t="n">
        <v>0</v>
      </c>
      <c r="BR31" s="2" t="n">
        <v>30608.19132482906</v>
      </c>
      <c r="BS31" s="2" t="n">
        <v>1198.661025641026</v>
      </c>
      <c r="BT31" s="2" t="n">
        <v>0</v>
      </c>
      <c r="BU31" s="2" t="n">
        <v>6351.158017094017</v>
      </c>
      <c r="BV31" s="2" t="n">
        <v>7549.819042735043</v>
      </c>
      <c r="BW31" s="2" t="n">
        <v>38158.0103675641</v>
      </c>
      <c r="BX31" s="2" t="n">
        <v>3556.41</v>
      </c>
      <c r="BY31" s="2" t="n">
        <v>225.98</v>
      </c>
      <c r="BZ31" s="2" t="n">
        <v>0</v>
      </c>
      <c r="CA31" s="2" t="n">
        <v>3782.39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4824.85</v>
      </c>
      <c r="AD32" s="2" t="n">
        <v>312.7217592592593</v>
      </c>
      <c r="AE32" s="2" t="n">
        <v>4467.453703703703</v>
      </c>
      <c r="AF32" s="2" t="n">
        <v>0</v>
      </c>
      <c r="AG32" s="2" t="n">
        <v>4305.54</v>
      </c>
      <c r="AH32" s="2" t="n">
        <v>519.3099999999999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1233.28</v>
      </c>
      <c r="AP32" s="2" t="n">
        <v>95.92177777777778</v>
      </c>
      <c r="AQ32" s="2" t="n">
        <v>1141.925925925926</v>
      </c>
      <c r="AR32" s="2" t="n">
        <v>0</v>
      </c>
      <c r="AS32" s="2" t="n">
        <v>1096.72</v>
      </c>
      <c r="AT32" s="2" t="n">
        <v>136.56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6058.13</v>
      </c>
      <c r="BB32" s="2" t="n">
        <v>6058.13</v>
      </c>
      <c r="BC32" s="2">
        <f>F32+L32+R32+X32+AD32+AJ32+AP32+AV32+IF(BE32="",0,BE32)</f>
        <v/>
      </c>
      <c r="BD32" s="2" t="n">
        <v>93.29520200000002</v>
      </c>
      <c r="BE32" s="2" t="n"/>
      <c r="BF32" s="2" t="n">
        <v>5609.37962962963</v>
      </c>
      <c r="BG32" s="2" t="n">
        <v>0</v>
      </c>
      <c r="BH32" s="2" t="n">
        <v>0</v>
      </c>
      <c r="BI32" s="2" t="n">
        <v>30040.16</v>
      </c>
      <c r="BJ32" s="2" t="n">
        <v>63.96905982905983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81.784755</v>
      </c>
      <c r="BQ32" s="2" t="n">
        <v>0</v>
      </c>
      <c r="BR32" s="2" t="n">
        <v>30210.91381482906</v>
      </c>
      <c r="BS32" s="2" t="n">
        <v>1198.661025641026</v>
      </c>
      <c r="BT32" s="2" t="n">
        <v>0</v>
      </c>
      <c r="BU32" s="2" t="n">
        <v>6265.558017094017</v>
      </c>
      <c r="BV32" s="2" t="n">
        <v>7464.219042735042</v>
      </c>
      <c r="BW32" s="2" t="n">
        <v>37675.1328575641</v>
      </c>
      <c r="BX32" s="2" t="n">
        <v>5402.26</v>
      </c>
      <c r="BY32" s="2" t="n">
        <v>655.8699999999999</v>
      </c>
      <c r="BZ32" s="2" t="n">
        <v>0</v>
      </c>
      <c r="CA32" s="2" t="n">
        <v>6058.13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2171.11</v>
      </c>
      <c r="L33" s="2" t="n">
        <v>180.7248046296296</v>
      </c>
      <c r="M33" s="2" t="n">
        <v>2010.287037037036</v>
      </c>
      <c r="N33" s="2" t="n">
        <v>0</v>
      </c>
      <c r="O33" s="2" t="n">
        <v>1856.62</v>
      </c>
      <c r="P33" s="2" t="n">
        <v>314.49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3269.03</v>
      </c>
      <c r="AD33" s="2" t="n">
        <v>211.8815740740741</v>
      </c>
      <c r="AE33" s="2" t="n">
        <v>3026.879629629629</v>
      </c>
      <c r="AF33" s="2" t="n">
        <v>0</v>
      </c>
      <c r="AG33" s="2" t="n">
        <v>2880.43</v>
      </c>
      <c r="AH33" s="2" t="n">
        <v>388.6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2355.03</v>
      </c>
      <c r="AP33" s="2" t="n">
        <v>183.169</v>
      </c>
      <c r="AQ33" s="2" t="n">
        <v>2180.583333333333</v>
      </c>
      <c r="AR33" s="2" t="n">
        <v>0</v>
      </c>
      <c r="AS33" s="2" t="n">
        <v>2168.53</v>
      </c>
      <c r="AT33" s="2" t="n">
        <v>186.5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7795.17</v>
      </c>
      <c r="BB33" s="2" t="n">
        <v>7795.17</v>
      </c>
      <c r="BC33" s="2">
        <f>F33+L33+R33+X33+AD33+AJ33+AP33+AV33+IF(BE33="",0,BE33)</f>
        <v/>
      </c>
      <c r="BD33" s="2" t="n">
        <v>120.045618</v>
      </c>
      <c r="BE33" s="2" t="n"/>
      <c r="BF33" s="2" t="n">
        <v>7217.75</v>
      </c>
      <c r="BG33" s="2" t="n">
        <v>300</v>
      </c>
      <c r="BH33" s="2" t="n">
        <v>225</v>
      </c>
      <c r="BI33" s="2" t="n">
        <v>30040.16</v>
      </c>
      <c r="BJ33" s="2" t="n">
        <v>63.96905982905983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105.234795</v>
      </c>
      <c r="BQ33" s="2" t="n">
        <v>0</v>
      </c>
      <c r="BR33" s="2" t="n">
        <v>30759.36385482906</v>
      </c>
      <c r="BS33" s="2" t="n">
        <v>1198.661025641026</v>
      </c>
      <c r="BT33" s="2" t="n">
        <v>0</v>
      </c>
      <c r="BU33" s="2" t="n">
        <v>6370.558017094017</v>
      </c>
      <c r="BV33" s="2" t="n">
        <v>7569.219042735042</v>
      </c>
      <c r="BW33" s="2" t="n">
        <v>38328.5828975641</v>
      </c>
      <c r="BX33" s="2" t="n">
        <v>6905.58</v>
      </c>
      <c r="BY33" s="2" t="n">
        <v>889.59</v>
      </c>
      <c r="BZ33" s="2" t="n">
        <v>0</v>
      </c>
      <c r="CA33" s="2" t="n">
        <v>7795.17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4464.08</v>
      </c>
      <c r="L34" s="2" t="n">
        <v>371.5933259259259</v>
      </c>
      <c r="M34" s="2" t="n">
        <v>4133.407407407407</v>
      </c>
      <c r="N34" s="2" t="n">
        <v>0</v>
      </c>
      <c r="O34" s="2" t="n">
        <v>4240.05</v>
      </c>
      <c r="P34" s="2" t="n">
        <v>224.03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7434.28</v>
      </c>
      <c r="AP34" s="2" t="n">
        <v>578.2217777777778</v>
      </c>
      <c r="AQ34" s="2" t="n">
        <v>6883.592592592592</v>
      </c>
      <c r="AR34" s="2" t="n">
        <v>0</v>
      </c>
      <c r="AS34" s="2" t="n">
        <v>6802.62</v>
      </c>
      <c r="AT34" s="2" t="n">
        <v>631.66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11898.36</v>
      </c>
      <c r="BB34" s="2" t="n">
        <v>11898.36</v>
      </c>
      <c r="BC34" s="2">
        <f>F34+L34+R34+X34+AD34+AJ34+AP34+AV34+IF(BE34="",0,BE34)</f>
        <v/>
      </c>
      <c r="BD34" s="2" t="n">
        <v>183.234744</v>
      </c>
      <c r="BE34" s="2" t="n"/>
      <c r="BF34" s="2" t="n">
        <v>11017</v>
      </c>
      <c r="BG34" s="2" t="n">
        <v>0</v>
      </c>
      <c r="BH34" s="2" t="n">
        <v>0</v>
      </c>
      <c r="BI34" s="2" t="n">
        <v>30040.16</v>
      </c>
      <c r="BJ34" s="2" t="n">
        <v>63.96905982905983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160.62786</v>
      </c>
      <c r="BQ34" s="2" t="n">
        <v>0</v>
      </c>
      <c r="BR34" s="2" t="n">
        <v>30289.75691982906</v>
      </c>
      <c r="BS34" s="2" t="n">
        <v>1198.661025641026</v>
      </c>
      <c r="BT34" s="2" t="n">
        <v>0</v>
      </c>
      <c r="BU34" s="2" t="n">
        <v>6265.558017094017</v>
      </c>
      <c r="BV34" s="2" t="n">
        <v>7464.219042735042</v>
      </c>
      <c r="BW34" s="2" t="n">
        <v>37753.9759625641</v>
      </c>
      <c r="BX34" s="2" t="n">
        <v>11042.67</v>
      </c>
      <c r="BY34" s="2" t="n">
        <v>855.6899999999999</v>
      </c>
      <c r="BZ34" s="2" t="n">
        <v>0</v>
      </c>
      <c r="CA34" s="2" t="n">
        <v>11898.36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Bochnia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2890.68</v>
      </c>
      <c r="L35" s="2" t="n">
        <v>240.6223444444444</v>
      </c>
      <c r="M35" s="2" t="n">
        <v>2676.555555555555</v>
      </c>
      <c r="N35" s="2" t="n">
        <v>0</v>
      </c>
      <c r="O35" s="2" t="n">
        <v>2890.68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5676.13</v>
      </c>
      <c r="X35" s="2" t="n">
        <v>250</v>
      </c>
      <c r="Y35" s="2" t="n">
        <v>5255.675925925926</v>
      </c>
      <c r="Z35" s="2" t="n">
        <v>0</v>
      </c>
      <c r="AA35" s="2" t="n">
        <v>5676.13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2790.99</v>
      </c>
      <c r="AP35" s="2" t="n">
        <v>217.077</v>
      </c>
      <c r="AQ35" s="2" t="n">
        <v>2584.25</v>
      </c>
      <c r="AR35" s="2" t="n">
        <v>0</v>
      </c>
      <c r="AS35" s="2" t="n">
        <v>2790.99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11357.8</v>
      </c>
      <c r="BB35" s="2" t="n">
        <v>11357.8</v>
      </c>
      <c r="BC35" s="2">
        <f>F35+L35+R35+X35+AD35+AJ35+AP35+AV35+IF(BE35="",0,BE35)</f>
        <v/>
      </c>
      <c r="BD35" s="2" t="n">
        <v>164.125473</v>
      </c>
      <c r="BE35" s="2" t="n"/>
      <c r="BF35" s="2" t="n">
        <v>10516.48148148148</v>
      </c>
      <c r="BG35" s="2" t="n">
        <v>0</v>
      </c>
      <c r="BH35" s="2" t="n">
        <v>0</v>
      </c>
      <c r="BI35" s="2" t="n">
        <v>30040.16</v>
      </c>
      <c r="BJ35" s="2" t="n">
        <v>63.96905982905983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153.3303</v>
      </c>
      <c r="BQ35" s="2" t="n">
        <v>0</v>
      </c>
      <c r="BR35" s="2" t="n">
        <v>30282.45935982906</v>
      </c>
      <c r="BS35" s="2" t="n">
        <v>1198.661025641026</v>
      </c>
      <c r="BT35" s="2" t="n">
        <v>0</v>
      </c>
      <c r="BU35" s="2" t="n">
        <v>6265.558017094017</v>
      </c>
      <c r="BV35" s="2" t="n">
        <v>7464.219042735042</v>
      </c>
      <c r="BW35" s="2" t="n">
        <v>37746.6784025641</v>
      </c>
      <c r="BX35" s="2" t="n">
        <v>11357.8</v>
      </c>
      <c r="BY35" s="2" t="n">
        <v>0</v>
      </c>
      <c r="BZ35" s="2" t="n">
        <v>0</v>
      </c>
      <c r="CA35" s="2" t="n">
        <v>11357.8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1137</v>
      </c>
      <c r="B36" t="inlineStr">
        <is>
          <t>Poznan Politechnika</t>
        </is>
      </c>
      <c r="C36" t="inlineStr">
        <is>
          <t>Politechnika Poznańska</t>
        </is>
      </c>
      <c r="D36" t="inlineStr">
        <is>
          <t>BB8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119.78</v>
      </c>
      <c r="L36" s="2" t="n">
        <v>9.970575925925926</v>
      </c>
      <c r="M36" s="2" t="n">
        <v>110.9074074074074</v>
      </c>
      <c r="N36" s="2" t="n">
        <v>0</v>
      </c>
      <c r="O36" s="2" t="n">
        <v>119.78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33.52</v>
      </c>
      <c r="AD36" s="2" t="n">
        <v>2.172592592592593</v>
      </c>
      <c r="AE36" s="2" t="n">
        <v>31.03703703703704</v>
      </c>
      <c r="AF36" s="2" t="n">
        <v>0</v>
      </c>
      <c r="AG36" s="2" t="n">
        <v>33.52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67.48</v>
      </c>
      <c r="AP36" s="2" t="n">
        <v>5.248444444444445</v>
      </c>
      <c r="AQ36" s="2" t="n">
        <v>62.48148148148148</v>
      </c>
      <c r="AR36" s="2" t="n">
        <v>0</v>
      </c>
      <c r="AS36" s="2" t="n">
        <v>67.48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220.78</v>
      </c>
      <c r="BB36" s="2" t="n">
        <v>220.78</v>
      </c>
      <c r="BC36" s="2">
        <f>F36+L36+R36+X36+AD36+AJ36+AP36+AV36+IF(BE36="",0,BE36)</f>
        <v/>
      </c>
      <c r="BD36" s="2" t="n">
        <v>3.400012</v>
      </c>
      <c r="BE36" s="2" t="n"/>
      <c r="BF36" s="2" t="n">
        <v>204.4259259259259</v>
      </c>
      <c r="BG36" s="2" t="n">
        <v>250</v>
      </c>
      <c r="BH36" s="2" t="n">
        <v>0</v>
      </c>
      <c r="BI36" s="2" t="n">
        <v>30040.16</v>
      </c>
      <c r="BJ36" s="2" t="n">
        <v>63.96905982905983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2.98053</v>
      </c>
      <c r="BQ36" s="2" t="n">
        <v>0</v>
      </c>
      <c r="BR36" s="2" t="n">
        <v>30382.10958982906</v>
      </c>
      <c r="BS36" s="2" t="n">
        <v>1198.661025641026</v>
      </c>
      <c r="BT36" s="2" t="n">
        <v>0</v>
      </c>
      <c r="BU36" s="2" t="n">
        <v>6315.558017094017</v>
      </c>
      <c r="BV36" s="2" t="n">
        <v>7514.219042735042</v>
      </c>
      <c r="BW36" s="2" t="n">
        <v>37896.3286325641</v>
      </c>
      <c r="BX36" s="2" t="n">
        <v>220.78</v>
      </c>
      <c r="BY36" s="2" t="n">
        <v>0</v>
      </c>
      <c r="BZ36" s="2" t="n">
        <v>0</v>
      </c>
      <c r="CA36" s="2" t="n">
        <v>220.78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1138</v>
      </c>
      <c r="B37" t="inlineStr">
        <is>
          <t>Rzeszow</t>
        </is>
      </c>
      <c r="C37" t="inlineStr">
        <is>
          <t>Rzeszów</t>
        </is>
      </c>
      <c r="D37" t="inlineStr">
        <is>
          <t>BB8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9200.4</v>
      </c>
      <c r="L37" s="2" t="n">
        <v>765.8481111111112</v>
      </c>
      <c r="M37" s="2" t="n">
        <v>8518.888888888889</v>
      </c>
      <c r="N37" s="2" t="n">
        <v>0</v>
      </c>
      <c r="O37" s="2" t="n">
        <v>9200.4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16496.47</v>
      </c>
      <c r="AP37" s="2" t="n">
        <v>1283.058777777778</v>
      </c>
      <c r="AQ37" s="2" t="n">
        <v>15274.50925925926</v>
      </c>
      <c r="AR37" s="2" t="n">
        <v>0</v>
      </c>
      <c r="AS37" s="2" t="n">
        <v>16496.47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25696.87</v>
      </c>
      <c r="BB37" s="2" t="n">
        <v>25696.87</v>
      </c>
      <c r="BC37" s="2">
        <f>F37+L37+R37+X37+AD37+AJ37+AP37+AV37+IF(BE37="",0,BE37)</f>
        <v/>
      </c>
      <c r="BD37" s="2" t="n">
        <v>395.731798</v>
      </c>
      <c r="BE37" s="2" t="n"/>
      <c r="BF37" s="2" t="n">
        <v>23793.39814814815</v>
      </c>
      <c r="BG37" s="2" t="n">
        <v>0</v>
      </c>
      <c r="BH37" s="2" t="n">
        <v>0</v>
      </c>
      <c r="BI37" s="2" t="n">
        <v>30040.16</v>
      </c>
      <c r="BJ37" s="2" t="n">
        <v>63.96905982905983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346.907745</v>
      </c>
      <c r="BQ37" s="2" t="n">
        <v>0</v>
      </c>
      <c r="BR37" s="2" t="n">
        <v>30476.03680482906</v>
      </c>
      <c r="BS37" s="2" t="n">
        <v>1198.661025641026</v>
      </c>
      <c r="BT37" s="2" t="n">
        <v>0</v>
      </c>
      <c r="BU37" s="2" t="n">
        <v>6265.558017094017</v>
      </c>
      <c r="BV37" s="2" t="n">
        <v>7464.219042735042</v>
      </c>
      <c r="BW37" s="2" t="n">
        <v>37940.2558475641</v>
      </c>
      <c r="BX37" s="2" t="n">
        <v>25696.87</v>
      </c>
      <c r="BY37" s="2" t="n">
        <v>0</v>
      </c>
      <c r="BZ37" s="2" t="n">
        <v>0</v>
      </c>
      <c r="CA37" s="2" t="n">
        <v>25696.87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1203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19068.93</v>
      </c>
      <c r="L38" s="2" t="n">
        <v>1587.311858333333</v>
      </c>
      <c r="M38" s="2" t="n">
        <v>17656.41666666666</v>
      </c>
      <c r="N38" s="2" t="n">
        <v>4440.38</v>
      </c>
      <c r="O38" s="2" t="n">
        <v>13665.66</v>
      </c>
      <c r="P38" s="2" t="n">
        <v>962.89</v>
      </c>
      <c r="Q38" s="2" t="n">
        <v>24472.87</v>
      </c>
      <c r="R38" s="2" t="n">
        <v>1600</v>
      </c>
      <c r="S38" s="2" t="n">
        <v>22660.06481481482</v>
      </c>
      <c r="T38" s="2" t="n">
        <v>6215.34</v>
      </c>
      <c r="U38" s="2" t="n">
        <v>17496.31</v>
      </c>
      <c r="V38" s="2" t="n">
        <v>761.22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9188.800000000001</v>
      </c>
      <c r="AP38" s="2" t="n">
        <v>714.6844444444445</v>
      </c>
      <c r="AQ38" s="2" t="n">
        <v>8508.148148148148</v>
      </c>
      <c r="AR38" s="2" t="n">
        <v>1921.92</v>
      </c>
      <c r="AS38" s="2" t="n">
        <v>6966.21</v>
      </c>
      <c r="AT38" s="2" t="n">
        <v>300.67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52730.60000000001</v>
      </c>
      <c r="BB38" s="2" t="n">
        <v>40152.96</v>
      </c>
      <c r="BC38" s="2">
        <f>F38+L38+R38+X38+AD38+AJ38+AP38+AV38+IF(BE38="",0,BE38)</f>
        <v/>
      </c>
      <c r="BD38" s="2" t="n">
        <v>618.355584</v>
      </c>
      <c r="BE38" s="2" t="n"/>
      <c r="BF38" s="2" t="n">
        <v>48824.62962962963</v>
      </c>
      <c r="BG38" s="2" t="n">
        <v>0</v>
      </c>
      <c r="BH38" s="2" t="n">
        <v>0</v>
      </c>
      <c r="BI38" s="2" t="n">
        <v>30040.16</v>
      </c>
      <c r="BJ38" s="2" t="n">
        <v>63.96905982905983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542.06496</v>
      </c>
      <c r="BQ38" s="2" t="n">
        <v>0</v>
      </c>
      <c r="BR38" s="2" t="n">
        <v>30671.19401982906</v>
      </c>
      <c r="BS38" s="2" t="n">
        <v>1198.661025641026</v>
      </c>
      <c r="BT38" s="2" t="n">
        <v>0</v>
      </c>
      <c r="BU38" s="2" t="n">
        <v>6265.558017094017</v>
      </c>
      <c r="BV38" s="2" t="n">
        <v>7464.219042735042</v>
      </c>
      <c r="BW38" s="2" t="n">
        <v>38135.4130625641</v>
      </c>
      <c r="BX38" s="2" t="n">
        <v>38128.18</v>
      </c>
      <c r="BY38" s="2" t="n">
        <v>2024.78</v>
      </c>
      <c r="BZ38" s="2" t="n">
        <v>12577.64</v>
      </c>
      <c r="CA38" s="2" t="n">
        <v>40152.96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1204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5721.67</v>
      </c>
      <c r="L39" s="2" t="n">
        <v>476.2760490740741</v>
      </c>
      <c r="M39" s="2" t="n">
        <v>5297.842592592592</v>
      </c>
      <c r="N39" s="2" t="n">
        <v>993.35</v>
      </c>
      <c r="O39" s="2" t="n">
        <v>4563.19</v>
      </c>
      <c r="P39" s="2" t="n">
        <v>165.13</v>
      </c>
      <c r="Q39" s="2" t="n">
        <v>19132.17</v>
      </c>
      <c r="R39" s="2" t="n">
        <v>1600</v>
      </c>
      <c r="S39" s="2" t="n">
        <v>17714.97222222222</v>
      </c>
      <c r="T39" s="2" t="n">
        <v>2362.27</v>
      </c>
      <c r="U39" s="2" t="n">
        <v>16056.45</v>
      </c>
      <c r="V39" s="2" t="n">
        <v>713.45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6690.339999999999</v>
      </c>
      <c r="AP39" s="2" t="n">
        <v>520.3597777777777</v>
      </c>
      <c r="AQ39" s="2" t="n">
        <v>6194.759259259258</v>
      </c>
      <c r="AR39" s="2" t="n">
        <v>573.5</v>
      </c>
      <c r="AS39" s="2" t="n">
        <v>5908.44</v>
      </c>
      <c r="AT39" s="2" t="n">
        <v>208.4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31544.18</v>
      </c>
      <c r="BB39" s="2" t="n">
        <v>27615.06</v>
      </c>
      <c r="BC39" s="2">
        <f>F39+L39+R39+X39+AD39+AJ39+AP39+AV39+IF(BE39="",0,BE39)</f>
        <v/>
      </c>
      <c r="BD39" s="2" t="n">
        <v>425.271924</v>
      </c>
      <c r="BE39" s="2" t="n"/>
      <c r="BF39" s="2" t="n">
        <v>29207.57407407407</v>
      </c>
      <c r="BG39" s="2" t="n">
        <v>0</v>
      </c>
      <c r="BH39" s="2" t="n">
        <v>0</v>
      </c>
      <c r="BI39" s="2" t="n">
        <v>30040.16</v>
      </c>
      <c r="BJ39" s="2" t="n">
        <v>63.96905982905983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372.80331</v>
      </c>
      <c r="BQ39" s="2" t="n">
        <v>0</v>
      </c>
      <c r="BR39" s="2" t="n">
        <v>30501.93236982906</v>
      </c>
      <c r="BS39" s="2" t="n">
        <v>1198.661025641026</v>
      </c>
      <c r="BT39" s="2" t="n">
        <v>0</v>
      </c>
      <c r="BU39" s="2" t="n">
        <v>6265.558017094017</v>
      </c>
      <c r="BV39" s="2" t="n">
        <v>7464.219042735042</v>
      </c>
      <c r="BW39" s="2" t="n">
        <v>37966.1514125641</v>
      </c>
      <c r="BX39" s="2" t="n">
        <v>26528.08</v>
      </c>
      <c r="BY39" s="2" t="n">
        <v>1086.98</v>
      </c>
      <c r="BZ39" s="2" t="n">
        <v>3929.12</v>
      </c>
      <c r="CA39" s="2" t="n">
        <v>27615.06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1205</v>
      </c>
      <c r="B40" t="inlineStr">
        <is>
          <t>Ciechocinek</t>
        </is>
      </c>
      <c r="C40" t="inlineStr">
        <is>
          <t>Ciechocinek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1.81</v>
      </c>
      <c r="L40" s="2" t="n">
        <v>0.1506657407407407</v>
      </c>
      <c r="M40" s="2" t="n">
        <v>1.675925925925926</v>
      </c>
      <c r="N40" s="2" t="n">
        <v>0</v>
      </c>
      <c r="O40" s="2" t="n">
        <v>1.81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32.56</v>
      </c>
      <c r="AP40" s="2" t="n">
        <v>4500</v>
      </c>
      <c r="AQ40" s="2" t="n">
        <v>30.14814814814815</v>
      </c>
      <c r="AR40" s="2" t="n">
        <v>8.24</v>
      </c>
      <c r="AS40" s="2" t="n">
        <v>22.08</v>
      </c>
      <c r="AT40" s="2" t="n">
        <v>2.24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34.37</v>
      </c>
      <c r="BB40" s="2" t="n">
        <v>26.13</v>
      </c>
      <c r="BC40" s="2">
        <f>F40+L40+R40+X40+AD40+AJ40+AP40+AV40+IF(BE40="",0,BE40)</f>
        <v/>
      </c>
      <c r="BD40" s="2" t="n">
        <v>0.402402</v>
      </c>
      <c r="BE40" s="2" t="n"/>
      <c r="BF40" s="2" t="n">
        <v>31.82407407407408</v>
      </c>
      <c r="BG40" s="2" t="n">
        <v>0</v>
      </c>
      <c r="BH40" s="2" t="n">
        <v>0</v>
      </c>
      <c r="BI40" s="2" t="n">
        <v>26164.01032258065</v>
      </c>
      <c r="BJ40" s="2" t="n">
        <v>63.96905982905983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0.352755</v>
      </c>
      <c r="BQ40" s="2" t="n">
        <v>0</v>
      </c>
      <c r="BR40" s="2" t="n">
        <v>26253.3321374097</v>
      </c>
      <c r="BS40" s="2" t="n">
        <v>1198.661025641026</v>
      </c>
      <c r="BT40" s="2" t="n">
        <v>0</v>
      </c>
      <c r="BU40" s="2" t="n">
        <v>5490.328081610146</v>
      </c>
      <c r="BV40" s="2" t="n">
        <v>6688.989107251172</v>
      </c>
      <c r="BW40" s="2" t="n">
        <v>32942.32124466087</v>
      </c>
      <c r="BX40" s="2" t="n">
        <v>23.89</v>
      </c>
      <c r="BY40" s="2" t="n">
        <v>2.24</v>
      </c>
      <c r="BZ40" s="2" t="n">
        <v>8.24</v>
      </c>
      <c r="CA40" s="2" t="n">
        <v>26.13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1206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12616.28</v>
      </c>
      <c r="L41" s="2" t="n">
        <v>1050.188492592593</v>
      </c>
      <c r="M41" s="2" t="n">
        <v>11681.74074074074</v>
      </c>
      <c r="N41" s="2" t="n">
        <v>2979.21</v>
      </c>
      <c r="O41" s="2" t="n">
        <v>9092.120000000001</v>
      </c>
      <c r="P41" s="2" t="n">
        <v>544.95</v>
      </c>
      <c r="Q41" s="2" t="n">
        <v>33512.57</v>
      </c>
      <c r="R41" s="2" t="n">
        <v>1600</v>
      </c>
      <c r="S41" s="2" t="n">
        <v>31030.15740740741</v>
      </c>
      <c r="T41" s="2" t="n">
        <v>6489.79</v>
      </c>
      <c r="U41" s="2" t="n">
        <v>25628.33</v>
      </c>
      <c r="V41" s="2" t="n">
        <v>1394.45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6245.37</v>
      </c>
      <c r="AP41" s="2" t="n">
        <v>485.751</v>
      </c>
      <c r="AQ41" s="2" t="n">
        <v>5782.749999999999</v>
      </c>
      <c r="AR41" s="2" t="n">
        <v>1071.35</v>
      </c>
      <c r="AS41" s="2" t="n">
        <v>4983.96</v>
      </c>
      <c r="AT41" s="2" t="n">
        <v>190.06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52374.22000000001</v>
      </c>
      <c r="BB41" s="2" t="n">
        <v>41833.87000000001</v>
      </c>
      <c r="BC41" s="2">
        <f>F41+L41+R41+X41+AD41+AJ41+AP41+AV41+IF(BE41="",0,BE41)</f>
        <v/>
      </c>
      <c r="BD41" s="2" t="n">
        <v>644.2415980000001</v>
      </c>
      <c r="BE41" s="2" t="n"/>
      <c r="BF41" s="2" t="n">
        <v>48494.64814814815</v>
      </c>
      <c r="BG41" s="2" t="n">
        <v>0</v>
      </c>
      <c r="BH41" s="2" t="n">
        <v>0</v>
      </c>
      <c r="BI41" s="2" t="n">
        <v>30040.16</v>
      </c>
      <c r="BJ41" s="2" t="n">
        <v>63.96905982905983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564.7572450000001</v>
      </c>
      <c r="BQ41" s="2" t="n">
        <v>0</v>
      </c>
      <c r="BR41" s="2" t="n">
        <v>30693.88630482906</v>
      </c>
      <c r="BS41" s="2" t="n">
        <v>1198.661025641026</v>
      </c>
      <c r="BT41" s="2" t="n">
        <v>0</v>
      </c>
      <c r="BU41" s="2" t="n">
        <v>6265.558017094017</v>
      </c>
      <c r="BV41" s="2" t="n">
        <v>7464.219042735042</v>
      </c>
      <c r="BW41" s="2" t="n">
        <v>38158.1053475641</v>
      </c>
      <c r="BX41" s="2" t="n">
        <v>39704.41</v>
      </c>
      <c r="BY41" s="2" t="n">
        <v>2129.46</v>
      </c>
      <c r="BZ41" s="2" t="n">
        <v>10540.35</v>
      </c>
      <c r="CA41" s="2" t="n">
        <v>41833.87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1207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9295.27</v>
      </c>
      <c r="L42" s="2" t="n">
        <v>773.7451601851852</v>
      </c>
      <c r="M42" s="2" t="n">
        <v>8606.731481481482</v>
      </c>
      <c r="N42" s="2" t="n">
        <v>2045.78</v>
      </c>
      <c r="O42" s="2" t="n">
        <v>6505.89</v>
      </c>
      <c r="P42" s="2" t="n">
        <v>743.6</v>
      </c>
      <c r="Q42" s="2" t="n">
        <v>26574.61</v>
      </c>
      <c r="R42" s="2" t="n">
        <v>1600</v>
      </c>
      <c r="S42" s="2" t="n">
        <v>24606.12037037037</v>
      </c>
      <c r="T42" s="2" t="n">
        <v>5318.61</v>
      </c>
      <c r="U42" s="2" t="n">
        <v>20514.03</v>
      </c>
      <c r="V42" s="2" t="n">
        <v>741.97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4590.860000000001</v>
      </c>
      <c r="AP42" s="2" t="n">
        <v>357.0668888888889</v>
      </c>
      <c r="AQ42" s="2" t="n">
        <v>4250.796296296297</v>
      </c>
      <c r="AR42" s="2" t="n">
        <v>740.6900000000001</v>
      </c>
      <c r="AS42" s="2" t="n">
        <v>3765.34</v>
      </c>
      <c r="AT42" s="2" t="n">
        <v>84.83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40460.74000000001</v>
      </c>
      <c r="BB42" s="2" t="n">
        <v>32355.66</v>
      </c>
      <c r="BC42" s="2">
        <f>F42+L42+R42+X42+AD42+AJ42+AP42+AV42+IF(BE42="",0,BE42)</f>
        <v/>
      </c>
      <c r="BD42" s="2" t="n">
        <v>498.277164</v>
      </c>
      <c r="BE42" s="2" t="n"/>
      <c r="BF42" s="2" t="n">
        <v>37463.64814814815</v>
      </c>
      <c r="BG42" s="2" t="n">
        <v>0</v>
      </c>
      <c r="BH42" s="2" t="n">
        <v>0</v>
      </c>
      <c r="BI42" s="2" t="n">
        <v>30040.16</v>
      </c>
      <c r="BJ42" s="2" t="n">
        <v>63.96905982905983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436.80141</v>
      </c>
      <c r="BQ42" s="2" t="n">
        <v>0</v>
      </c>
      <c r="BR42" s="2" t="n">
        <v>30565.93046982906</v>
      </c>
      <c r="BS42" s="2" t="n">
        <v>1198.661025641026</v>
      </c>
      <c r="BT42" s="2" t="n">
        <v>0</v>
      </c>
      <c r="BU42" s="2" t="n">
        <v>6265.558017094017</v>
      </c>
      <c r="BV42" s="2" t="n">
        <v>7464.219042735042</v>
      </c>
      <c r="BW42" s="2" t="n">
        <v>38030.1495125641</v>
      </c>
      <c r="BX42" s="2" t="n">
        <v>30785.26</v>
      </c>
      <c r="BY42" s="2" t="n">
        <v>1570.4</v>
      </c>
      <c r="BZ42" s="2" t="n">
        <v>8105.08</v>
      </c>
      <c r="CA42" s="2" t="n">
        <v>32355.66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1208</v>
      </c>
      <c r="B43" t="inlineStr">
        <is>
          <t>Piłsudskiego 105, 50-085 Wrocław</t>
        </is>
      </c>
      <c r="C43" t="inlineStr">
        <is>
          <t>Wrocław Główny</t>
        </is>
      </c>
      <c r="D43" t="inlineStr">
        <is>
          <t>FAA2000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3137.59</v>
      </c>
      <c r="L43" s="2" t="n">
        <v>261.1753157407408</v>
      </c>
      <c r="M43" s="2" t="n">
        <v>2905.175925925926</v>
      </c>
      <c r="N43" s="2" t="n">
        <v>777.02</v>
      </c>
      <c r="O43" s="2" t="n">
        <v>2226.39</v>
      </c>
      <c r="P43" s="2" t="n">
        <v>134.18</v>
      </c>
      <c r="Q43" s="2" t="n">
        <v>13277.96</v>
      </c>
      <c r="R43" s="2" t="n">
        <v>1600</v>
      </c>
      <c r="S43" s="2" t="n">
        <v>12294.40740740741</v>
      </c>
      <c r="T43" s="2" t="n">
        <v>2206.09</v>
      </c>
      <c r="U43" s="2" t="n">
        <v>10533.61</v>
      </c>
      <c r="V43" s="2" t="n">
        <v>538.26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3400.06</v>
      </c>
      <c r="AP43" s="2" t="n">
        <v>264.4491111111111</v>
      </c>
      <c r="AQ43" s="2" t="n">
        <v>3148.203703703703</v>
      </c>
      <c r="AR43" s="2" t="n">
        <v>408.36</v>
      </c>
      <c r="AS43" s="2" t="n">
        <v>2807.23</v>
      </c>
      <c r="AT43" s="2" t="n">
        <v>184.47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19815.61</v>
      </c>
      <c r="BB43" s="2" t="n">
        <v>16424.14</v>
      </c>
      <c r="BC43" s="2">
        <f>F43+L43+R43+X43+AD43+AJ43+AP43+AV43+IF(BE43="",0,BE43)</f>
        <v/>
      </c>
      <c r="BD43" s="2" t="n">
        <v>252.931756</v>
      </c>
      <c r="BE43" s="2" t="n"/>
      <c r="BF43" s="2" t="n">
        <v>18347.78703703704</v>
      </c>
      <c r="BG43" s="2" t="n">
        <v>0</v>
      </c>
      <c r="BH43" s="2" t="n">
        <v>0</v>
      </c>
      <c r="BI43" s="2" t="n">
        <v>30040.16</v>
      </c>
      <c r="BJ43" s="2" t="n">
        <v>63.96905982905983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221.72589</v>
      </c>
      <c r="BQ43" s="2" t="n">
        <v>0</v>
      </c>
      <c r="BR43" s="2" t="n">
        <v>30350.85494982906</v>
      </c>
      <c r="BS43" s="2" t="n">
        <v>1198.661025641026</v>
      </c>
      <c r="BT43" s="2" t="n">
        <v>0</v>
      </c>
      <c r="BU43" s="2" t="n">
        <v>6265.558017094017</v>
      </c>
      <c r="BV43" s="2" t="n">
        <v>7464.219042735042</v>
      </c>
      <c r="BW43" s="2" t="n">
        <v>37815.0739925641</v>
      </c>
      <c r="BX43" s="2" t="n">
        <v>15567.23</v>
      </c>
      <c r="BY43" s="2" t="n">
        <v>856.9100000000001</v>
      </c>
      <c r="BZ43" s="2" t="n">
        <v>3391.47</v>
      </c>
      <c r="CA43" s="2" t="n">
        <v>16424.14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1210</v>
      </c>
      <c r="B44" t="inlineStr">
        <is>
          <t>Piłsudskiego 105, 50-085 Wrocław</t>
        </is>
      </c>
      <c r="C44" t="inlineStr">
        <is>
          <t>Wrocław Główny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18972.36</v>
      </c>
      <c r="L44" s="2" t="n">
        <v>1579.2733</v>
      </c>
      <c r="M44" s="2" t="n">
        <v>17567</v>
      </c>
      <c r="N44" s="2" t="n">
        <v>504.36</v>
      </c>
      <c r="O44" s="2" t="n">
        <v>17604.02</v>
      </c>
      <c r="P44" s="2" t="n">
        <v>863.98</v>
      </c>
      <c r="Q44" s="2" t="n">
        <v>21192.64</v>
      </c>
      <c r="R44" s="2" t="n">
        <v>1600</v>
      </c>
      <c r="S44" s="2" t="n">
        <v>19622.81481481481</v>
      </c>
      <c r="T44" s="2" t="n">
        <v>706.0700000000001</v>
      </c>
      <c r="U44" s="2" t="n">
        <v>19172.69</v>
      </c>
      <c r="V44" s="2" t="n">
        <v>1313.88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7964.290000000001</v>
      </c>
      <c r="AP44" s="2" t="n">
        <v>619.4447777777779</v>
      </c>
      <c r="AQ44" s="2" t="n">
        <v>7374.342592592593</v>
      </c>
      <c r="AR44" s="2" t="n">
        <v>298.21</v>
      </c>
      <c r="AS44" s="2" t="n">
        <v>7000.6</v>
      </c>
      <c r="AT44" s="2" t="n">
        <v>665.48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48129.29</v>
      </c>
      <c r="BB44" s="2" t="n">
        <v>46620.65</v>
      </c>
      <c r="BC44" s="2">
        <f>F44+L44+R44+X44+AD44+AJ44+AP44+AV44+IF(BE44="",0,BE44)</f>
        <v/>
      </c>
      <c r="BD44" s="2" t="n">
        <v>717.9580100000001</v>
      </c>
      <c r="BE44" s="2" t="n"/>
      <c r="BF44" s="2" t="n">
        <v>44564.15740740741</v>
      </c>
      <c r="BG44" s="2" t="n">
        <v>760.5599999999999</v>
      </c>
      <c r="BH44" s="2" t="n">
        <v>260</v>
      </c>
      <c r="BI44" s="2" t="n">
        <v>30040.16</v>
      </c>
      <c r="BJ44" s="2" t="n">
        <v>63.96905982905983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629.3787749999999</v>
      </c>
      <c r="BQ44" s="2" t="n">
        <v>0</v>
      </c>
      <c r="BR44" s="2" t="n">
        <v>31779.06783482906</v>
      </c>
      <c r="BS44" s="2" t="n">
        <v>1198.661025641026</v>
      </c>
      <c r="BT44" s="2" t="n">
        <v>0</v>
      </c>
      <c r="BU44" s="2" t="n">
        <v>6469.670017094017</v>
      </c>
      <c r="BV44" s="2" t="n">
        <v>7668.331042735043</v>
      </c>
      <c r="BW44" s="2" t="n">
        <v>39447.3988775641</v>
      </c>
      <c r="BX44" s="2" t="n">
        <v>43777.31</v>
      </c>
      <c r="BY44" s="2" t="n">
        <v>2843.34</v>
      </c>
      <c r="BZ44" s="2" t="n">
        <v>1508.64</v>
      </c>
      <c r="CA44" s="2" t="n">
        <v>46620.64999999999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1211</v>
      </c>
      <c r="B45" t="inlineStr">
        <is>
          <t>Kolejowa, 59-300 Lubin</t>
        </is>
      </c>
      <c r="C45" t="inlineStr">
        <is>
          <t>Lubin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17170.82</v>
      </c>
      <c r="R45" s="2" t="n">
        <v>1600</v>
      </c>
      <c r="S45" s="2" t="n">
        <v>15898.90740740741</v>
      </c>
      <c r="T45" s="2" t="n">
        <v>6253.54</v>
      </c>
      <c r="U45" s="2" t="n">
        <v>10052.9</v>
      </c>
      <c r="V45" s="2" t="n">
        <v>864.38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17170.82</v>
      </c>
      <c r="BB45" s="2" t="n">
        <v>10917.28</v>
      </c>
      <c r="BC45" s="2">
        <f>F45+L45+R45+X45+AD45+AJ45+AP45+AV45+IF(BE45="",0,BE45)</f>
        <v/>
      </c>
      <c r="BD45" s="2" t="n">
        <v>168.126112</v>
      </c>
      <c r="BE45" s="2" t="n"/>
      <c r="BF45" s="2" t="n">
        <v>15898.90740740741</v>
      </c>
      <c r="BG45" s="2" t="n">
        <v>0</v>
      </c>
      <c r="BH45" s="2" t="n">
        <v>0</v>
      </c>
      <c r="BI45" s="2" t="n">
        <v>30040.16</v>
      </c>
      <c r="BJ45" s="2" t="n">
        <v>63.96905982905983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147.38328</v>
      </c>
      <c r="BQ45" s="2" t="n">
        <v>0</v>
      </c>
      <c r="BR45" s="2" t="n">
        <v>30276.51233982906</v>
      </c>
      <c r="BS45" s="2" t="n">
        <v>1198.661025641026</v>
      </c>
      <c r="BT45" s="2" t="n">
        <v>0</v>
      </c>
      <c r="BU45" s="2" t="n">
        <v>6265.558017094017</v>
      </c>
      <c r="BV45" s="2" t="n">
        <v>7464.219042735042</v>
      </c>
      <c r="BW45" s="2" t="n">
        <v>37740.7313825641</v>
      </c>
      <c r="BX45" s="2" t="n">
        <v>10052.9</v>
      </c>
      <c r="BY45" s="2" t="n">
        <v>864.38</v>
      </c>
      <c r="BZ45" s="2" t="n">
        <v>6253.54</v>
      </c>
      <c r="CA45" s="2" t="n">
        <v>10917.28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1212</v>
      </c>
      <c r="B46" t="inlineStr">
        <is>
          <t>Armii Krajowej 26C, 58-302 Wałbrzych</t>
        </is>
      </c>
      <c r="C46" t="inlineStr">
        <is>
          <t>Wałbrzych Miasto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1497.82</v>
      </c>
      <c r="L46" s="2" t="n">
        <v>124.6796462962963</v>
      </c>
      <c r="M46" s="2" t="n">
        <v>1386.87037037037</v>
      </c>
      <c r="N46" s="2" t="n">
        <v>260.35</v>
      </c>
      <c r="O46" s="2" t="n">
        <v>1105.61</v>
      </c>
      <c r="P46" s="2" t="n">
        <v>131.86</v>
      </c>
      <c r="Q46" s="2" t="n">
        <v>5871.37</v>
      </c>
      <c r="R46" s="2" t="n">
        <v>1600</v>
      </c>
      <c r="S46" s="2" t="n">
        <v>5436.453703703703</v>
      </c>
      <c r="T46" s="2" t="n">
        <v>1111.28</v>
      </c>
      <c r="U46" s="2" t="n">
        <v>4408.51</v>
      </c>
      <c r="V46" s="2" t="n">
        <v>351.58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201.8</v>
      </c>
      <c r="AP46" s="2" t="n">
        <v>15.69555555555556</v>
      </c>
      <c r="AQ46" s="2" t="n">
        <v>186.8518518518518</v>
      </c>
      <c r="AR46" s="2" t="n">
        <v>0</v>
      </c>
      <c r="AS46" s="2" t="n">
        <v>201.8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7570.990000000001</v>
      </c>
      <c r="BB46" s="2" t="n">
        <v>6199.36</v>
      </c>
      <c r="BC46" s="2">
        <f>F46+L46+R46+X46+AD46+AJ46+AP46+AV46+IF(BE46="",0,BE46)</f>
        <v/>
      </c>
      <c r="BD46" s="2" t="n">
        <v>95.470144</v>
      </c>
      <c r="BE46" s="2" t="n"/>
      <c r="BF46" s="2" t="n">
        <v>7010.175925925926</v>
      </c>
      <c r="BG46" s="2" t="n">
        <v>573.92</v>
      </c>
      <c r="BH46" s="2" t="n">
        <v>108.9</v>
      </c>
      <c r="BI46" s="2" t="n">
        <v>30040.16</v>
      </c>
      <c r="BJ46" s="2" t="n">
        <v>63.96905982905983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83.69136</v>
      </c>
      <c r="BQ46" s="2" t="n">
        <v>0</v>
      </c>
      <c r="BR46" s="2" t="n">
        <v>30895.64041982906</v>
      </c>
      <c r="BS46" s="2" t="n">
        <v>1198.661025641026</v>
      </c>
      <c r="BT46" s="2" t="n">
        <v>0</v>
      </c>
      <c r="BU46" s="2" t="n">
        <v>6402.122017094018</v>
      </c>
      <c r="BV46" s="2" t="n">
        <v>7600.783042735044</v>
      </c>
      <c r="BW46" s="2" t="n">
        <v>38496.4234625641</v>
      </c>
      <c r="BX46" s="2" t="n">
        <v>5715.92</v>
      </c>
      <c r="BY46" s="2" t="n">
        <v>483.44</v>
      </c>
      <c r="BZ46" s="2" t="n">
        <v>1371.63</v>
      </c>
      <c r="CA46" s="2" t="n">
        <v>6199.36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1213</v>
      </c>
      <c r="B47" t="inlineStr">
        <is>
          <t>Plac 1000-Lecia 1, 67-200 Głogów</t>
        </is>
      </c>
      <c r="C47" t="inlineStr">
        <is>
          <t>Głogów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3400.45</v>
      </c>
      <c r="L47" s="2" t="n">
        <v>283.0559768518519</v>
      </c>
      <c r="M47" s="2" t="n">
        <v>3148.564814814815</v>
      </c>
      <c r="N47" s="2" t="n">
        <v>1078.55</v>
      </c>
      <c r="O47" s="2" t="n">
        <v>2041.88</v>
      </c>
      <c r="P47" s="2" t="n">
        <v>280.02</v>
      </c>
      <c r="Q47" s="2" t="n">
        <v>20454.89</v>
      </c>
      <c r="R47" s="2" t="n">
        <v>1600</v>
      </c>
      <c r="S47" s="2" t="n">
        <v>18939.71296296296</v>
      </c>
      <c r="T47" s="2" t="n">
        <v>6001.4</v>
      </c>
      <c r="U47" s="2" t="n">
        <v>13476.59</v>
      </c>
      <c r="V47" s="2" t="n">
        <v>976.9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1597.2</v>
      </c>
      <c r="AP47" s="2" t="n">
        <v>124.2266666666667</v>
      </c>
      <c r="AQ47" s="2" t="n">
        <v>1478.888888888889</v>
      </c>
      <c r="AR47" s="2" t="n">
        <v>642.11</v>
      </c>
      <c r="AS47" s="2" t="n">
        <v>818.91</v>
      </c>
      <c r="AT47" s="2" t="n">
        <v>136.18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25452.54</v>
      </c>
      <c r="BB47" s="2" t="n">
        <v>17730.48</v>
      </c>
      <c r="BC47" s="2">
        <f>F47+L47+R47+X47+AD47+AJ47+AP47+AV47+IF(BE47="",0,BE47)</f>
        <v/>
      </c>
      <c r="BD47" s="2" t="n">
        <v>273.049392</v>
      </c>
      <c r="BE47" s="2" t="n"/>
      <c r="BF47" s="2" t="n">
        <v>23567.16666666666</v>
      </c>
      <c r="BG47" s="2" t="n">
        <v>573.92</v>
      </c>
      <c r="BH47" s="2" t="n">
        <v>115.2</v>
      </c>
      <c r="BI47" s="2" t="n">
        <v>30040.16</v>
      </c>
      <c r="BJ47" s="2" t="n">
        <v>63.96905982905983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239.36148</v>
      </c>
      <c r="BQ47" s="2" t="n">
        <v>0</v>
      </c>
      <c r="BR47" s="2" t="n">
        <v>31057.61053982906</v>
      </c>
      <c r="BS47" s="2" t="n">
        <v>1198.661025641026</v>
      </c>
      <c r="BT47" s="2" t="n">
        <v>0</v>
      </c>
      <c r="BU47" s="2" t="n">
        <v>6403.382017094017</v>
      </c>
      <c r="BV47" s="2" t="n">
        <v>7602.043042735043</v>
      </c>
      <c r="BW47" s="2" t="n">
        <v>38659.6535825641</v>
      </c>
      <c r="BX47" s="2" t="n">
        <v>16337.38</v>
      </c>
      <c r="BY47" s="2" t="n">
        <v>1393.1</v>
      </c>
      <c r="BZ47" s="2" t="n">
        <v>7722.059999999999</v>
      </c>
      <c r="CA47" s="2" t="n">
        <v>17730.48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1214</v>
      </c>
      <c r="B48" t="inlineStr">
        <is>
          <t>Dworcowa 72A, 69-110 Rzepin</t>
        </is>
      </c>
      <c r="C48" t="inlineStr">
        <is>
          <t>Rzepin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3566.9</v>
      </c>
      <c r="L48" s="2" t="n">
        <v>296.9113981481482</v>
      </c>
      <c r="M48" s="2" t="n">
        <v>3302.685185185185</v>
      </c>
      <c r="N48" s="2" t="n">
        <v>1599.56</v>
      </c>
      <c r="O48" s="2" t="n">
        <v>1720.24</v>
      </c>
      <c r="P48" s="2" t="n">
        <v>247.1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3566.9</v>
      </c>
      <c r="BB48" s="2" t="n">
        <v>1967.34</v>
      </c>
      <c r="BC48" s="2">
        <f>F48+L48+R48+X48+AD48+AJ48+AP48+AV48+IF(BE48="",0,BE48)</f>
        <v/>
      </c>
      <c r="BD48" s="2" t="n">
        <v>30.297036</v>
      </c>
      <c r="BE48" s="2" t="n"/>
      <c r="BF48" s="2" t="n">
        <v>3302.685185185185</v>
      </c>
      <c r="BG48" s="2" t="n">
        <v>430.45</v>
      </c>
      <c r="BH48" s="2" t="n">
        <v>0</v>
      </c>
      <c r="BI48" s="2" t="n">
        <v>30040.16</v>
      </c>
      <c r="BJ48" s="2" t="n">
        <v>63.96905982905983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26.55909</v>
      </c>
      <c r="BQ48" s="2" t="n">
        <v>0</v>
      </c>
      <c r="BR48" s="2" t="n">
        <v>30586.13814982906</v>
      </c>
      <c r="BS48" s="2" t="n">
        <v>1198.661025641026</v>
      </c>
      <c r="BT48" s="2" t="n">
        <v>0</v>
      </c>
      <c r="BU48" s="2" t="n">
        <v>6351.648017094017</v>
      </c>
      <c r="BV48" s="2" t="n">
        <v>7550.309042735043</v>
      </c>
      <c r="BW48" s="2" t="n">
        <v>38136.4471925641</v>
      </c>
      <c r="BX48" s="2" t="n">
        <v>1720.24</v>
      </c>
      <c r="BY48" s="2" t="n">
        <v>247.1</v>
      </c>
      <c r="BZ48" s="2" t="n">
        <v>1599.56</v>
      </c>
      <c r="CA48" s="2" t="n">
        <v>1967.34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1215</v>
      </c>
      <c r="B49" t="inlineStr">
        <is>
          <t>Aleksandrow Kujawski</t>
        </is>
      </c>
      <c r="C49" t="inlineStr">
        <is>
          <t>Aleksandrów Kujawski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331.43</v>
      </c>
      <c r="L49" s="2" t="n">
        <v>27.5884787037037</v>
      </c>
      <c r="M49" s="2" t="n">
        <v>306.8796296296296</v>
      </c>
      <c r="N49" s="2" t="n">
        <v>240.5</v>
      </c>
      <c r="O49" s="2" t="n">
        <v>90.93000000000001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909.1399999999999</v>
      </c>
      <c r="AP49" s="2" t="n">
        <v>4500</v>
      </c>
      <c r="AQ49" s="2" t="n">
        <v>841.7962962962961</v>
      </c>
      <c r="AR49" s="2" t="n">
        <v>569.6799999999999</v>
      </c>
      <c r="AS49" s="2" t="n">
        <v>339.46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1240.57</v>
      </c>
      <c r="BB49" s="2" t="n">
        <v>430.39</v>
      </c>
      <c r="BC49" s="2">
        <f>F49+L49+R49+X49+AD49+AJ49+AP49+AV49+IF(BE49="",0,BE49)</f>
        <v/>
      </c>
      <c r="BD49" s="2" t="n">
        <v>6.628006</v>
      </c>
      <c r="BE49" s="2" t="n"/>
      <c r="BF49" s="2" t="n">
        <v>1148.675925925926</v>
      </c>
      <c r="BG49" s="2" t="n">
        <v>0</v>
      </c>
      <c r="BH49" s="2" t="n">
        <v>0</v>
      </c>
      <c r="BI49" s="2" t="n">
        <v>30040.16</v>
      </c>
      <c r="BJ49" s="2" t="n">
        <v>63.96905982905983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5.810264999999999</v>
      </c>
      <c r="BQ49" s="2" t="n">
        <v>0</v>
      </c>
      <c r="BR49" s="2" t="n">
        <v>30134.93932482906</v>
      </c>
      <c r="BS49" s="2" t="n">
        <v>1198.661025641026</v>
      </c>
      <c r="BT49" s="2" t="n">
        <v>0</v>
      </c>
      <c r="BU49" s="2" t="n">
        <v>6265.558017094017</v>
      </c>
      <c r="BV49" s="2" t="n">
        <v>7464.219042735042</v>
      </c>
      <c r="BW49" s="2" t="n">
        <v>37599.1583675641</v>
      </c>
      <c r="BX49" s="2" t="n">
        <v>430.39</v>
      </c>
      <c r="BY49" s="2" t="n">
        <v>0</v>
      </c>
      <c r="BZ49" s="2" t="n">
        <v>810.1799999999999</v>
      </c>
      <c r="CA49" s="2" t="n">
        <v>430.39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1217</v>
      </c>
      <c r="B50" t="inlineStr">
        <is>
          <t>pl. Marii i Lecha Kaczyńskiego 2, 40-098 Katowice</t>
        </is>
      </c>
      <c r="C50" t="inlineStr">
        <is>
          <t>Katowice</t>
        </is>
      </c>
      <c r="D50" t="inlineStr">
        <is>
          <t>ST|40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11087.53</v>
      </c>
      <c r="L50" s="2" t="n">
        <v>922.9342101851853</v>
      </c>
      <c r="M50" s="2" t="n">
        <v>10266.23148148148</v>
      </c>
      <c r="N50" s="2" t="n">
        <v>2494.27</v>
      </c>
      <c r="O50" s="2" t="n">
        <v>8285.26</v>
      </c>
      <c r="P50" s="2" t="n">
        <v>308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6395.12</v>
      </c>
      <c r="AP50" s="2" t="n">
        <v>497.3982222222222</v>
      </c>
      <c r="AQ50" s="2" t="n">
        <v>5921.407407407407</v>
      </c>
      <c r="AR50" s="2" t="n">
        <v>1020.74</v>
      </c>
      <c r="AS50" s="2" t="n">
        <v>5205.88</v>
      </c>
      <c r="AT50" s="2" t="n">
        <v>168.5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17482.65</v>
      </c>
      <c r="BB50" s="2" t="n">
        <v>13967.64</v>
      </c>
      <c r="BC50" s="2">
        <f>F50+L50+R50+X50+AD50+AJ50+AP50+AV50+IF(BE50="",0,BE50)</f>
        <v/>
      </c>
      <c r="BD50" s="2" t="n">
        <v>215.101656</v>
      </c>
      <c r="BE50" s="2" t="n"/>
      <c r="BF50" s="2" t="n">
        <v>16187.63888888889</v>
      </c>
      <c r="BG50" s="2" t="n">
        <v>0</v>
      </c>
      <c r="BH50" s="2" t="n">
        <v>0</v>
      </c>
      <c r="BI50" s="2" t="n">
        <v>30040.16</v>
      </c>
      <c r="BJ50" s="2" t="n">
        <v>63.96905982905983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188.56314</v>
      </c>
      <c r="BQ50" s="2" t="n">
        <v>0</v>
      </c>
      <c r="BR50" s="2" t="n">
        <v>30317.69219982906</v>
      </c>
      <c r="BS50" s="2" t="n">
        <v>1198.661025641026</v>
      </c>
      <c r="BT50" s="2" t="n">
        <v>0</v>
      </c>
      <c r="BU50" s="2" t="n">
        <v>6265.558017094017</v>
      </c>
      <c r="BV50" s="2" t="n">
        <v>7464.219042735042</v>
      </c>
      <c r="BW50" s="2" t="n">
        <v>37781.9112425641</v>
      </c>
      <c r="BX50" s="2" t="n">
        <v>13491.14</v>
      </c>
      <c r="BY50" s="2" t="n">
        <v>476.5</v>
      </c>
      <c r="BZ50" s="2" t="n">
        <v>3515.01</v>
      </c>
      <c r="CA50" s="2" t="n">
        <v>13967.64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1219</v>
      </c>
      <c r="B51" t="inlineStr">
        <is>
          <t>Armii Krajowej 3, 75-200 Koszalin</t>
        </is>
      </c>
      <c r="C51" t="inlineStr">
        <is>
          <t>Koszalin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4308.940000000001</v>
      </c>
      <c r="L51" s="2" t="n">
        <v>358.6793574074075</v>
      </c>
      <c r="M51" s="2" t="n">
        <v>3989.75925925926</v>
      </c>
      <c r="N51" s="2" t="n">
        <v>1541.57</v>
      </c>
      <c r="O51" s="2" t="n">
        <v>2289.77</v>
      </c>
      <c r="P51" s="2" t="n">
        <v>477.6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5553.740000000001</v>
      </c>
      <c r="AP51" s="2" t="n">
        <v>431.9575555555556</v>
      </c>
      <c r="AQ51" s="2" t="n">
        <v>5142.351851851852</v>
      </c>
      <c r="AR51" s="2" t="n">
        <v>1862.49</v>
      </c>
      <c r="AS51" s="2" t="n">
        <v>3365.86</v>
      </c>
      <c r="AT51" s="2" t="n">
        <v>325.39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9862.68</v>
      </c>
      <c r="BB51" s="2" t="n">
        <v>6458.62</v>
      </c>
      <c r="BC51" s="2">
        <f>F51+L51+R51+X51+AD51+AJ51+AP51+AV51+IF(BE51="",0,BE51)</f>
        <v/>
      </c>
      <c r="BD51" s="2" t="n">
        <v>99.462748</v>
      </c>
      <c r="BE51" s="2" t="n"/>
      <c r="BF51" s="2" t="n">
        <v>9132.111111111111</v>
      </c>
      <c r="BG51" s="2" t="n">
        <v>0</v>
      </c>
      <c r="BH51" s="2" t="n">
        <v>0</v>
      </c>
      <c r="BI51" s="2" t="n">
        <v>30040.16</v>
      </c>
      <c r="BJ51" s="2" t="n">
        <v>63.96905982905983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87.19136999999999</v>
      </c>
      <c r="BQ51" s="2" t="n">
        <v>0</v>
      </c>
      <c r="BR51" s="2" t="n">
        <v>30216.32042982906</v>
      </c>
      <c r="BS51" s="2" t="n">
        <v>1198.661025641026</v>
      </c>
      <c r="BT51" s="2" t="n">
        <v>0</v>
      </c>
      <c r="BU51" s="2" t="n">
        <v>6265.558017094017</v>
      </c>
      <c r="BV51" s="2" t="n">
        <v>7464.219042735042</v>
      </c>
      <c r="BW51" s="2" t="n">
        <v>37680.5394725641</v>
      </c>
      <c r="BX51" s="2" t="n">
        <v>5655.63</v>
      </c>
      <c r="BY51" s="2" t="n">
        <v>802.99</v>
      </c>
      <c r="BZ51" s="2" t="n">
        <v>3404.06</v>
      </c>
      <c r="CA51" s="2" t="n">
        <v>6458.62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1220</v>
      </c>
      <c r="B52" t="inlineStr">
        <is>
          <t>Kotłątaja 32, 76-200 Słupsk</t>
        </is>
      </c>
      <c r="C52" t="inlineStr">
        <is>
          <t>Słupsk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4075.31</v>
      </c>
      <c r="L52" s="2" t="n">
        <v>339.2318231481481</v>
      </c>
      <c r="M52" s="2" t="n">
        <v>3773.435185185185</v>
      </c>
      <c r="N52" s="2" t="n">
        <v>2633.27</v>
      </c>
      <c r="O52" s="2" t="n">
        <v>1421.04</v>
      </c>
      <c r="P52" s="2" t="n">
        <v>21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5930.44</v>
      </c>
      <c r="AP52" s="2" t="n">
        <v>4150</v>
      </c>
      <c r="AQ52" s="2" t="n">
        <v>5491.148148148148</v>
      </c>
      <c r="AR52" s="2" t="n">
        <v>3291.5</v>
      </c>
      <c r="AS52" s="2" t="n">
        <v>2007.48</v>
      </c>
      <c r="AT52" s="2" t="n">
        <v>631.46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10005.75</v>
      </c>
      <c r="BB52" s="2" t="n">
        <v>4080.98</v>
      </c>
      <c r="BC52" s="2">
        <f>F52+L52+R52+X52+AD52+AJ52+AP52+AV52+IF(BE52="",0,BE52)</f>
        <v/>
      </c>
      <c r="BD52" s="2" t="n">
        <v>62.847092</v>
      </c>
      <c r="BE52" s="2" t="n"/>
      <c r="BF52" s="2" t="n">
        <v>9264.583333333332</v>
      </c>
      <c r="BG52" s="2" t="n">
        <v>0</v>
      </c>
      <c r="BH52" s="2" t="n">
        <v>0</v>
      </c>
      <c r="BI52" s="2" t="n">
        <v>30040.16</v>
      </c>
      <c r="BJ52" s="2" t="n">
        <v>63.96905982905983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55.09323</v>
      </c>
      <c r="BQ52" s="2" t="n">
        <v>0</v>
      </c>
      <c r="BR52" s="2" t="n">
        <v>30184.22228982906</v>
      </c>
      <c r="BS52" s="2" t="n">
        <v>1198.661025641026</v>
      </c>
      <c r="BT52" s="2" t="n">
        <v>0</v>
      </c>
      <c r="BU52" s="2" t="n">
        <v>6265.558017094017</v>
      </c>
      <c r="BV52" s="2" t="n">
        <v>7464.219042735042</v>
      </c>
      <c r="BW52" s="2" t="n">
        <v>37648.4413325641</v>
      </c>
      <c r="BX52" s="2" t="n">
        <v>3428.52</v>
      </c>
      <c r="BY52" s="2" t="n">
        <v>652.46</v>
      </c>
      <c r="BZ52" s="2" t="n">
        <v>5924.77</v>
      </c>
      <c r="CA52" s="2" t="n">
        <v>4080.98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1221</v>
      </c>
      <c r="B53" t="inlineStr">
        <is>
          <t>Dworcowa 2, 58-100 Świdnica</t>
        </is>
      </c>
      <c r="C53" t="inlineStr">
        <is>
          <t>Świdnica</t>
        </is>
      </c>
      <c r="D53" t="inlineStr">
        <is>
          <t>ST|40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30994.87</v>
      </c>
      <c r="R53" s="2" t="n">
        <v>1600</v>
      </c>
      <c r="S53" s="2" t="n">
        <v>28698.9537037037</v>
      </c>
      <c r="T53" s="2" t="n">
        <v>8431.43</v>
      </c>
      <c r="U53" s="2" t="n">
        <v>20745.88</v>
      </c>
      <c r="V53" s="2" t="n">
        <v>1817.56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30994.87</v>
      </c>
      <c r="BB53" s="2" t="n">
        <v>22563.44</v>
      </c>
      <c r="BC53" s="2">
        <f>F53+L53+R53+X53+AD53+AJ53+AP53+AV53+IF(BE53="",0,BE53)</f>
        <v/>
      </c>
      <c r="BD53" s="2" t="n">
        <v>347.476976</v>
      </c>
      <c r="BE53" s="2" t="n"/>
      <c r="BF53" s="2" t="n">
        <v>28698.9537037037</v>
      </c>
      <c r="BG53" s="2" t="n">
        <v>0</v>
      </c>
      <c r="BH53" s="2" t="n">
        <v>0</v>
      </c>
      <c r="BI53" s="2" t="n">
        <v>30040.16</v>
      </c>
      <c r="BJ53" s="2" t="n">
        <v>63.96905982905983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304.60644</v>
      </c>
      <c r="BQ53" s="2" t="n">
        <v>0</v>
      </c>
      <c r="BR53" s="2" t="n">
        <v>30433.73549982906</v>
      </c>
      <c r="BS53" s="2" t="n">
        <v>1198.661025641026</v>
      </c>
      <c r="BT53" s="2" t="n">
        <v>0</v>
      </c>
      <c r="BU53" s="2" t="n">
        <v>6265.558017094017</v>
      </c>
      <c r="BV53" s="2" t="n">
        <v>7464.219042735042</v>
      </c>
      <c r="BW53" s="2" t="n">
        <v>37897.9545425641</v>
      </c>
      <c r="BX53" s="2" t="n">
        <v>20745.88</v>
      </c>
      <c r="BY53" s="2" t="n">
        <v>1817.56</v>
      </c>
      <c r="BZ53" s="2" t="n">
        <v>8431.43</v>
      </c>
      <c r="CA53" s="2" t="n">
        <v>22563.44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1222</v>
      </c>
      <c r="B54" t="inlineStr">
        <is>
          <t>Dworcowa 33, 83-400 Kościerzyna</t>
        </is>
      </c>
      <c r="C54" t="inlineStr">
        <is>
          <t>Kościerzyna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252.55</v>
      </c>
      <c r="AP54" s="2" t="n">
        <v>4050</v>
      </c>
      <c r="AQ54" s="2" t="n">
        <v>233.8425925925926</v>
      </c>
      <c r="AR54" s="2" t="n">
        <v>0</v>
      </c>
      <c r="AS54" s="2" t="n">
        <v>232.79</v>
      </c>
      <c r="AT54" s="2" t="n">
        <v>19.76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252.55</v>
      </c>
      <c r="BB54" s="2" t="n">
        <v>252.55</v>
      </c>
      <c r="BC54" s="2">
        <f>F54+L54+R54+X54+AD54+AJ54+AP54+AV54+IF(BE54="",0,BE54)</f>
        <v/>
      </c>
      <c r="BD54" s="2" t="n">
        <v>3.88927</v>
      </c>
      <c r="BE54" s="2" t="n"/>
      <c r="BF54" s="2" t="n">
        <v>233.8425925925926</v>
      </c>
      <c r="BG54" s="2" t="n">
        <v>0</v>
      </c>
      <c r="BH54" s="2" t="n">
        <v>0</v>
      </c>
      <c r="BI54" s="2" t="n">
        <v>30040.16</v>
      </c>
      <c r="BJ54" s="2" t="n">
        <v>63.96905982905983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3.409425</v>
      </c>
      <c r="BQ54" s="2" t="n">
        <v>0</v>
      </c>
      <c r="BR54" s="2" t="n">
        <v>30132.53848482906</v>
      </c>
      <c r="BS54" s="2" t="n">
        <v>1198.661025641026</v>
      </c>
      <c r="BT54" s="2" t="n">
        <v>0</v>
      </c>
      <c r="BU54" s="2" t="n">
        <v>6265.558017094017</v>
      </c>
      <c r="BV54" s="2" t="n">
        <v>7464.219042735042</v>
      </c>
      <c r="BW54" s="2" t="n">
        <v>37596.7575275641</v>
      </c>
      <c r="BX54" s="2" t="n">
        <v>232.79</v>
      </c>
      <c r="BY54" s="2" t="n">
        <v>19.76</v>
      </c>
      <c r="BZ54" s="2" t="n">
        <v>0</v>
      </c>
      <c r="CA54" s="2" t="n">
        <v>252.55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1223</v>
      </c>
      <c r="B55" t="inlineStr">
        <is>
          <t>Dworcowa 17, 82-200 Malbork</t>
        </is>
      </c>
      <c r="C55" t="inlineStr">
        <is>
          <t>Malbork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6703.309999999999</v>
      </c>
      <c r="L55" s="2" t="n">
        <v>557.9884898148148</v>
      </c>
      <c r="M55" s="2" t="n">
        <v>6206.768518518517</v>
      </c>
      <c r="N55" s="2" t="n">
        <v>913.28</v>
      </c>
      <c r="O55" s="2" t="n">
        <v>5061.53</v>
      </c>
      <c r="P55" s="2" t="n">
        <v>728.5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12878.45</v>
      </c>
      <c r="AP55" s="2" t="n">
        <v>1001.657222222222</v>
      </c>
      <c r="AQ55" s="2" t="n">
        <v>11924.49074074074</v>
      </c>
      <c r="AR55" s="2" t="n">
        <v>3237.97</v>
      </c>
      <c r="AS55" s="2" t="n">
        <v>8939.25</v>
      </c>
      <c r="AT55" s="2" t="n">
        <v>701.23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19581.76</v>
      </c>
      <c r="BB55" s="2" t="n">
        <v>15430.51</v>
      </c>
      <c r="BC55" s="2">
        <f>F55+L55+R55+X55+AD55+AJ55+AP55+AV55+IF(BE55="",0,BE55)</f>
        <v/>
      </c>
      <c r="BD55" s="2" t="n">
        <v>237.629854</v>
      </c>
      <c r="BE55" s="2" t="n"/>
      <c r="BF55" s="2" t="n">
        <v>18131.25925925926</v>
      </c>
      <c r="BG55" s="2" t="n">
        <v>0</v>
      </c>
      <c r="BH55" s="2" t="n">
        <v>0</v>
      </c>
      <c r="BI55" s="2" t="n">
        <v>30040.16</v>
      </c>
      <c r="BJ55" s="2" t="n">
        <v>63.96905982905983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208.311885</v>
      </c>
      <c r="BQ55" s="2" t="n">
        <v>0</v>
      </c>
      <c r="BR55" s="2" t="n">
        <v>30337.44094482906</v>
      </c>
      <c r="BS55" s="2" t="n">
        <v>1198.661025641026</v>
      </c>
      <c r="BT55" s="2" t="n">
        <v>0</v>
      </c>
      <c r="BU55" s="2" t="n">
        <v>6265.558017094017</v>
      </c>
      <c r="BV55" s="2" t="n">
        <v>7464.219042735042</v>
      </c>
      <c r="BW55" s="2" t="n">
        <v>37801.6599875641</v>
      </c>
      <c r="BX55" s="2" t="n">
        <v>14000.78</v>
      </c>
      <c r="BY55" s="2" t="n">
        <v>1429.73</v>
      </c>
      <c r="BZ55" s="2" t="n">
        <v>4151.25</v>
      </c>
      <c r="CA55" s="2" t="n">
        <v>15430.51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1224</v>
      </c>
      <c r="B56" t="inlineStr">
        <is>
          <t>Kuznica</t>
        </is>
      </c>
      <c r="C56" t="inlineStr">
        <is>
          <t>Kuźnica</t>
        </is>
      </c>
      <c r="D56" t="inlineStr">
        <is>
          <t>FAA2000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1233.02</v>
      </c>
      <c r="AP56" s="2" t="n">
        <v>4050</v>
      </c>
      <c r="AQ56" s="2" t="n">
        <v>1141.685185185185</v>
      </c>
      <c r="AR56" s="2" t="n">
        <v>0</v>
      </c>
      <c r="AS56" s="2" t="n">
        <v>937.72</v>
      </c>
      <c r="AT56" s="2" t="n">
        <v>295.3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1233.02</v>
      </c>
      <c r="BB56" s="2" t="n">
        <v>1233.02</v>
      </c>
      <c r="BC56" s="2">
        <f>F56+L56+R56+X56+AD56+AJ56+AP56+AV56+IF(BE56="",0,BE56)</f>
        <v/>
      </c>
      <c r="BD56" s="2" t="n">
        <v>18.988508</v>
      </c>
      <c r="BE56" s="2" t="n"/>
      <c r="BF56" s="2" t="n">
        <v>1141.685185185185</v>
      </c>
      <c r="BG56" s="2" t="n">
        <v>0</v>
      </c>
      <c r="BH56" s="2" t="n">
        <v>0</v>
      </c>
      <c r="BI56" s="2" t="n">
        <v>30040.16</v>
      </c>
      <c r="BJ56" s="2" t="n">
        <v>63.96905982905983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16.64577</v>
      </c>
      <c r="BQ56" s="2" t="n">
        <v>0</v>
      </c>
      <c r="BR56" s="2" t="n">
        <v>30145.77482982906</v>
      </c>
      <c r="BS56" s="2" t="n">
        <v>1198.661025641026</v>
      </c>
      <c r="BT56" s="2" t="n">
        <v>0</v>
      </c>
      <c r="BU56" s="2" t="n">
        <v>6265.558017094017</v>
      </c>
      <c r="BV56" s="2" t="n">
        <v>7464.219042735042</v>
      </c>
      <c r="BW56" s="2" t="n">
        <v>37609.9938725641</v>
      </c>
      <c r="BX56" s="2" t="n">
        <v>937.72</v>
      </c>
      <c r="BY56" s="2" t="n">
        <v>295.3</v>
      </c>
      <c r="BZ56" s="2" t="n">
        <v>0</v>
      </c>
      <c r="CA56" s="2" t="n">
        <v>1233.02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1225</v>
      </c>
      <c r="B57" t="inlineStr">
        <is>
          <t>Plac Legionów 2, 37-700 Przemyśl</t>
        </is>
      </c>
      <c r="C57" t="inlineStr">
        <is>
          <t>Przemyśl</t>
        </is>
      </c>
      <c r="D57" t="inlineStr">
        <is>
          <t>FAA2000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22123.65</v>
      </c>
      <c r="L57" s="2" t="n">
        <v>1841.589013888889</v>
      </c>
      <c r="M57" s="2" t="n">
        <v>20484.86111111111</v>
      </c>
      <c r="N57" s="2" t="n">
        <v>2144.61</v>
      </c>
      <c r="O57" s="2" t="n">
        <v>19849.85</v>
      </c>
      <c r="P57" s="2" t="n">
        <v>129.19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4575.2</v>
      </c>
      <c r="AP57" s="2" t="n">
        <v>355.8488888888888</v>
      </c>
      <c r="AQ57" s="2" t="n">
        <v>4236.296296296296</v>
      </c>
      <c r="AR57" s="2" t="n">
        <v>1155.36</v>
      </c>
      <c r="AS57" s="2" t="n">
        <v>3368.97</v>
      </c>
      <c r="AT57" s="2" t="n">
        <v>50.87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26698.85</v>
      </c>
      <c r="BB57" s="2" t="n">
        <v>23398.88</v>
      </c>
      <c r="BC57" s="2">
        <f>F57+L57+R57+X57+AD57+AJ57+AP57+AV57+IF(BE57="",0,BE57)</f>
        <v/>
      </c>
      <c r="BD57" s="2" t="n">
        <v>360.342752</v>
      </c>
      <c r="BE57" s="2" t="n"/>
      <c r="BF57" s="2" t="n">
        <v>24721.15740740741</v>
      </c>
      <c r="BG57" s="2" t="n">
        <v>456.34</v>
      </c>
      <c r="BH57" s="2" t="n">
        <v>129</v>
      </c>
      <c r="BI57" s="2" t="n">
        <v>28102.08516129032</v>
      </c>
      <c r="BJ57" s="2" t="n">
        <v>63.96905982905983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315.88488</v>
      </c>
      <c r="BQ57" s="2" t="n">
        <v>0</v>
      </c>
      <c r="BR57" s="2" t="n">
        <v>29092.27910111938</v>
      </c>
      <c r="BS57" s="2" t="n">
        <v>1198.661025641026</v>
      </c>
      <c r="BT57" s="2" t="n">
        <v>0</v>
      </c>
      <c r="BU57" s="2" t="n">
        <v>5995.011049352081</v>
      </c>
      <c r="BV57" s="2" t="n">
        <v>7193.672074993107</v>
      </c>
      <c r="BW57" s="2" t="n">
        <v>36285.95117611249</v>
      </c>
      <c r="BX57" s="2" t="n">
        <v>23218.82</v>
      </c>
      <c r="BY57" s="2" t="n">
        <v>180.06</v>
      </c>
      <c r="BZ57" s="2" t="n">
        <v>3299.97</v>
      </c>
      <c r="CA57" s="2" t="n">
        <v>23398.88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1226</v>
      </c>
      <c r="B58" t="inlineStr">
        <is>
          <t>Plac Dworcowy 3, 33-100 Tarnów</t>
        </is>
      </c>
      <c r="C58" t="inlineStr">
        <is>
          <t>Tarnów</t>
        </is>
      </c>
      <c r="D58" t="inlineStr">
        <is>
          <t>FAA2000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6779.009999999999</v>
      </c>
      <c r="L58" s="2" t="n">
        <v>564.2898138888888</v>
      </c>
      <c r="M58" s="2" t="n">
        <v>6276.86111111111</v>
      </c>
      <c r="N58" s="2" t="n">
        <v>1206.52</v>
      </c>
      <c r="O58" s="2" t="n">
        <v>5468.36</v>
      </c>
      <c r="P58" s="2" t="n">
        <v>104.13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7441.5</v>
      </c>
      <c r="AP58" s="2" t="n">
        <v>578.7833333333333</v>
      </c>
      <c r="AQ58" s="2" t="n">
        <v>6890.277777777777</v>
      </c>
      <c r="AR58" s="2" t="n">
        <v>1481.62</v>
      </c>
      <c r="AS58" s="2" t="n">
        <v>5789.84</v>
      </c>
      <c r="AT58" s="2" t="n">
        <v>170.04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14220.51</v>
      </c>
      <c r="BB58" s="2" t="n">
        <v>11532.37</v>
      </c>
      <c r="BC58" s="2">
        <f>F58+L58+R58+X58+AD58+AJ58+AP58+AV58+IF(BE58="",0,BE58)</f>
        <v/>
      </c>
      <c r="BD58" s="2" t="n">
        <v>177.598498</v>
      </c>
      <c r="BE58" s="2" t="n"/>
      <c r="BF58" s="2" t="n">
        <v>13167.13888888889</v>
      </c>
      <c r="BG58" s="2" t="n">
        <v>456.24</v>
      </c>
      <c r="BH58" s="2" t="n">
        <v>131</v>
      </c>
      <c r="BI58" s="2" t="n">
        <v>30040.16</v>
      </c>
      <c r="BJ58" s="2" t="n">
        <v>63.96905982905983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155.686995</v>
      </c>
      <c r="BQ58" s="2" t="n">
        <v>0</v>
      </c>
      <c r="BR58" s="2" t="n">
        <v>30872.05605482906</v>
      </c>
      <c r="BS58" s="2" t="n">
        <v>1198.661025641026</v>
      </c>
      <c r="BT58" s="2" t="n">
        <v>0</v>
      </c>
      <c r="BU58" s="2" t="n">
        <v>6383.006017094017</v>
      </c>
      <c r="BV58" s="2" t="n">
        <v>7581.667042735043</v>
      </c>
      <c r="BW58" s="2" t="n">
        <v>38453.7230975641</v>
      </c>
      <c r="BX58" s="2" t="n">
        <v>11258.2</v>
      </c>
      <c r="BY58" s="2" t="n">
        <v>274.17</v>
      </c>
      <c r="BZ58" s="2" t="n">
        <v>2688.14</v>
      </c>
      <c r="CA58" s="2" t="n">
        <v>11532.37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1230</v>
      </c>
      <c r="B59" t="inlineStr">
        <is>
          <t>Bohaterów Getta Warszawskiego 12, 44-100 Gliwice</t>
        </is>
      </c>
      <c r="C59" t="inlineStr">
        <is>
          <t>Gliwice</t>
        </is>
      </c>
      <c r="D59" t="inlineStr">
        <is>
          <t>ST|40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6933.58</v>
      </c>
      <c r="L59" s="2" t="n">
        <v>577.1563351851852</v>
      </c>
      <c r="M59" s="2" t="n">
        <v>6419.981481481481</v>
      </c>
      <c r="N59" s="2" t="n">
        <v>1573.36</v>
      </c>
      <c r="O59" s="2" t="n">
        <v>4936.62</v>
      </c>
      <c r="P59" s="2" t="n">
        <v>423.6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6933.58</v>
      </c>
      <c r="BB59" s="2" t="n">
        <v>5360.22</v>
      </c>
      <c r="BC59" s="2">
        <f>F59+L59+R59+X59+AD59+AJ59+AP59+AV59+IF(BE59="",0,BE59)</f>
        <v/>
      </c>
      <c r="BD59" s="2" t="n">
        <v>82.54738800000001</v>
      </c>
      <c r="BE59" s="2" t="n"/>
      <c r="BF59" s="2" t="n">
        <v>6419.981481481481</v>
      </c>
      <c r="BG59" s="2" t="n">
        <v>500</v>
      </c>
      <c r="BH59" s="2" t="n">
        <v>109.6</v>
      </c>
      <c r="BI59" s="2" t="n">
        <v>30040.16</v>
      </c>
      <c r="BJ59" s="2" t="n">
        <v>63.96905982905983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72.36297</v>
      </c>
      <c r="BQ59" s="2" t="n">
        <v>0</v>
      </c>
      <c r="BR59" s="2" t="n">
        <v>30811.09202982905</v>
      </c>
      <c r="BS59" s="2" t="n">
        <v>1198.661025641026</v>
      </c>
      <c r="BT59" s="2" t="n">
        <v>0</v>
      </c>
      <c r="BU59" s="2" t="n">
        <v>6387.478017094018</v>
      </c>
      <c r="BV59" s="2" t="n">
        <v>7586.139042735043</v>
      </c>
      <c r="BW59" s="2" t="n">
        <v>38397.2310725641</v>
      </c>
      <c r="BX59" s="2" t="n">
        <v>4936.62</v>
      </c>
      <c r="BY59" s="2" t="n">
        <v>423.6</v>
      </c>
      <c r="BZ59" s="2" t="n">
        <v>1573.36</v>
      </c>
      <c r="CA59" s="2" t="n">
        <v>5360.22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1232</v>
      </c>
      <c r="B60" t="inlineStr">
        <is>
          <t>Olawa Zachodnia</t>
        </is>
      </c>
      <c r="C60" t="inlineStr">
        <is>
          <t>Oława Zachodnia</t>
        </is>
      </c>
      <c r="D60" t="inlineStr">
        <is>
          <t>ST|40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88.40000000000001</v>
      </c>
      <c r="R60" s="2" t="n">
        <v>2500</v>
      </c>
      <c r="S60" s="2" t="n">
        <v>81.85185185185185</v>
      </c>
      <c r="T60" s="2" t="n">
        <v>0</v>
      </c>
      <c r="U60" s="2" t="n">
        <v>88.40000000000001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88.40000000000001</v>
      </c>
      <c r="BB60" s="2" t="n">
        <v>88.40000000000001</v>
      </c>
      <c r="BC60" s="2">
        <f>F60+L60+R60+X60+AD60+AJ60+AP60+AV60+IF(BE60="",0,BE60)</f>
        <v/>
      </c>
      <c r="BD60" s="2" t="n">
        <v>1.36136</v>
      </c>
      <c r="BE60" s="2" t="n"/>
      <c r="BF60" s="2" t="n">
        <v>81.85185185185185</v>
      </c>
      <c r="BG60" s="2" t="n">
        <v>0</v>
      </c>
      <c r="BH60" s="2" t="n">
        <v>0</v>
      </c>
      <c r="BI60" s="2" t="n">
        <v>30040.16</v>
      </c>
      <c r="BJ60" s="2" t="n">
        <v>63.96905982905983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1.1934</v>
      </c>
      <c r="BQ60" s="2" t="n">
        <v>0</v>
      </c>
      <c r="BR60" s="2" t="n">
        <v>30130.32245982906</v>
      </c>
      <c r="BS60" s="2" t="n">
        <v>1198.661025641026</v>
      </c>
      <c r="BT60" s="2" t="n">
        <v>0</v>
      </c>
      <c r="BU60" s="2" t="n">
        <v>6265.558017094017</v>
      </c>
      <c r="BV60" s="2" t="n">
        <v>7464.219042735042</v>
      </c>
      <c r="BW60" s="2" t="n">
        <v>37594.5415025641</v>
      </c>
      <c r="BX60" s="2" t="n">
        <v>88.40000000000001</v>
      </c>
      <c r="BY60" s="2" t="n">
        <v>0</v>
      </c>
      <c r="BZ60" s="2" t="n">
        <v>0</v>
      </c>
      <c r="CA60" s="2" t="n">
        <v>88.40000000000001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1234</v>
      </c>
      <c r="B61" t="inlineStr">
        <is>
          <t>Kolejowa 88, 68-100 Żagań</t>
        </is>
      </c>
      <c r="C61" t="inlineStr">
        <is>
          <t>Żagań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135.5</v>
      </c>
      <c r="L61" s="2" t="n">
        <v>11.27912037037037</v>
      </c>
      <c r="M61" s="2" t="n">
        <v>125.4629629629629</v>
      </c>
      <c r="N61" s="2" t="n">
        <v>0</v>
      </c>
      <c r="O61" s="2" t="n">
        <v>135.5</v>
      </c>
      <c r="P61" s="2" t="n">
        <v>0</v>
      </c>
      <c r="Q61" s="2" t="n">
        <v>2846.69</v>
      </c>
      <c r="R61" s="2" t="n">
        <v>1600</v>
      </c>
      <c r="S61" s="2" t="n">
        <v>2635.824074074074</v>
      </c>
      <c r="T61" s="2" t="n">
        <v>0</v>
      </c>
      <c r="U61" s="2" t="n">
        <v>2675.66</v>
      </c>
      <c r="V61" s="2" t="n">
        <v>171.03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1407.1</v>
      </c>
      <c r="AP61" s="2" t="n">
        <v>109.4411111111111</v>
      </c>
      <c r="AQ61" s="2" t="n">
        <v>1302.87037037037</v>
      </c>
      <c r="AR61" s="2" t="n">
        <v>0</v>
      </c>
      <c r="AS61" s="2" t="n">
        <v>1243.8</v>
      </c>
      <c r="AT61" s="2" t="n">
        <v>163.3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4389.29</v>
      </c>
      <c r="BB61" s="2" t="n">
        <v>4389.29</v>
      </c>
      <c r="BC61" s="2">
        <f>F61+L61+R61+X61+AD61+AJ61+AP61+AV61+IF(BE61="",0,BE61)</f>
        <v/>
      </c>
      <c r="BD61" s="2" t="n">
        <v>67.595066</v>
      </c>
      <c r="BE61" s="2" t="n"/>
      <c r="BF61" s="2" t="n">
        <v>4064.157407407407</v>
      </c>
      <c r="BG61" s="2" t="n">
        <v>594.14</v>
      </c>
      <c r="BH61" s="2" t="n">
        <v>219</v>
      </c>
      <c r="BI61" s="2" t="n">
        <v>30040.16</v>
      </c>
      <c r="BJ61" s="2" t="n">
        <v>63.96905982905983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59.255415</v>
      </c>
      <c r="BQ61" s="2" t="n">
        <v>0</v>
      </c>
      <c r="BR61" s="2" t="n">
        <v>31001.52447482906</v>
      </c>
      <c r="BS61" s="2" t="n">
        <v>1198.661025641026</v>
      </c>
      <c r="BT61" s="2" t="n">
        <v>0</v>
      </c>
      <c r="BU61" s="2" t="n">
        <v>6428.186017094017</v>
      </c>
      <c r="BV61" s="2" t="n">
        <v>7626.847042735043</v>
      </c>
      <c r="BW61" s="2" t="n">
        <v>38628.3715175641</v>
      </c>
      <c r="BX61" s="2" t="n">
        <v>4054.96</v>
      </c>
      <c r="BY61" s="2" t="n">
        <v>334.33</v>
      </c>
      <c r="BZ61" s="2" t="n">
        <v>0</v>
      </c>
      <c r="CA61" s="2" t="n">
        <v>4389.29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1235</v>
      </c>
      <c r="B62" t="inlineStr">
        <is>
          <t>Dworcowa 2, 61-801 Poznań</t>
        </is>
      </c>
      <c r="C62" t="inlineStr">
        <is>
          <t>Poznań Główny, Dworzec Zachodni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8638.76</v>
      </c>
      <c r="L62" s="2" t="n">
        <v>719.0967814814815</v>
      </c>
      <c r="M62" s="2" t="n">
        <v>7998.851851851851</v>
      </c>
      <c r="N62" s="2" t="n">
        <v>1914.79</v>
      </c>
      <c r="O62" s="2" t="n">
        <v>6723.97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14684.56</v>
      </c>
      <c r="AD62" s="2" t="n">
        <v>951.7770370370372</v>
      </c>
      <c r="AE62" s="2" t="n">
        <v>13596.81481481482</v>
      </c>
      <c r="AF62" s="2" t="n">
        <v>3245.63</v>
      </c>
      <c r="AG62" s="2" t="n">
        <v>11438.93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6286.95</v>
      </c>
      <c r="AP62" s="2" t="n">
        <v>488.985</v>
      </c>
      <c r="AQ62" s="2" t="n">
        <v>5821.249999999999</v>
      </c>
      <c r="AR62" s="2" t="n">
        <v>1088.79</v>
      </c>
      <c r="AS62" s="2" t="n">
        <v>5198.16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29610.27</v>
      </c>
      <c r="BB62" s="2" t="n">
        <v>23361.06</v>
      </c>
      <c r="BC62" s="2">
        <f>F62+L62+R62+X62+AD62+AJ62+AP62+AV62+IF(BE62="",0,BE62)</f>
        <v/>
      </c>
      <c r="BD62" s="2" t="n">
        <v>359.760324</v>
      </c>
      <c r="BE62" s="2" t="n"/>
      <c r="BF62" s="2" t="n">
        <v>27416.91666666667</v>
      </c>
      <c r="BG62" s="2" t="n">
        <v>0</v>
      </c>
      <c r="BH62" s="2" t="n">
        <v>0</v>
      </c>
      <c r="BI62" s="2" t="n">
        <v>30040.16</v>
      </c>
      <c r="BJ62" s="2" t="n">
        <v>63.96905982905983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315.37431</v>
      </c>
      <c r="BQ62" s="2" t="n">
        <v>0</v>
      </c>
      <c r="BR62" s="2" t="n">
        <v>30444.50336982906</v>
      </c>
      <c r="BS62" s="2" t="n">
        <v>1198.661025641026</v>
      </c>
      <c r="BT62" s="2" t="n">
        <v>0</v>
      </c>
      <c r="BU62" s="2" t="n">
        <v>6265.558017094017</v>
      </c>
      <c r="BV62" s="2" t="n">
        <v>7464.219042735042</v>
      </c>
      <c r="BW62" s="2" t="n">
        <v>37908.7224125641</v>
      </c>
      <c r="BX62" s="2" t="n">
        <v>23361.06</v>
      </c>
      <c r="BY62" s="2" t="n">
        <v>0</v>
      </c>
      <c r="BZ62" s="2" t="n">
        <v>6249.21</v>
      </c>
      <c r="CA62" s="2" t="n">
        <v>23361.06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1236</v>
      </c>
      <c r="B63" t="inlineStr">
        <is>
          <t>Pelplin</t>
        </is>
      </c>
      <c r="C63" t="inlineStr">
        <is>
          <t>Pelplin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1254.09</v>
      </c>
      <c r="AP63" s="2" t="n">
        <v>3900</v>
      </c>
      <c r="AQ63" s="2" t="n">
        <v>1161.194444444444</v>
      </c>
      <c r="AR63" s="2" t="n">
        <v>0</v>
      </c>
      <c r="AS63" s="2" t="n">
        <v>1127.57</v>
      </c>
      <c r="AT63" s="2" t="n">
        <v>126.52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1254.09</v>
      </c>
      <c r="BB63" s="2" t="n">
        <v>1254.09</v>
      </c>
      <c r="BC63" s="2">
        <f>F63+L63+R63+X63+AD63+AJ63+AP63+AV63+IF(BE63="",0,BE63)</f>
        <v/>
      </c>
      <c r="BD63" s="2" t="n">
        <v>19.312986</v>
      </c>
      <c r="BE63" s="2" t="n"/>
      <c r="BF63" s="2" t="n">
        <v>1161.194444444444</v>
      </c>
      <c r="BG63" s="2" t="n">
        <v>0</v>
      </c>
      <c r="BH63" s="2" t="n">
        <v>0</v>
      </c>
      <c r="BI63" s="2" t="n">
        <v>30040.16</v>
      </c>
      <c r="BJ63" s="2" t="n">
        <v>63.96905982905983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16.930215</v>
      </c>
      <c r="BQ63" s="2" t="n">
        <v>0</v>
      </c>
      <c r="BR63" s="2" t="n">
        <v>30146.05927482906</v>
      </c>
      <c r="BS63" s="2" t="n">
        <v>1198.661025641026</v>
      </c>
      <c r="BT63" s="2" t="n">
        <v>0</v>
      </c>
      <c r="BU63" s="2" t="n">
        <v>6265.558017094017</v>
      </c>
      <c r="BV63" s="2" t="n">
        <v>7464.219042735042</v>
      </c>
      <c r="BW63" s="2" t="n">
        <v>37610.2783175641</v>
      </c>
      <c r="BX63" s="2" t="n">
        <v>1127.57</v>
      </c>
      <c r="BY63" s="2" t="n">
        <v>126.52</v>
      </c>
      <c r="BZ63" s="2" t="n">
        <v>0</v>
      </c>
      <c r="CA63" s="2" t="n">
        <v>1254.09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1237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10124.38</v>
      </c>
      <c r="L64" s="2" t="n">
        <v>842.7608907407407</v>
      </c>
      <c r="M64" s="2" t="n">
        <v>9374.425925925925</v>
      </c>
      <c r="N64" s="2" t="n">
        <v>1762.62</v>
      </c>
      <c r="O64" s="2" t="n">
        <v>7649.95</v>
      </c>
      <c r="P64" s="2" t="n">
        <v>711.8099999999999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19730.73</v>
      </c>
      <c r="AD64" s="2" t="n">
        <v>1278.843611111111</v>
      </c>
      <c r="AE64" s="2" t="n">
        <v>18269.19444444444</v>
      </c>
      <c r="AF64" s="2" t="n">
        <v>2882.34</v>
      </c>
      <c r="AG64" s="2" t="n">
        <v>15643.12</v>
      </c>
      <c r="AH64" s="2" t="n">
        <v>1205.27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7001.800000000001</v>
      </c>
      <c r="AP64" s="2" t="n">
        <v>544.5844444444446</v>
      </c>
      <c r="AQ64" s="2" t="n">
        <v>6483.148148148149</v>
      </c>
      <c r="AR64" s="2" t="n">
        <v>1039.48</v>
      </c>
      <c r="AS64" s="2" t="n">
        <v>5464.55</v>
      </c>
      <c r="AT64" s="2" t="n">
        <v>497.77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36856.91</v>
      </c>
      <c r="BB64" s="2" t="n">
        <v>31172.47</v>
      </c>
      <c r="BC64" s="2">
        <f>F64+L64+R64+X64+AD64+AJ64+AP64+AV64+IF(BE64="",0,BE64)</f>
        <v/>
      </c>
      <c r="BD64" s="2" t="n">
        <v>480.056038</v>
      </c>
      <c r="BE64" s="2" t="n"/>
      <c r="BF64" s="2" t="n">
        <v>34126.76851851851</v>
      </c>
      <c r="BG64" s="2" t="n">
        <v>0</v>
      </c>
      <c r="BH64" s="2" t="n">
        <v>0</v>
      </c>
      <c r="BI64" s="2" t="n">
        <v>30040.16</v>
      </c>
      <c r="BJ64" s="2" t="n">
        <v>63.96905982905983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420.828345</v>
      </c>
      <c r="BQ64" s="2" t="n">
        <v>0</v>
      </c>
      <c r="BR64" s="2" t="n">
        <v>30549.95740482906</v>
      </c>
      <c r="BS64" s="2" t="n">
        <v>1198.661025641026</v>
      </c>
      <c r="BT64" s="2" t="n">
        <v>0</v>
      </c>
      <c r="BU64" s="2" t="n">
        <v>6265.558017094017</v>
      </c>
      <c r="BV64" s="2" t="n">
        <v>7464.219042735042</v>
      </c>
      <c r="BW64" s="2" t="n">
        <v>38014.1764475641</v>
      </c>
      <c r="BX64" s="2" t="n">
        <v>28757.62</v>
      </c>
      <c r="BY64" s="2" t="n">
        <v>2414.85</v>
      </c>
      <c r="BZ64" s="2" t="n">
        <v>5684.440000000001</v>
      </c>
      <c r="CA64" s="2" t="n">
        <v>31172.47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1238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2775.15</v>
      </c>
      <c r="L65" s="2" t="n">
        <v>231.0055416666667</v>
      </c>
      <c r="M65" s="2" t="n">
        <v>2569.583333333333</v>
      </c>
      <c r="N65" s="2" t="n">
        <v>504.82</v>
      </c>
      <c r="O65" s="2" t="n">
        <v>2238.48</v>
      </c>
      <c r="P65" s="2" t="n">
        <v>31.85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7563.150000000001</v>
      </c>
      <c r="AD65" s="2" t="n">
        <v>490.2041666666667</v>
      </c>
      <c r="AE65" s="2" t="n">
        <v>7002.916666666667</v>
      </c>
      <c r="AF65" s="2" t="n">
        <v>1998.94</v>
      </c>
      <c r="AG65" s="2" t="n">
        <v>5107.25</v>
      </c>
      <c r="AH65" s="2" t="n">
        <v>456.96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2453.15</v>
      </c>
      <c r="AP65" s="2" t="n">
        <v>190.8005555555555</v>
      </c>
      <c r="AQ65" s="2" t="n">
        <v>2271.435185185185</v>
      </c>
      <c r="AR65" s="2" t="n">
        <v>565.22</v>
      </c>
      <c r="AS65" s="2" t="n">
        <v>1865.73</v>
      </c>
      <c r="AT65" s="2" t="n">
        <v>22.2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12791.45</v>
      </c>
      <c r="BB65" s="2" t="n">
        <v>9722.469999999999</v>
      </c>
      <c r="BC65" s="2">
        <f>F65+L65+R65+X65+AD65+AJ65+AP65+AV65+IF(BE65="",0,BE65)</f>
        <v/>
      </c>
      <c r="BD65" s="2" t="n">
        <v>149.726038</v>
      </c>
      <c r="BE65" s="2" t="n"/>
      <c r="BF65" s="2" t="n">
        <v>11843.93518518518</v>
      </c>
      <c r="BG65" s="2" t="n">
        <v>0</v>
      </c>
      <c r="BH65" s="2" t="n">
        <v>0</v>
      </c>
      <c r="BI65" s="2" t="n">
        <v>30040.16</v>
      </c>
      <c r="BJ65" s="2" t="n">
        <v>63.96905982905983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131.253345</v>
      </c>
      <c r="BQ65" s="2" t="n">
        <v>0</v>
      </c>
      <c r="BR65" s="2" t="n">
        <v>30260.38240482906</v>
      </c>
      <c r="BS65" s="2" t="n">
        <v>1198.661025641026</v>
      </c>
      <c r="BT65" s="2" t="n">
        <v>0</v>
      </c>
      <c r="BU65" s="2" t="n">
        <v>6265.558017094017</v>
      </c>
      <c r="BV65" s="2" t="n">
        <v>7464.219042735042</v>
      </c>
      <c r="BW65" s="2" t="n">
        <v>37724.6014475641</v>
      </c>
      <c r="BX65" s="2" t="n">
        <v>9211.459999999999</v>
      </c>
      <c r="BY65" s="2" t="n">
        <v>511.01</v>
      </c>
      <c r="BZ65" s="2" t="n">
        <v>3068.98</v>
      </c>
      <c r="CA65" s="2" t="n">
        <v>9722.469999999999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1239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20455.93</v>
      </c>
      <c r="L66" s="2" t="n">
        <v>1702.766765740741</v>
      </c>
      <c r="M66" s="2" t="n">
        <v>18940.67592592592</v>
      </c>
      <c r="N66" s="2" t="n">
        <v>4282.3</v>
      </c>
      <c r="O66" s="2" t="n">
        <v>14903.27</v>
      </c>
      <c r="P66" s="2" t="n">
        <v>1270.36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38241.79</v>
      </c>
      <c r="AD66" s="2" t="n">
        <v>2478.634537037037</v>
      </c>
      <c r="AE66" s="2" t="n">
        <v>35409.06481481481</v>
      </c>
      <c r="AF66" s="2" t="n">
        <v>6146.28</v>
      </c>
      <c r="AG66" s="2" t="n">
        <v>30637.53</v>
      </c>
      <c r="AH66" s="2" t="n">
        <v>1457.98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12246.62</v>
      </c>
      <c r="AP66" s="2" t="n">
        <v>952.5148888888889</v>
      </c>
      <c r="AQ66" s="2" t="n">
        <v>11339.46296296296</v>
      </c>
      <c r="AR66" s="2" t="n">
        <v>2612.24</v>
      </c>
      <c r="AS66" s="2" t="n">
        <v>9135.16</v>
      </c>
      <c r="AT66" s="2" t="n">
        <v>499.22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70944.34</v>
      </c>
      <c r="BB66" s="2" t="n">
        <v>57903.52</v>
      </c>
      <c r="BC66" s="2">
        <f>F66+L66+R66+X66+AD66+AJ66+AP66+AV66+IF(BE66="",0,BE66)</f>
        <v/>
      </c>
      <c r="BD66" s="2" t="n">
        <v>891.714208</v>
      </c>
      <c r="BE66" s="2" t="n"/>
      <c r="BF66" s="2" t="n">
        <v>65689.20370370369</v>
      </c>
      <c r="BG66" s="2" t="n">
        <v>0</v>
      </c>
      <c r="BH66" s="2" t="n">
        <v>0</v>
      </c>
      <c r="BI66" s="2" t="n">
        <v>30040.16</v>
      </c>
      <c r="BJ66" s="2" t="n">
        <v>63.96905982905983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781.6975199999999</v>
      </c>
      <c r="BQ66" s="2" t="n">
        <v>0</v>
      </c>
      <c r="BR66" s="2" t="n">
        <v>30910.82657982906</v>
      </c>
      <c r="BS66" s="2" t="n">
        <v>1198.661025641026</v>
      </c>
      <c r="BT66" s="2" t="n">
        <v>0</v>
      </c>
      <c r="BU66" s="2" t="n">
        <v>6265.558017094017</v>
      </c>
      <c r="BV66" s="2" t="n">
        <v>7464.219042735042</v>
      </c>
      <c r="BW66" s="2" t="n">
        <v>38375.0456225641</v>
      </c>
      <c r="BX66" s="2" t="n">
        <v>54675.96000000001</v>
      </c>
      <c r="BY66" s="2" t="n">
        <v>3227.56</v>
      </c>
      <c r="BZ66" s="2" t="n">
        <v>13040.82</v>
      </c>
      <c r="CA66" s="2" t="n">
        <v>57903.52</v>
      </c>
      <c r="CB66" s="2">
        <f>(BC66+IF(BD66="",0,BD66))-BW66</f>
        <v/>
      </c>
      <c r="CC66" t="inlineStr">
        <is>
          <t>ALERT: profit/loss &lt;= -5000</t>
        </is>
      </c>
    </row>
    <row r="67">
      <c r="A67" t="n">
        <v>1240</v>
      </c>
      <c r="B67" t="inlineStr">
        <is>
          <t>Dworcowa 2, 61-801 Poznań</t>
        </is>
      </c>
      <c r="C67" t="inlineStr">
        <is>
          <t>Poznań Główny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17499.85</v>
      </c>
      <c r="L67" s="2" t="n">
        <v>1456.700476851852</v>
      </c>
      <c r="M67" s="2" t="n">
        <v>16203.56481481482</v>
      </c>
      <c r="N67" s="2" t="n">
        <v>2955.18</v>
      </c>
      <c r="O67" s="2" t="n">
        <v>13891.93</v>
      </c>
      <c r="P67" s="2" t="n">
        <v>652.74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36946.14</v>
      </c>
      <c r="AD67" s="2" t="n">
        <v>2394.657222222222</v>
      </c>
      <c r="AE67" s="2" t="n">
        <v>34209.38888888888</v>
      </c>
      <c r="AF67" s="2" t="n">
        <v>5276.49</v>
      </c>
      <c r="AG67" s="2" t="n">
        <v>29763.71</v>
      </c>
      <c r="AH67" s="2" t="n">
        <v>1905.94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10402</v>
      </c>
      <c r="AP67" s="2" t="n">
        <v>809.0444444444445</v>
      </c>
      <c r="AQ67" s="2" t="n">
        <v>9631.481481481482</v>
      </c>
      <c r="AR67" s="2" t="n">
        <v>1807.27</v>
      </c>
      <c r="AS67" s="2" t="n">
        <v>7964.39</v>
      </c>
      <c r="AT67" s="2" t="n">
        <v>630.34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64847.99000000001</v>
      </c>
      <c r="BB67" s="2" t="n">
        <v>54809.05</v>
      </c>
      <c r="BC67" s="2">
        <f>F67+L67+R67+X67+AD67+AJ67+AP67+AV67+IF(BE67="",0,BE67)</f>
        <v/>
      </c>
      <c r="BD67" s="2" t="n">
        <v>844.0593699999999</v>
      </c>
      <c r="BE67" s="2" t="n"/>
      <c r="BF67" s="2" t="n">
        <v>60044.43518518518</v>
      </c>
      <c r="BG67" s="2" t="n">
        <v>0</v>
      </c>
      <c r="BH67" s="2" t="n">
        <v>0</v>
      </c>
      <c r="BI67" s="2" t="n">
        <v>30040.16</v>
      </c>
      <c r="BJ67" s="2" t="n">
        <v>63.96905982905983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739.9221749999999</v>
      </c>
      <c r="BQ67" s="2" t="n">
        <v>0</v>
      </c>
      <c r="BR67" s="2" t="n">
        <v>30869.05123482906</v>
      </c>
      <c r="BS67" s="2" t="n">
        <v>1198.661025641026</v>
      </c>
      <c r="BT67" s="2" t="n">
        <v>0</v>
      </c>
      <c r="BU67" s="2" t="n">
        <v>6265.558017094017</v>
      </c>
      <c r="BV67" s="2" t="n">
        <v>7464.219042735042</v>
      </c>
      <c r="BW67" s="2" t="n">
        <v>38333.2702775641</v>
      </c>
      <c r="BX67" s="2" t="n">
        <v>51620.03</v>
      </c>
      <c r="BY67" s="2" t="n">
        <v>3189.02</v>
      </c>
      <c r="BZ67" s="2" t="n">
        <v>10038.94</v>
      </c>
      <c r="CA67" s="2" t="n">
        <v>54809.05</v>
      </c>
      <c r="CB67" s="2">
        <f>(BC67+IF(BD67="",0,BD67))-BW67</f>
        <v/>
      </c>
      <c r="CC67" t="inlineStr">
        <is>
          <t>ALERT: profit/loss &lt;= -5000</t>
        </is>
      </c>
    </row>
    <row r="68">
      <c r="A68" t="n">
        <v>1241</v>
      </c>
      <c r="B68" t="inlineStr">
        <is>
          <t>Kolejowa 1, 62-510 Konin</t>
        </is>
      </c>
      <c r="C68" t="inlineStr">
        <is>
          <t>Konin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2759.74</v>
      </c>
      <c r="L68" s="2" t="n">
        <v>229.7228018518518</v>
      </c>
      <c r="M68" s="2" t="n">
        <v>2555.314814814814</v>
      </c>
      <c r="N68" s="2" t="n">
        <v>934.34</v>
      </c>
      <c r="O68" s="2" t="n">
        <v>1688.49</v>
      </c>
      <c r="P68" s="2" t="n">
        <v>136.91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6413.2</v>
      </c>
      <c r="AD68" s="2" t="n">
        <v>415.6703703703704</v>
      </c>
      <c r="AE68" s="2" t="n">
        <v>5938.148148148148</v>
      </c>
      <c r="AF68" s="2" t="n">
        <v>1139.58</v>
      </c>
      <c r="AG68" s="2" t="n">
        <v>5012.58</v>
      </c>
      <c r="AH68" s="2" t="n">
        <v>261.04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73.8</v>
      </c>
      <c r="AP68" s="2" t="n">
        <v>5.74</v>
      </c>
      <c r="AQ68" s="2" t="n">
        <v>68.33333333333333</v>
      </c>
      <c r="AR68" s="2" t="n">
        <v>0</v>
      </c>
      <c r="AS68" s="2" t="n">
        <v>73.8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9246.739999999998</v>
      </c>
      <c r="BB68" s="2" t="n">
        <v>7172.820000000001</v>
      </c>
      <c r="BC68" s="2">
        <f>F68+L68+R68+X68+AD68+AJ68+AP68+AV68+IF(BE68="",0,BE68)</f>
        <v/>
      </c>
      <c r="BD68" s="2" t="n">
        <v>110.461428</v>
      </c>
      <c r="BE68" s="2" t="n"/>
      <c r="BF68" s="2" t="n">
        <v>8561.796296296296</v>
      </c>
      <c r="BG68" s="2" t="n">
        <v>420</v>
      </c>
      <c r="BH68" s="2" t="n">
        <v>187</v>
      </c>
      <c r="BI68" s="2" t="n">
        <v>30040.16</v>
      </c>
      <c r="BJ68" s="2" t="n">
        <v>63.96905982905983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96.83307000000001</v>
      </c>
      <c r="BQ68" s="2" t="n">
        <v>0</v>
      </c>
      <c r="BR68" s="2" t="n">
        <v>30832.96212982906</v>
      </c>
      <c r="BS68" s="2" t="n">
        <v>1198.661025641026</v>
      </c>
      <c r="BT68" s="2" t="n">
        <v>0</v>
      </c>
      <c r="BU68" s="2" t="n">
        <v>6386.958017094017</v>
      </c>
      <c r="BV68" s="2" t="n">
        <v>7585.619042735043</v>
      </c>
      <c r="BW68" s="2" t="n">
        <v>38418.5811725641</v>
      </c>
      <c r="BX68" s="2" t="n">
        <v>6774.87</v>
      </c>
      <c r="BY68" s="2" t="n">
        <v>397.95</v>
      </c>
      <c r="BZ68" s="2" t="n">
        <v>2073.92</v>
      </c>
      <c r="CA68" s="2" t="n">
        <v>7172.82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1242</v>
      </c>
      <c r="B69" t="inlineStr">
        <is>
          <t>Dworcowa 1, 62-800 Kalisz</t>
        </is>
      </c>
      <c r="C69" t="inlineStr">
        <is>
          <t>Kalisz</t>
        </is>
      </c>
      <c r="D69" t="inlineStr">
        <is>
          <t>ST|40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6685.69</v>
      </c>
      <c r="L69" s="2" t="n">
        <v>556.5217879629629</v>
      </c>
      <c r="M69" s="2" t="n">
        <v>6190.453703703703</v>
      </c>
      <c r="N69" s="2" t="n">
        <v>2692.22</v>
      </c>
      <c r="O69" s="2" t="n">
        <v>3600.65</v>
      </c>
      <c r="P69" s="2" t="n">
        <v>392.82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3980.74</v>
      </c>
      <c r="AD69" s="2" t="n">
        <v>258.0109259259259</v>
      </c>
      <c r="AE69" s="2" t="n">
        <v>3685.87037037037</v>
      </c>
      <c r="AF69" s="2" t="n">
        <v>1504.27</v>
      </c>
      <c r="AG69" s="2" t="n">
        <v>2368.87</v>
      </c>
      <c r="AH69" s="2" t="n">
        <v>107.6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4715.49</v>
      </c>
      <c r="AP69" s="2" t="n">
        <v>366.7603333333333</v>
      </c>
      <c r="AQ69" s="2" t="n">
        <v>4366.194444444444</v>
      </c>
      <c r="AR69" s="2" t="n">
        <v>1673.3</v>
      </c>
      <c r="AS69" s="2" t="n">
        <v>2710.15</v>
      </c>
      <c r="AT69" s="2" t="n">
        <v>332.04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15381.92</v>
      </c>
      <c r="BB69" s="2" t="n">
        <v>9512.130000000001</v>
      </c>
      <c r="BC69" s="2">
        <f>F69+L69+R69+X69+AD69+AJ69+AP69+AV69+IF(BE69="",0,BE69)</f>
        <v/>
      </c>
      <c r="BD69" s="2" t="n">
        <v>146.486802</v>
      </c>
      <c r="BE69" s="2" t="n"/>
      <c r="BF69" s="2" t="n">
        <v>14242.51851851852</v>
      </c>
      <c r="BG69" s="2" t="n">
        <v>550.4299999999999</v>
      </c>
      <c r="BH69" s="2" t="n">
        <v>213</v>
      </c>
      <c r="BI69" s="2" t="n">
        <v>30040.16</v>
      </c>
      <c r="BJ69" s="2" t="n">
        <v>63.96905982905983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128.413755</v>
      </c>
      <c r="BQ69" s="2" t="n">
        <v>0</v>
      </c>
      <c r="BR69" s="2" t="n">
        <v>31020.97281482906</v>
      </c>
      <c r="BS69" s="2" t="n">
        <v>1198.661025641026</v>
      </c>
      <c r="BT69" s="2" t="n">
        <v>0</v>
      </c>
      <c r="BU69" s="2" t="n">
        <v>6418.244017094017</v>
      </c>
      <c r="BV69" s="2" t="n">
        <v>7616.905042735043</v>
      </c>
      <c r="BW69" s="2" t="n">
        <v>38637.8778575641</v>
      </c>
      <c r="BX69" s="2" t="n">
        <v>8679.67</v>
      </c>
      <c r="BY69" s="2" t="n">
        <v>832.46</v>
      </c>
      <c r="BZ69" s="2" t="n">
        <v>5869.79</v>
      </c>
      <c r="CA69" s="2" t="n">
        <v>9512.130000000001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1243</v>
      </c>
      <c r="B70" t="inlineStr">
        <is>
          <t>Garbary 89, 61-757 Poznań</t>
        </is>
      </c>
      <c r="C70" t="inlineStr">
        <is>
          <t>Poznań Garbary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96.87</v>
      </c>
      <c r="L70" s="2" t="n">
        <v>8.063530555555555</v>
      </c>
      <c r="M70" s="2" t="n">
        <v>89.69444444444444</v>
      </c>
      <c r="N70" s="2" t="n">
        <v>0</v>
      </c>
      <c r="O70" s="2" t="n">
        <v>96.87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13127.87</v>
      </c>
      <c r="AD70" s="2" t="n">
        <v>850.880462962963</v>
      </c>
      <c r="AE70" s="2" t="n">
        <v>12155.43518518518</v>
      </c>
      <c r="AF70" s="2" t="n">
        <v>1421.66</v>
      </c>
      <c r="AG70" s="2" t="n">
        <v>11169.13</v>
      </c>
      <c r="AH70" s="2" t="n">
        <v>537.08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1994.92</v>
      </c>
      <c r="AP70" s="2" t="n">
        <v>155.1604444444444</v>
      </c>
      <c r="AQ70" s="2" t="n">
        <v>1847.148148148148</v>
      </c>
      <c r="AR70" s="2" t="n">
        <v>253.88</v>
      </c>
      <c r="AS70" s="2" t="n">
        <v>1675.66</v>
      </c>
      <c r="AT70" s="2" t="n">
        <v>65.38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15219.66</v>
      </c>
      <c r="BB70" s="2" t="n">
        <v>13544.12</v>
      </c>
      <c r="BC70" s="2">
        <f>F70+L70+R70+X70+AD70+AJ70+AP70+AV70+IF(BE70="",0,BE70)</f>
        <v/>
      </c>
      <c r="BD70" s="2" t="n">
        <v>208.579448</v>
      </c>
      <c r="BE70" s="2" t="n"/>
      <c r="BF70" s="2" t="n">
        <v>14092.27777777778</v>
      </c>
      <c r="BG70" s="2" t="n">
        <v>587.13</v>
      </c>
      <c r="BH70" s="2" t="n">
        <v>187</v>
      </c>
      <c r="BI70" s="2" t="n">
        <v>30040.16</v>
      </c>
      <c r="BJ70" s="2" t="n">
        <v>63.96905982905983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182.84562</v>
      </c>
      <c r="BQ70" s="2" t="n">
        <v>0</v>
      </c>
      <c r="BR70" s="2" t="n">
        <v>31086.10467982906</v>
      </c>
      <c r="BS70" s="2" t="n">
        <v>1198.661025641026</v>
      </c>
      <c r="BT70" s="2" t="n">
        <v>0</v>
      </c>
      <c r="BU70" s="2" t="n">
        <v>6420.384017094017</v>
      </c>
      <c r="BV70" s="2" t="n">
        <v>7619.045042735042</v>
      </c>
      <c r="BW70" s="2" t="n">
        <v>38705.1497225641</v>
      </c>
      <c r="BX70" s="2" t="n">
        <v>12941.66</v>
      </c>
      <c r="BY70" s="2" t="n">
        <v>602.46</v>
      </c>
      <c r="BZ70" s="2" t="n">
        <v>1675.54</v>
      </c>
      <c r="CA70" s="2" t="n">
        <v>13544.12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1244</v>
      </c>
      <c r="B71" t="inlineStr">
        <is>
          <t>Dworcowa 7, 62-200 Gniezno</t>
        </is>
      </c>
      <c r="C71" t="inlineStr">
        <is>
          <t>Gniezno</t>
        </is>
      </c>
      <c r="D71" t="inlineStr">
        <is>
          <t>FAA2000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10259.62</v>
      </c>
      <c r="L71" s="2" t="n">
        <v>854.0183685185184</v>
      </c>
      <c r="M71" s="2" t="n">
        <v>9499.648148148146</v>
      </c>
      <c r="N71" s="2" t="n">
        <v>1923.54</v>
      </c>
      <c r="O71" s="2" t="n">
        <v>7796.17</v>
      </c>
      <c r="P71" s="2" t="n">
        <v>539.91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13802.26</v>
      </c>
      <c r="AD71" s="2" t="n">
        <v>894.5909259259262</v>
      </c>
      <c r="AE71" s="2" t="n">
        <v>12779.87037037037</v>
      </c>
      <c r="AF71" s="2" t="n">
        <v>3370.62</v>
      </c>
      <c r="AG71" s="2" t="n">
        <v>9360.120000000001</v>
      </c>
      <c r="AH71" s="2" t="n">
        <v>1071.52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4761.2</v>
      </c>
      <c r="AP71" s="2" t="n">
        <v>370.3155555555555</v>
      </c>
      <c r="AQ71" s="2" t="n">
        <v>4408.518518518518</v>
      </c>
      <c r="AR71" s="2" t="n">
        <v>1398.44</v>
      </c>
      <c r="AS71" s="2" t="n">
        <v>3130.62</v>
      </c>
      <c r="AT71" s="2" t="n">
        <v>232.14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28823.08</v>
      </c>
      <c r="BB71" s="2" t="n">
        <v>22130.48</v>
      </c>
      <c r="BC71" s="2">
        <f>F71+L71+R71+X71+AD71+AJ71+AP71+AV71+IF(BE71="",0,BE71)</f>
        <v/>
      </c>
      <c r="BD71" s="2" t="n">
        <v>340.809392</v>
      </c>
      <c r="BE71" s="2" t="n"/>
      <c r="BF71" s="2" t="n">
        <v>26688.03703703704</v>
      </c>
      <c r="BG71" s="2" t="n">
        <v>0</v>
      </c>
      <c r="BH71" s="2" t="n">
        <v>0</v>
      </c>
      <c r="BI71" s="2" t="n">
        <v>30040.16</v>
      </c>
      <c r="BJ71" s="2" t="n">
        <v>63.96905982905983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298.76148</v>
      </c>
      <c r="BQ71" s="2" t="n">
        <v>0</v>
      </c>
      <c r="BR71" s="2" t="n">
        <v>30427.89053982906</v>
      </c>
      <c r="BS71" s="2" t="n">
        <v>1198.661025641026</v>
      </c>
      <c r="BT71" s="2" t="n">
        <v>0</v>
      </c>
      <c r="BU71" s="2" t="n">
        <v>6265.558017094017</v>
      </c>
      <c r="BV71" s="2" t="n">
        <v>7464.219042735042</v>
      </c>
      <c r="BW71" s="2" t="n">
        <v>37892.1095825641</v>
      </c>
      <c r="BX71" s="2" t="n">
        <v>20286.91</v>
      </c>
      <c r="BY71" s="2" t="n">
        <v>1843.57</v>
      </c>
      <c r="BZ71" s="2" t="n">
        <v>6692.6</v>
      </c>
      <c r="CA71" s="2" t="n">
        <v>22130.48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1245</v>
      </c>
      <c r="B72" t="inlineStr">
        <is>
          <t>Plac Dworcowy 1, 80-321 Gdańsk</t>
        </is>
      </c>
      <c r="C72" t="inlineStr">
        <is>
          <t>Gdańsk Oliwa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2867.59</v>
      </c>
      <c r="L72" s="2" t="n">
        <v>238.7003157407408</v>
      </c>
      <c r="M72" s="2" t="n">
        <v>2655.175925925926</v>
      </c>
      <c r="N72" s="2" t="n">
        <v>733.92</v>
      </c>
      <c r="O72" s="2" t="n">
        <v>1976.27</v>
      </c>
      <c r="P72" s="2" t="n">
        <v>157.4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3279.61</v>
      </c>
      <c r="AP72" s="2" t="n">
        <v>255.0807777777778</v>
      </c>
      <c r="AQ72" s="2" t="n">
        <v>3036.675925925926</v>
      </c>
      <c r="AR72" s="2" t="n">
        <v>754.74</v>
      </c>
      <c r="AS72" s="2" t="n">
        <v>2445.93</v>
      </c>
      <c r="AT72" s="2" t="n">
        <v>78.94</v>
      </c>
      <c r="AU72" s="2" t="n">
        <v>1125.65</v>
      </c>
      <c r="AV72" s="2" t="n">
        <v>44.81754629629629</v>
      </c>
      <c r="AW72" s="2" t="n">
        <v>1042.268518518518</v>
      </c>
      <c r="AX72" s="2" t="n">
        <v>415.1</v>
      </c>
      <c r="AY72" s="2" t="n">
        <v>696.35</v>
      </c>
      <c r="AZ72" s="2" t="n">
        <v>14.2</v>
      </c>
      <c r="BA72" s="2" t="n">
        <v>7272.85</v>
      </c>
      <c r="BB72" s="2" t="n">
        <v>5369.09</v>
      </c>
      <c r="BC72" s="2">
        <f>F72+L72+R72+X72+AD72+AJ72+AP72+AV72+IF(BE72="",0,BE72)</f>
        <v/>
      </c>
      <c r="BD72" s="2" t="n">
        <v>82.683986</v>
      </c>
      <c r="BE72" s="2" t="n"/>
      <c r="BF72" s="2" t="n">
        <v>6734.12037037037</v>
      </c>
      <c r="BG72" s="2" t="n">
        <v>0</v>
      </c>
      <c r="BH72" s="2" t="n">
        <v>0</v>
      </c>
      <c r="BI72" s="2" t="n">
        <v>30040.16</v>
      </c>
      <c r="BJ72" s="2" t="n">
        <v>63.96905982905983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72.482715</v>
      </c>
      <c r="BQ72" s="2" t="n">
        <v>0</v>
      </c>
      <c r="BR72" s="2" t="n">
        <v>30201.61177482906</v>
      </c>
      <c r="BS72" s="2" t="n">
        <v>1198.661025641026</v>
      </c>
      <c r="BT72" s="2" t="n">
        <v>0</v>
      </c>
      <c r="BU72" s="2" t="n">
        <v>6265.558017094017</v>
      </c>
      <c r="BV72" s="2" t="n">
        <v>7464.219042735042</v>
      </c>
      <c r="BW72" s="2" t="n">
        <v>37665.8308175641</v>
      </c>
      <c r="BX72" s="2" t="n">
        <v>5118.55</v>
      </c>
      <c r="BY72" s="2" t="n">
        <v>250.54</v>
      </c>
      <c r="BZ72" s="2" t="n">
        <v>1903.76</v>
      </c>
      <c r="CA72" s="2" t="n">
        <v>5369.09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1246</v>
      </c>
      <c r="B73" t="inlineStr">
        <is>
          <t>Dworcowa 1, 63-400 Ostrów Wlkp.</t>
        </is>
      </c>
      <c r="C73" t="inlineStr">
        <is>
          <t>Ostrów Wielkopolski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4116.79</v>
      </c>
      <c r="L73" s="2" t="n">
        <v>342.6846490740741</v>
      </c>
      <c r="M73" s="2" t="n">
        <v>3811.842592592592</v>
      </c>
      <c r="N73" s="2" t="n">
        <v>1711.31</v>
      </c>
      <c r="O73" s="2" t="n">
        <v>2327.28</v>
      </c>
      <c r="P73" s="2" t="n">
        <v>78.2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7735.46</v>
      </c>
      <c r="AD73" s="2" t="n">
        <v>501.3724074074074</v>
      </c>
      <c r="AE73" s="2" t="n">
        <v>7162.462962962963</v>
      </c>
      <c r="AF73" s="2" t="n">
        <v>2488.54</v>
      </c>
      <c r="AG73" s="2" t="n">
        <v>4959.8</v>
      </c>
      <c r="AH73" s="2" t="n">
        <v>287.12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7386.940000000001</v>
      </c>
      <c r="AP73" s="2" t="n">
        <v>574.5397777777778</v>
      </c>
      <c r="AQ73" s="2" t="n">
        <v>6839.759259259259</v>
      </c>
      <c r="AR73" s="2" t="n">
        <v>1789.6</v>
      </c>
      <c r="AS73" s="2" t="n">
        <v>5156.92</v>
      </c>
      <c r="AT73" s="2" t="n">
        <v>440.42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19239.19</v>
      </c>
      <c r="BB73" s="2" t="n">
        <v>13249.74</v>
      </c>
      <c r="BC73" s="2">
        <f>F73+L73+R73+X73+AD73+AJ73+AP73+AV73+IF(BE73="",0,BE73)</f>
        <v/>
      </c>
      <c r="BD73" s="2" t="n">
        <v>204.045996</v>
      </c>
      <c r="BE73" s="2" t="n"/>
      <c r="BF73" s="2" t="n">
        <v>17814.06481481481</v>
      </c>
      <c r="BG73" s="2" t="n">
        <v>0</v>
      </c>
      <c r="BH73" s="2" t="n">
        <v>0</v>
      </c>
      <c r="BI73" s="2" t="n">
        <v>30040.16</v>
      </c>
      <c r="BJ73" s="2" t="n">
        <v>63.96905982905983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178.87149</v>
      </c>
      <c r="BQ73" s="2" t="n">
        <v>0</v>
      </c>
      <c r="BR73" s="2" t="n">
        <v>30308.00054982906</v>
      </c>
      <c r="BS73" s="2" t="n">
        <v>1198.661025641026</v>
      </c>
      <c r="BT73" s="2" t="n">
        <v>0</v>
      </c>
      <c r="BU73" s="2" t="n">
        <v>6265.558017094017</v>
      </c>
      <c r="BV73" s="2" t="n">
        <v>7464.219042735042</v>
      </c>
      <c r="BW73" s="2" t="n">
        <v>37772.2195925641</v>
      </c>
      <c r="BX73" s="2" t="n">
        <v>12444</v>
      </c>
      <c r="BY73" s="2" t="n">
        <v>805.74</v>
      </c>
      <c r="BZ73" s="2" t="n">
        <v>5989.450000000001</v>
      </c>
      <c r="CA73" s="2" t="n">
        <v>13249.74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1247</v>
      </c>
      <c r="B74" t="inlineStr">
        <is>
          <t>Kujawska 1, 87-100 Toruń</t>
        </is>
      </c>
      <c r="C74" t="inlineStr">
        <is>
          <t>Toruń</t>
        </is>
      </c>
      <c r="D74" t="inlineStr">
        <is>
          <t>FAA2000</t>
        </is>
      </c>
      <c r="E74" s="2" t="n">
        <v>1006.91</v>
      </c>
      <c r="F74" s="2" t="n">
        <v>1100</v>
      </c>
      <c r="G74" s="2" t="n">
        <v>932.3240740740741</v>
      </c>
      <c r="H74" s="2" t="n">
        <v>362.16</v>
      </c>
      <c r="I74" s="2" t="n">
        <v>545.72</v>
      </c>
      <c r="J74" s="2" t="n">
        <v>99.03</v>
      </c>
      <c r="K74" s="2" t="n">
        <v>3273.38</v>
      </c>
      <c r="L74" s="2" t="n">
        <v>272.478575925926</v>
      </c>
      <c r="M74" s="2" t="n">
        <v>3030.907407407407</v>
      </c>
      <c r="N74" s="2" t="n">
        <v>766.87</v>
      </c>
      <c r="O74" s="2" t="n">
        <v>2423.32</v>
      </c>
      <c r="P74" s="2" t="n">
        <v>83.19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7948.76</v>
      </c>
      <c r="AP74" s="2" t="n">
        <v>618.2368888888889</v>
      </c>
      <c r="AQ74" s="2" t="n">
        <v>7359.962962962963</v>
      </c>
      <c r="AR74" s="2" t="n">
        <v>2213.23</v>
      </c>
      <c r="AS74" s="2" t="n">
        <v>5409.01</v>
      </c>
      <c r="AT74" s="2" t="n">
        <v>326.52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12229.05</v>
      </c>
      <c r="BB74" s="2" t="n">
        <v>8886.790000000001</v>
      </c>
      <c r="BC74" s="2">
        <f>F74+L74+R74+X74+AD74+AJ74+AP74+AV74+IF(BE74="",0,BE74)</f>
        <v/>
      </c>
      <c r="BD74" s="2" t="n">
        <v>136.856566</v>
      </c>
      <c r="BE74" s="2" t="n"/>
      <c r="BF74" s="2" t="n">
        <v>11323.19444444445</v>
      </c>
      <c r="BG74" s="2" t="n">
        <v>0</v>
      </c>
      <c r="BH74" s="2" t="n">
        <v>0</v>
      </c>
      <c r="BI74" s="2" t="n">
        <v>30040.16</v>
      </c>
      <c r="BJ74" s="2" t="n">
        <v>63.96905982905983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119.971665</v>
      </c>
      <c r="BQ74" s="2" t="n">
        <v>0</v>
      </c>
      <c r="BR74" s="2" t="n">
        <v>30249.10072482906</v>
      </c>
      <c r="BS74" s="2" t="n">
        <v>1198.661025641026</v>
      </c>
      <c r="BT74" s="2" t="n">
        <v>0</v>
      </c>
      <c r="BU74" s="2" t="n">
        <v>6265.558017094017</v>
      </c>
      <c r="BV74" s="2" t="n">
        <v>7464.219042735042</v>
      </c>
      <c r="BW74" s="2" t="n">
        <v>37713.3197675641</v>
      </c>
      <c r="BX74" s="2" t="n">
        <v>8378.049999999999</v>
      </c>
      <c r="BY74" s="2" t="n">
        <v>508.74</v>
      </c>
      <c r="BZ74" s="2" t="n">
        <v>3342.26</v>
      </c>
      <c r="CA74" s="2" t="n">
        <v>8886.789999999999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1249</v>
      </c>
      <c r="B75" t="inlineStr">
        <is>
          <t>Stefana Okrzei 65, 87-810 Włocławek</t>
        </is>
      </c>
      <c r="C75" t="inlineStr">
        <is>
          <t>Włocławek</t>
        </is>
      </c>
      <c r="D75" t="inlineStr">
        <is>
          <t>FAA2000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1480.71</v>
      </c>
      <c r="L75" s="2" t="n">
        <v>123.2553972222222</v>
      </c>
      <c r="M75" s="2" t="n">
        <v>1371.027777777778</v>
      </c>
      <c r="N75" s="2" t="n">
        <v>524.34</v>
      </c>
      <c r="O75" s="2" t="n">
        <v>749.51</v>
      </c>
      <c r="P75" s="2" t="n">
        <v>206.86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4057.59</v>
      </c>
      <c r="AP75" s="2" t="n">
        <v>315.5903333333334</v>
      </c>
      <c r="AQ75" s="2" t="n">
        <v>3757.027777777778</v>
      </c>
      <c r="AR75" s="2" t="n">
        <v>1194.31</v>
      </c>
      <c r="AS75" s="2" t="n">
        <v>2663.65</v>
      </c>
      <c r="AT75" s="2" t="n">
        <v>199.63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5538.3</v>
      </c>
      <c r="BB75" s="2" t="n">
        <v>3819.65</v>
      </c>
      <c r="BC75" s="2">
        <f>F75+L75+R75+X75+AD75+AJ75+AP75+AV75+IF(BE75="",0,BE75)</f>
        <v/>
      </c>
      <c r="BD75" s="2" t="n">
        <v>58.82261</v>
      </c>
      <c r="BE75" s="2" t="n"/>
      <c r="BF75" s="2" t="n">
        <v>5128.055555555556</v>
      </c>
      <c r="BG75" s="2" t="n">
        <v>694.8000000000001</v>
      </c>
      <c r="BH75" s="2" t="n">
        <v>106</v>
      </c>
      <c r="BI75" s="2" t="n">
        <v>30040.16</v>
      </c>
      <c r="BJ75" s="2" t="n">
        <v>63.96905982905983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51.565275</v>
      </c>
      <c r="BQ75" s="2" t="n">
        <v>0</v>
      </c>
      <c r="BR75" s="2" t="n">
        <v>30981.49433482906</v>
      </c>
      <c r="BS75" s="2" t="n">
        <v>1198.661025641026</v>
      </c>
      <c r="BT75" s="2" t="n">
        <v>0</v>
      </c>
      <c r="BU75" s="2" t="n">
        <v>6425.718017094017</v>
      </c>
      <c r="BV75" s="2" t="n">
        <v>7624.379042735043</v>
      </c>
      <c r="BW75" s="2" t="n">
        <v>38605.8733775641</v>
      </c>
      <c r="BX75" s="2" t="n">
        <v>3413.16</v>
      </c>
      <c r="BY75" s="2" t="n">
        <v>406.49</v>
      </c>
      <c r="BZ75" s="2" t="n">
        <v>1718.65</v>
      </c>
      <c r="CA75" s="2" t="n">
        <v>3819.65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1250</v>
      </c>
      <c r="B76" t="inlineStr">
        <is>
          <t>Kolejowa 3, 58-540 Karpacz</t>
        </is>
      </c>
      <c r="C76" t="inlineStr">
        <is>
          <t>Karpacz</t>
        </is>
      </c>
      <c r="D76" t="inlineStr">
        <is>
          <t>ST|40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14556.96</v>
      </c>
      <c r="R76" s="2" t="n">
        <v>2500</v>
      </c>
      <c r="S76" s="2" t="n">
        <v>13478.66666666667</v>
      </c>
      <c r="T76" s="2" t="n">
        <v>0</v>
      </c>
      <c r="U76" s="2" t="n">
        <v>12535.2</v>
      </c>
      <c r="V76" s="2" t="n">
        <v>2021.76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14556.96</v>
      </c>
      <c r="BB76" s="2" t="n">
        <v>14556.96</v>
      </c>
      <c r="BC76" s="2">
        <f>F76+L76+R76+X76+AD76+AJ76+AP76+AV76+IF(BE76="",0,BE76)</f>
        <v/>
      </c>
      <c r="BD76" s="2" t="n">
        <v>224.177184</v>
      </c>
      <c r="BE76" s="2" t="n"/>
      <c r="BF76" s="2" t="n">
        <v>13478.66666666667</v>
      </c>
      <c r="BG76" s="2" t="n">
        <v>0</v>
      </c>
      <c r="BH76" s="2" t="n">
        <v>0</v>
      </c>
      <c r="BI76" s="2" t="n">
        <v>30040.16</v>
      </c>
      <c r="BJ76" s="2" t="n">
        <v>63.96905982905983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196.51896</v>
      </c>
      <c r="BQ76" s="2" t="n">
        <v>0</v>
      </c>
      <c r="BR76" s="2" t="n">
        <v>30325.64801982906</v>
      </c>
      <c r="BS76" s="2" t="n">
        <v>1198.661025641026</v>
      </c>
      <c r="BT76" s="2" t="n">
        <v>0</v>
      </c>
      <c r="BU76" s="2" t="n">
        <v>6265.558017094017</v>
      </c>
      <c r="BV76" s="2" t="n">
        <v>7464.219042735042</v>
      </c>
      <c r="BW76" s="2" t="n">
        <v>37789.8670625641</v>
      </c>
      <c r="BX76" s="2" t="n">
        <v>12535.2</v>
      </c>
      <c r="BY76" s="2" t="n">
        <v>2021.76</v>
      </c>
      <c r="BZ76" s="2" t="n">
        <v>0</v>
      </c>
      <c r="CA76" s="2" t="n">
        <v>14556.96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5503.84</v>
      </c>
      <c r="L77" s="2" t="n">
        <v>458.1437185185185</v>
      </c>
      <c r="M77" s="2" t="n">
        <v>5096.148148148148</v>
      </c>
      <c r="N77" s="2" t="n">
        <v>1763.21</v>
      </c>
      <c r="O77" s="2" t="n">
        <v>3740.63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10783.13</v>
      </c>
      <c r="AP77" s="2" t="n">
        <v>838.6878888888888</v>
      </c>
      <c r="AQ77" s="2" t="n">
        <v>9984.379629629628</v>
      </c>
      <c r="AR77" s="2" t="n">
        <v>3231.97</v>
      </c>
      <c r="AS77" s="2" t="n">
        <v>7551.16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16286.97</v>
      </c>
      <c r="BB77" s="2" t="n">
        <v>11291.79</v>
      </c>
      <c r="BC77" s="2">
        <f>F77+L77+R77+X77+AD77+AJ77+AP77+AV77+IF(BE77="",0,BE77)</f>
        <v/>
      </c>
      <c r="BD77" s="2" t="n">
        <v>173.893566</v>
      </c>
      <c r="BE77" s="2" t="n"/>
      <c r="BF77" s="2" t="n">
        <v>15080.52777777778</v>
      </c>
      <c r="BG77" s="2" t="n">
        <v>0</v>
      </c>
      <c r="BH77" s="2" t="n">
        <v>0</v>
      </c>
      <c r="BI77" s="2" t="n">
        <v>30040.16</v>
      </c>
      <c r="BJ77" s="2" t="n">
        <v>63.96905982905983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152.439165</v>
      </c>
      <c r="BQ77" s="2" t="n">
        <v>0</v>
      </c>
      <c r="BR77" s="2" t="n">
        <v>30281.56822482906</v>
      </c>
      <c r="BS77" s="2" t="n">
        <v>1198.661025641026</v>
      </c>
      <c r="BT77" s="2" t="n">
        <v>0</v>
      </c>
      <c r="BU77" s="2" t="n">
        <v>6265.558017094017</v>
      </c>
      <c r="BV77" s="2" t="n">
        <v>7464.219042735042</v>
      </c>
      <c r="BW77" s="2" t="n">
        <v>37745.7872675641</v>
      </c>
      <c r="BX77" s="2" t="n">
        <v>11291.79</v>
      </c>
      <c r="BY77" s="2" t="n">
        <v>0</v>
      </c>
      <c r="BZ77" s="2" t="n">
        <v>4995.18</v>
      </c>
      <c r="CA77" s="2" t="n">
        <v>11291.79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1254</v>
      </c>
      <c r="B78" t="inlineStr">
        <is>
          <t>Stacyjna 5, 53-600 Wrocław</t>
        </is>
      </c>
      <c r="C78" t="inlineStr">
        <is>
          <t>Wrocław Mikołajów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2723.24</v>
      </c>
      <c r="L78" s="2" t="n">
        <v>226.6845148148149</v>
      </c>
      <c r="M78" s="2" t="n">
        <v>2521.518518518519</v>
      </c>
      <c r="N78" s="2" t="n">
        <v>1001.56</v>
      </c>
      <c r="O78" s="2" t="n">
        <v>1681.38</v>
      </c>
      <c r="P78" s="2" t="n">
        <v>40.3</v>
      </c>
      <c r="Q78" s="2" t="n">
        <v>10855.22</v>
      </c>
      <c r="R78" s="2" t="n">
        <v>1600</v>
      </c>
      <c r="S78" s="2" t="n">
        <v>10051.12962962963</v>
      </c>
      <c r="T78" s="2" t="n">
        <v>1961.12</v>
      </c>
      <c r="U78" s="2" t="n">
        <v>8602.120000000001</v>
      </c>
      <c r="V78" s="2" t="n">
        <v>291.98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7374.89</v>
      </c>
      <c r="AP78" s="2" t="n">
        <v>573.6025555555556</v>
      </c>
      <c r="AQ78" s="2" t="n">
        <v>6828.601851851851</v>
      </c>
      <c r="AR78" s="2" t="n">
        <v>1668.76</v>
      </c>
      <c r="AS78" s="2" t="n">
        <v>5411.57</v>
      </c>
      <c r="AT78" s="2" t="n">
        <v>294.56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20953.35</v>
      </c>
      <c r="BB78" s="2" t="n">
        <v>16321.91</v>
      </c>
      <c r="BC78" s="2">
        <f>F78+L78+R78+X78+AD78+AJ78+AP78+AV78+IF(BE78="",0,BE78)</f>
        <v/>
      </c>
      <c r="BD78" s="2" t="n">
        <v>251.357414</v>
      </c>
      <c r="BE78" s="2" t="n"/>
      <c r="BF78" s="2" t="n">
        <v>19401.25</v>
      </c>
      <c r="BG78" s="2" t="n">
        <v>0</v>
      </c>
      <c r="BH78" s="2" t="n">
        <v>0</v>
      </c>
      <c r="BI78" s="2" t="n">
        <v>30040.16</v>
      </c>
      <c r="BJ78" s="2" t="n">
        <v>63.96905982905983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220.345785</v>
      </c>
      <c r="BQ78" s="2" t="n">
        <v>0</v>
      </c>
      <c r="BR78" s="2" t="n">
        <v>30349.47484482906</v>
      </c>
      <c r="BS78" s="2" t="n">
        <v>1198.661025641026</v>
      </c>
      <c r="BT78" s="2" t="n">
        <v>0</v>
      </c>
      <c r="BU78" s="2" t="n">
        <v>6265.558017094017</v>
      </c>
      <c r="BV78" s="2" t="n">
        <v>7464.219042735042</v>
      </c>
      <c r="BW78" s="2" t="n">
        <v>37813.6938875641</v>
      </c>
      <c r="BX78" s="2" t="n">
        <v>15695.07</v>
      </c>
      <c r="BY78" s="2" t="n">
        <v>626.84</v>
      </c>
      <c r="BZ78" s="2" t="n">
        <v>4631.44</v>
      </c>
      <c r="CA78" s="2" t="n">
        <v>16321.91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1256</v>
      </c>
      <c r="B79" t="inlineStr">
        <is>
          <t>Dworcowa 2, 61-801 Poznań</t>
        </is>
      </c>
      <c r="C79" t="inlineStr">
        <is>
          <t>Poznań Główny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1704.78</v>
      </c>
      <c r="L79" s="2" t="n">
        <v>141.90715</v>
      </c>
      <c r="M79" s="2" t="n">
        <v>1578.5</v>
      </c>
      <c r="N79" s="2" t="n">
        <v>216.32</v>
      </c>
      <c r="O79" s="2" t="n">
        <v>1439.46</v>
      </c>
      <c r="P79" s="2" t="n">
        <v>49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3378.25</v>
      </c>
      <c r="AD79" s="2" t="n">
        <v>218.9606481481482</v>
      </c>
      <c r="AE79" s="2" t="n">
        <v>3128.009259259259</v>
      </c>
      <c r="AF79" s="2" t="n">
        <v>816.1</v>
      </c>
      <c r="AG79" s="2" t="n">
        <v>2384.12</v>
      </c>
      <c r="AH79" s="2" t="n">
        <v>178.03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1188.82</v>
      </c>
      <c r="AP79" s="2" t="n">
        <v>92.46377777777778</v>
      </c>
      <c r="AQ79" s="2" t="n">
        <v>1100.759259259259</v>
      </c>
      <c r="AR79" s="2" t="n">
        <v>243.99</v>
      </c>
      <c r="AS79" s="2" t="n">
        <v>779.8099999999999</v>
      </c>
      <c r="AT79" s="2" t="n">
        <v>165.02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6271.849999999999</v>
      </c>
      <c r="BB79" s="2" t="n">
        <v>4995.440000000001</v>
      </c>
      <c r="BC79" s="2">
        <f>F79+L79+R79+X79+AD79+AJ79+AP79+AV79+IF(BE79="",0,BE79)</f>
        <v/>
      </c>
      <c r="BD79" s="2" t="n">
        <v>76.929776</v>
      </c>
      <c r="BE79" s="2" t="n"/>
      <c r="BF79" s="2" t="n">
        <v>5807.268518518518</v>
      </c>
      <c r="BG79" s="2" t="n">
        <v>0</v>
      </c>
      <c r="BH79" s="2" t="n">
        <v>0</v>
      </c>
      <c r="BI79" s="2" t="n">
        <v>30040.16</v>
      </c>
      <c r="BJ79" s="2" t="n">
        <v>63.96905982905983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67.43844</v>
      </c>
      <c r="BQ79" s="2" t="n">
        <v>0</v>
      </c>
      <c r="BR79" s="2" t="n">
        <v>30196.56749982906</v>
      </c>
      <c r="BS79" s="2" t="n">
        <v>1198.661025641026</v>
      </c>
      <c r="BT79" s="2" t="n">
        <v>0</v>
      </c>
      <c r="BU79" s="2" t="n">
        <v>6265.558017094017</v>
      </c>
      <c r="BV79" s="2" t="n">
        <v>7464.219042735042</v>
      </c>
      <c r="BW79" s="2" t="n">
        <v>37660.7865425641</v>
      </c>
      <c r="BX79" s="2" t="n">
        <v>4603.389999999999</v>
      </c>
      <c r="BY79" s="2" t="n">
        <v>392.05</v>
      </c>
      <c r="BZ79" s="2" t="n">
        <v>1276.41</v>
      </c>
      <c r="CA79" s="2" t="n">
        <v>4995.44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1257</v>
      </c>
      <c r="B80" t="inlineStr">
        <is>
          <t>Dworcowa 2, 61-801 Poznań</t>
        </is>
      </c>
      <c r="C80" t="inlineStr">
        <is>
          <t>Poznań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2564.82</v>
      </c>
      <c r="L80" s="2" t="n">
        <v>213.4975166666667</v>
      </c>
      <c r="M80" s="2" t="n">
        <v>2374.833333333333</v>
      </c>
      <c r="N80" s="2" t="n">
        <v>1388.81</v>
      </c>
      <c r="O80" s="2" t="n">
        <v>1176.01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4154.18</v>
      </c>
      <c r="AD80" s="2" t="n">
        <v>269.2524074074074</v>
      </c>
      <c r="AE80" s="2" t="n">
        <v>3846.462962962963</v>
      </c>
      <c r="AF80" s="2" t="n">
        <v>1454.73</v>
      </c>
      <c r="AG80" s="2" t="n">
        <v>2699.45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1599.08</v>
      </c>
      <c r="AP80" s="2" t="n">
        <v>124.3728888888889</v>
      </c>
      <c r="AQ80" s="2" t="n">
        <v>1480.62962962963</v>
      </c>
      <c r="AR80" s="2" t="n">
        <v>380.21</v>
      </c>
      <c r="AS80" s="2" t="n">
        <v>1218.87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8318.08</v>
      </c>
      <c r="BB80" s="2" t="n">
        <v>5094.33</v>
      </c>
      <c r="BC80" s="2">
        <f>F80+L80+R80+X80+AD80+AJ80+AP80+AV80+IF(BE80="",0,BE80)</f>
        <v/>
      </c>
      <c r="BD80" s="2" t="n">
        <v>78.452682</v>
      </c>
      <c r="BE80" s="2" t="n"/>
      <c r="BF80" s="2" t="n">
        <v>7701.925925925925</v>
      </c>
      <c r="BG80" s="2" t="n">
        <v>0</v>
      </c>
      <c r="BH80" s="2" t="n">
        <v>0</v>
      </c>
      <c r="BI80" s="2" t="n">
        <v>30040.16</v>
      </c>
      <c r="BJ80" s="2" t="n">
        <v>63.96905982905983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68.773455</v>
      </c>
      <c r="BQ80" s="2" t="n">
        <v>0</v>
      </c>
      <c r="BR80" s="2" t="n">
        <v>30197.90251482906</v>
      </c>
      <c r="BS80" s="2" t="n">
        <v>1198.661025641026</v>
      </c>
      <c r="BT80" s="2" t="n">
        <v>0</v>
      </c>
      <c r="BU80" s="2" t="n">
        <v>6265.558017094017</v>
      </c>
      <c r="BV80" s="2" t="n">
        <v>7464.219042735042</v>
      </c>
      <c r="BW80" s="2" t="n">
        <v>37662.1215575641</v>
      </c>
      <c r="BX80" s="2" t="n">
        <v>5094.33</v>
      </c>
      <c r="BY80" s="2" t="n">
        <v>0</v>
      </c>
      <c r="BZ80" s="2" t="n">
        <v>3223.75</v>
      </c>
      <c r="CA80" s="2" t="n">
        <v>5094.33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1259</v>
      </c>
      <c r="B81" t="inlineStr">
        <is>
          <t>Kolejowa 4, 64-020 Czempin</t>
        </is>
      </c>
      <c r="C81" t="inlineStr">
        <is>
          <t>Czempiń</t>
        </is>
      </c>
      <c r="D81" t="inlineStr">
        <is>
          <t>ST|40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2573.46</v>
      </c>
      <c r="AD81" s="2" t="n">
        <v>166.7983333333333</v>
      </c>
      <c r="AE81" s="2" t="n">
        <v>2382.833333333333</v>
      </c>
      <c r="AF81" s="2" t="n">
        <v>751.08</v>
      </c>
      <c r="AG81" s="2" t="n">
        <v>1562.25</v>
      </c>
      <c r="AH81" s="2" t="n">
        <v>260.13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1651.46</v>
      </c>
      <c r="AP81" s="2" t="n">
        <v>128.4468888888889</v>
      </c>
      <c r="AQ81" s="2" t="n">
        <v>1529.12962962963</v>
      </c>
      <c r="AR81" s="2" t="n">
        <v>385.91</v>
      </c>
      <c r="AS81" s="2" t="n">
        <v>1232.33</v>
      </c>
      <c r="AT81" s="2" t="n">
        <v>33.22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4224.92</v>
      </c>
      <c r="BB81" s="2" t="n">
        <v>3087.93</v>
      </c>
      <c r="BC81" s="2">
        <f>F81+L81+R81+X81+AD81+AJ81+AP81+AV81+IF(BE81="",0,BE81)</f>
        <v/>
      </c>
      <c r="BD81" s="2" t="n">
        <v>47.55412200000001</v>
      </c>
      <c r="BE81" s="2" t="n"/>
      <c r="BF81" s="2" t="n">
        <v>3911.962962962963</v>
      </c>
      <c r="BG81" s="2" t="n">
        <v>0</v>
      </c>
      <c r="BH81" s="2" t="n">
        <v>0</v>
      </c>
      <c r="BI81" s="2" t="n">
        <v>30040.16</v>
      </c>
      <c r="BJ81" s="2" t="n">
        <v>63.96905982905983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41.687055</v>
      </c>
      <c r="BQ81" s="2" t="n">
        <v>0</v>
      </c>
      <c r="BR81" s="2" t="n">
        <v>30170.81611482906</v>
      </c>
      <c r="BS81" s="2" t="n">
        <v>1198.661025641026</v>
      </c>
      <c r="BT81" s="2" t="n">
        <v>0</v>
      </c>
      <c r="BU81" s="2" t="n">
        <v>6265.558017094017</v>
      </c>
      <c r="BV81" s="2" t="n">
        <v>7464.219042735042</v>
      </c>
      <c r="BW81" s="2" t="n">
        <v>37635.0351575641</v>
      </c>
      <c r="BX81" s="2" t="n">
        <v>2794.58</v>
      </c>
      <c r="BY81" s="2" t="n">
        <v>293.35</v>
      </c>
      <c r="BZ81" s="2" t="n">
        <v>1136.99</v>
      </c>
      <c r="CA81" s="2" t="n">
        <v>3087.93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1261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11864.26</v>
      </c>
      <c r="L82" s="2" t="n">
        <v>987.5897907407408</v>
      </c>
      <c r="M82" s="2" t="n">
        <v>10985.42592592593</v>
      </c>
      <c r="N82" s="2" t="n">
        <v>2164.76</v>
      </c>
      <c r="O82" s="2" t="n">
        <v>8815.42</v>
      </c>
      <c r="P82" s="2" t="n">
        <v>884.08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11776.25</v>
      </c>
      <c r="X82" s="2" t="n">
        <v>880</v>
      </c>
      <c r="Y82" s="2" t="n">
        <v>10903.93518518518</v>
      </c>
      <c r="Z82" s="2" t="n">
        <v>1003.49</v>
      </c>
      <c r="AA82" s="2" t="n">
        <v>10463.83</v>
      </c>
      <c r="AB82" s="2" t="n">
        <v>308.93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4921.52</v>
      </c>
      <c r="AP82" s="2" t="n">
        <v>382.7848888888889</v>
      </c>
      <c r="AQ82" s="2" t="n">
        <v>4556.962962962963</v>
      </c>
      <c r="AR82" s="2" t="n">
        <v>1209.61</v>
      </c>
      <c r="AS82" s="2" t="n">
        <v>3631.54</v>
      </c>
      <c r="AT82" s="2" t="n">
        <v>80.37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28562.03</v>
      </c>
      <c r="BB82" s="2" t="n">
        <v>24184.17</v>
      </c>
      <c r="BC82" s="2">
        <f>F82+L82+R82+X82+AD82+AJ82+AP82+AV82+IF(BE82="",0,BE82)</f>
        <v/>
      </c>
      <c r="BD82" s="2" t="n">
        <v>351.967974</v>
      </c>
      <c r="BE82" s="2" t="n"/>
      <c r="BF82" s="2" t="n">
        <v>26446.32407407407</v>
      </c>
      <c r="BG82" s="2" t="n">
        <v>0</v>
      </c>
      <c r="BH82" s="2" t="n">
        <v>0</v>
      </c>
      <c r="BI82" s="2" t="n">
        <v>30040.16</v>
      </c>
      <c r="BJ82" s="2" t="n">
        <v>63.96905982905983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326.486295</v>
      </c>
      <c r="BQ82" s="2" t="n">
        <v>0</v>
      </c>
      <c r="BR82" s="2" t="n">
        <v>30455.61535482906</v>
      </c>
      <c r="BS82" s="2" t="n">
        <v>1198.661025641026</v>
      </c>
      <c r="BT82" s="2" t="n">
        <v>0</v>
      </c>
      <c r="BU82" s="2" t="n">
        <v>6265.558017094017</v>
      </c>
      <c r="BV82" s="2" t="n">
        <v>7464.219042735042</v>
      </c>
      <c r="BW82" s="2" t="n">
        <v>37919.8343975641</v>
      </c>
      <c r="BX82" s="2" t="n">
        <v>22910.79</v>
      </c>
      <c r="BY82" s="2" t="n">
        <v>1273.38</v>
      </c>
      <c r="BZ82" s="2" t="n">
        <v>4377.86</v>
      </c>
      <c r="CA82" s="2" t="n">
        <v>24184.17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1262</v>
      </c>
      <c r="B83" t="inlineStr">
        <is>
          <t>Pawia 5a, 31-154 Kraków</t>
        </is>
      </c>
      <c r="C83" t="inlineStr">
        <is>
          <t>Kraków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10414.68</v>
      </c>
      <c r="L83" s="2" t="n">
        <v>866.9256777777778</v>
      </c>
      <c r="M83" s="2" t="n">
        <v>9643.222222222221</v>
      </c>
      <c r="N83" s="2" t="n">
        <v>1631.64</v>
      </c>
      <c r="O83" s="2" t="n">
        <v>8546.129999999999</v>
      </c>
      <c r="P83" s="2" t="n">
        <v>236.91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11287.68</v>
      </c>
      <c r="X83" s="2" t="n">
        <v>880</v>
      </c>
      <c r="Y83" s="2" t="n">
        <v>10451.55555555555</v>
      </c>
      <c r="Z83" s="2" t="n">
        <v>1857.15</v>
      </c>
      <c r="AA83" s="2" t="n">
        <v>9166.459999999999</v>
      </c>
      <c r="AB83" s="2" t="n">
        <v>264.07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5533.690000000001</v>
      </c>
      <c r="AP83" s="2" t="n">
        <v>430.3981111111112</v>
      </c>
      <c r="AQ83" s="2" t="n">
        <v>5123.787037037037</v>
      </c>
      <c r="AR83" s="2" t="n">
        <v>1304.78</v>
      </c>
      <c r="AS83" s="2" t="n">
        <v>4093.6</v>
      </c>
      <c r="AT83" s="2" t="n">
        <v>135.31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27236.05</v>
      </c>
      <c r="BB83" s="2" t="n">
        <v>22442.48</v>
      </c>
      <c r="BC83" s="2">
        <f>F83+L83+R83+X83+AD83+AJ83+AP83+AV83+IF(BE83="",0,BE83)</f>
        <v/>
      </c>
      <c r="BD83" s="2" t="n">
        <v>327.696185</v>
      </c>
      <c r="BE83" s="2" t="n"/>
      <c r="BF83" s="2" t="n">
        <v>25218.56481481481</v>
      </c>
      <c r="BG83" s="2" t="n">
        <v>0</v>
      </c>
      <c r="BH83" s="2" t="n">
        <v>0</v>
      </c>
      <c r="BI83" s="2" t="n">
        <v>30040.16</v>
      </c>
      <c r="BJ83" s="2" t="n">
        <v>63.96905982905983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302.9734799999999</v>
      </c>
      <c r="BQ83" s="2" t="n">
        <v>0</v>
      </c>
      <c r="BR83" s="2" t="n">
        <v>30432.10253982906</v>
      </c>
      <c r="BS83" s="2" t="n">
        <v>1198.661025641026</v>
      </c>
      <c r="BT83" s="2" t="n">
        <v>0</v>
      </c>
      <c r="BU83" s="2" t="n">
        <v>6265.558017094017</v>
      </c>
      <c r="BV83" s="2" t="n">
        <v>7464.219042735042</v>
      </c>
      <c r="BW83" s="2" t="n">
        <v>37896.3215825641</v>
      </c>
      <c r="BX83" s="2" t="n">
        <v>21806.19</v>
      </c>
      <c r="BY83" s="2" t="n">
        <v>636.29</v>
      </c>
      <c r="BZ83" s="2" t="n">
        <v>4793.57</v>
      </c>
      <c r="CA83" s="2" t="n">
        <v>22442.48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1263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51644.52</v>
      </c>
      <c r="L84" s="2" t="n">
        <v>4298.9281</v>
      </c>
      <c r="M84" s="2" t="n">
        <v>47819</v>
      </c>
      <c r="N84" s="2" t="n">
        <v>6611.64</v>
      </c>
      <c r="O84" s="2" t="n">
        <v>43634.23</v>
      </c>
      <c r="P84" s="2" t="n">
        <v>1398.65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72205.09000000001</v>
      </c>
      <c r="X84" s="2" t="n">
        <v>880</v>
      </c>
      <c r="Y84" s="2" t="n">
        <v>66856.56481481482</v>
      </c>
      <c r="Z84" s="2" t="n">
        <v>5307.42</v>
      </c>
      <c r="AA84" s="2" t="n">
        <v>65583.82000000001</v>
      </c>
      <c r="AB84" s="2" t="n">
        <v>1313.85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19731.26</v>
      </c>
      <c r="AP84" s="2" t="n">
        <v>1534.653555555556</v>
      </c>
      <c r="AQ84" s="2" t="n">
        <v>18269.68518518519</v>
      </c>
      <c r="AR84" s="2" t="n">
        <v>1989.5</v>
      </c>
      <c r="AS84" s="2" t="n">
        <v>16883.18</v>
      </c>
      <c r="AT84" s="2" t="n">
        <v>858.58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143580.87</v>
      </c>
      <c r="BB84" s="2" t="n">
        <v>129672.31</v>
      </c>
      <c r="BC84" s="2">
        <f>F84+L84+R84+X84+AD84+AJ84+AP84+AV84+IF(BE84="",0,BE84)</f>
        <v/>
      </c>
      <c r="BD84" s="2" t="n">
        <v>1869.848001</v>
      </c>
      <c r="BE84" s="2" t="n"/>
      <c r="BF84" s="2" t="n">
        <v>132945.25</v>
      </c>
      <c r="BG84" s="2" t="n">
        <v>0</v>
      </c>
      <c r="BH84" s="2" t="n">
        <v>0</v>
      </c>
      <c r="BI84" s="2" t="n">
        <v>30040.16</v>
      </c>
      <c r="BJ84" s="2" t="n">
        <v>63.96905982905983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1750.576185</v>
      </c>
      <c r="BQ84" s="2" t="n">
        <v>0</v>
      </c>
      <c r="BR84" s="2" t="n">
        <v>31879.70524482906</v>
      </c>
      <c r="BS84" s="2" t="n">
        <v>1198.661025641026</v>
      </c>
      <c r="BT84" s="2" t="n">
        <v>0</v>
      </c>
      <c r="BU84" s="2" t="n">
        <v>6265.558017094017</v>
      </c>
      <c r="BV84" s="2" t="n">
        <v>7464.219042735042</v>
      </c>
      <c r="BW84" s="2" t="n">
        <v>39343.9242875641</v>
      </c>
      <c r="BX84" s="2" t="n">
        <v>126101.23</v>
      </c>
      <c r="BY84" s="2" t="n">
        <v>3571.08</v>
      </c>
      <c r="BZ84" s="2" t="n">
        <v>13908.56</v>
      </c>
      <c r="CA84" s="2" t="n">
        <v>129672.31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1264</v>
      </c>
      <c r="B85" t="inlineStr">
        <is>
          <t>Dworcowa 1, 66-400 Gorzów Wlkp</t>
        </is>
      </c>
      <c r="C85" t="inlineStr">
        <is>
          <t>Gorzów Wielkopolski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1428.94</v>
      </c>
      <c r="L85" s="2" t="n">
        <v>118.9460240740741</v>
      </c>
      <c r="M85" s="2" t="n">
        <v>1323.092592592593</v>
      </c>
      <c r="N85" s="2" t="n">
        <v>361.39</v>
      </c>
      <c r="O85" s="2" t="n">
        <v>1012.37</v>
      </c>
      <c r="P85" s="2" t="n">
        <v>55.18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7665.32</v>
      </c>
      <c r="AP85" s="2" t="n">
        <v>596.1915555555555</v>
      </c>
      <c r="AQ85" s="2" t="n">
        <v>7097.518518518517</v>
      </c>
      <c r="AR85" s="2" t="n">
        <v>2245.73</v>
      </c>
      <c r="AS85" s="2" t="n">
        <v>4788.19</v>
      </c>
      <c r="AT85" s="2" t="n">
        <v>631.4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9094.26</v>
      </c>
      <c r="BB85" s="2" t="n">
        <v>6487.139999999999</v>
      </c>
      <c r="BC85" s="2">
        <f>F85+L85+R85+X85+AD85+AJ85+AP85+AV85+IF(BE85="",0,BE85)</f>
        <v/>
      </c>
      <c r="BD85" s="2" t="n">
        <v>99.90195599999998</v>
      </c>
      <c r="BE85" s="2" t="n"/>
      <c r="BF85" s="2" t="n">
        <v>8420.611111111109</v>
      </c>
      <c r="BG85" s="2" t="n">
        <v>366.96</v>
      </c>
      <c r="BH85" s="2" t="n">
        <v>261</v>
      </c>
      <c r="BI85" s="2" t="n">
        <v>30040.16</v>
      </c>
      <c r="BJ85" s="2" t="n">
        <v>63.96905982905983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87.57638999999999</v>
      </c>
      <c r="BQ85" s="2" t="n">
        <v>0</v>
      </c>
      <c r="BR85" s="2" t="n">
        <v>30844.66544982906</v>
      </c>
      <c r="BS85" s="2" t="n">
        <v>1198.661025641026</v>
      </c>
      <c r="BT85" s="2" t="n">
        <v>0</v>
      </c>
      <c r="BU85" s="2" t="n">
        <v>6391.150017094017</v>
      </c>
      <c r="BV85" s="2" t="n">
        <v>7589.811042735043</v>
      </c>
      <c r="BW85" s="2" t="n">
        <v>38434.4764925641</v>
      </c>
      <c r="BX85" s="2" t="n">
        <v>5800.559999999999</v>
      </c>
      <c r="BY85" s="2" t="n">
        <v>686.5799999999999</v>
      </c>
      <c r="BZ85" s="2" t="n">
        <v>2607.12</v>
      </c>
      <c r="CA85" s="2" t="n">
        <v>6487.139999999999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1265</v>
      </c>
      <c r="B86" t="inlineStr">
        <is>
          <t>pl. Kolejarza 1, 65-024 Zielona Góra</t>
        </is>
      </c>
      <c r="C86" t="inlineStr">
        <is>
          <t>Zielona Góra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2608.7</v>
      </c>
      <c r="L86" s="2" t="n">
        <v>217.1501203703704</v>
      </c>
      <c r="M86" s="2" t="n">
        <v>2415.462962962963</v>
      </c>
      <c r="N86" s="2" t="n">
        <v>904.17</v>
      </c>
      <c r="O86" s="2" t="n">
        <v>940.67</v>
      </c>
      <c r="P86" s="2" t="n">
        <v>763.86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4608.740000000001</v>
      </c>
      <c r="AP86" s="2" t="n">
        <v>358.4575555555556</v>
      </c>
      <c r="AQ86" s="2" t="n">
        <v>4267.351851851852</v>
      </c>
      <c r="AR86" s="2" t="n">
        <v>2757.96</v>
      </c>
      <c r="AS86" s="2" t="n">
        <v>1361.43</v>
      </c>
      <c r="AT86" s="2" t="n">
        <v>489.35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7217.440000000001</v>
      </c>
      <c r="BB86" s="2" t="n">
        <v>3555.31</v>
      </c>
      <c r="BC86" s="2">
        <f>F86+L86+R86+X86+AD86+AJ86+AP86+AV86+IF(BE86="",0,BE86)</f>
        <v/>
      </c>
      <c r="BD86" s="2" t="n">
        <v>54.751774</v>
      </c>
      <c r="BE86" s="2" t="n"/>
      <c r="BF86" s="2" t="n">
        <v>6682.814814814815</v>
      </c>
      <c r="BG86" s="2" t="n">
        <v>366.96</v>
      </c>
      <c r="BH86" s="2" t="n">
        <v>159</v>
      </c>
      <c r="BI86" s="2" t="n">
        <v>30040.16</v>
      </c>
      <c r="BJ86" s="2" t="n">
        <v>63.96905982905983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47.996685</v>
      </c>
      <c r="BQ86" s="2" t="n">
        <v>0</v>
      </c>
      <c r="BR86" s="2" t="n">
        <v>30703.08574482906</v>
      </c>
      <c r="BS86" s="2" t="n">
        <v>1198.661025641026</v>
      </c>
      <c r="BT86" s="2" t="n">
        <v>0</v>
      </c>
      <c r="BU86" s="2" t="n">
        <v>6370.750017094017</v>
      </c>
      <c r="BV86" s="2" t="n">
        <v>7569.411042735043</v>
      </c>
      <c r="BW86" s="2" t="n">
        <v>38272.4967875641</v>
      </c>
      <c r="BX86" s="2" t="n">
        <v>2302.1</v>
      </c>
      <c r="BY86" s="2" t="n">
        <v>1253.21</v>
      </c>
      <c r="BZ86" s="2" t="n">
        <v>3662.13</v>
      </c>
      <c r="CA86" s="2" t="n">
        <v>3555.31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1266</v>
      </c>
      <c r="B87" t="inlineStr">
        <is>
          <t>Dworcowa 1, 64-100 Leszno</t>
        </is>
      </c>
      <c r="C87" t="inlineStr">
        <is>
          <t>Leszno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6052.53</v>
      </c>
      <c r="L87" s="2" t="n">
        <v>503.8170805555555</v>
      </c>
      <c r="M87" s="2" t="n">
        <v>5604.194444444443</v>
      </c>
      <c r="N87" s="2" t="n">
        <v>0</v>
      </c>
      <c r="O87" s="2" t="n">
        <v>5418.92</v>
      </c>
      <c r="P87" s="2" t="n">
        <v>633.61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5406.39</v>
      </c>
      <c r="AD87" s="2" t="n">
        <v>350.4141666666667</v>
      </c>
      <c r="AE87" s="2" t="n">
        <v>5005.916666666667</v>
      </c>
      <c r="AF87" s="2" t="n">
        <v>0</v>
      </c>
      <c r="AG87" s="2" t="n">
        <v>5036.75</v>
      </c>
      <c r="AH87" s="2" t="n">
        <v>369.64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3614.7</v>
      </c>
      <c r="AP87" s="2" t="n">
        <v>281.1433333333333</v>
      </c>
      <c r="AQ87" s="2" t="n">
        <v>3346.944444444444</v>
      </c>
      <c r="AR87" s="2" t="n">
        <v>0</v>
      </c>
      <c r="AS87" s="2" t="n">
        <v>3390.37</v>
      </c>
      <c r="AT87" s="2" t="n">
        <v>224.33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15073.62</v>
      </c>
      <c r="BB87" s="2" t="n">
        <v>15073.62</v>
      </c>
      <c r="BC87" s="2">
        <f>F87+L87+R87+X87+AD87+AJ87+AP87+AV87+IF(BE87="",0,BE87)</f>
        <v/>
      </c>
      <c r="BD87" s="2" t="n">
        <v>232.133748</v>
      </c>
      <c r="BE87" s="2" t="n"/>
      <c r="BF87" s="2" t="n">
        <v>13957.05555555555</v>
      </c>
      <c r="BG87" s="2" t="n">
        <v>0</v>
      </c>
      <c r="BH87" s="2" t="n">
        <v>0</v>
      </c>
      <c r="BI87" s="2" t="n">
        <v>30040.16</v>
      </c>
      <c r="BJ87" s="2" t="n">
        <v>63.96905982905983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203.49387</v>
      </c>
      <c r="BQ87" s="2" t="n">
        <v>0</v>
      </c>
      <c r="BR87" s="2" t="n">
        <v>30332.62292982906</v>
      </c>
      <c r="BS87" s="2" t="n">
        <v>1198.661025641026</v>
      </c>
      <c r="BT87" s="2" t="n">
        <v>0</v>
      </c>
      <c r="BU87" s="2" t="n">
        <v>6265.558017094017</v>
      </c>
      <c r="BV87" s="2" t="n">
        <v>7464.219042735042</v>
      </c>
      <c r="BW87" s="2" t="n">
        <v>37796.8419725641</v>
      </c>
      <c r="BX87" s="2" t="n">
        <v>13846.04</v>
      </c>
      <c r="BY87" s="2" t="n">
        <v>1227.58</v>
      </c>
      <c r="BZ87" s="2" t="n">
        <v>0</v>
      </c>
      <c r="CA87" s="2" t="n">
        <v>15073.62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1267</v>
      </c>
      <c r="B88" t="inlineStr">
        <is>
          <t>Pawia 5a, 31-154 Kraków</t>
        </is>
      </c>
      <c r="C88" t="inlineStr">
        <is>
          <t>Kraków Główny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10020.31</v>
      </c>
      <c r="L88" s="2" t="n">
        <v>834.0980268518518</v>
      </c>
      <c r="M88" s="2" t="n">
        <v>9278.064814814814</v>
      </c>
      <c r="N88" s="2" t="n">
        <v>1019.98</v>
      </c>
      <c r="O88" s="2" t="n">
        <v>8545.49</v>
      </c>
      <c r="P88" s="2" t="n">
        <v>454.84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26498.1</v>
      </c>
      <c r="X88" s="2" t="n">
        <v>880</v>
      </c>
      <c r="Y88" s="2" t="n">
        <v>24535.27777777777</v>
      </c>
      <c r="Z88" s="2" t="n">
        <v>2347.68</v>
      </c>
      <c r="AA88" s="2" t="n">
        <v>23521.67</v>
      </c>
      <c r="AB88" s="2" t="n">
        <v>628.75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4494.65</v>
      </c>
      <c r="AP88" s="2" t="n">
        <v>349.5838888888889</v>
      </c>
      <c r="AQ88" s="2" t="n">
        <v>4161.712962962963</v>
      </c>
      <c r="AR88" s="2" t="n">
        <v>1062.83</v>
      </c>
      <c r="AS88" s="2" t="n">
        <v>3248.34</v>
      </c>
      <c r="AT88" s="2" t="n">
        <v>183.48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41013.06</v>
      </c>
      <c r="BB88" s="2" t="n">
        <v>36582.57</v>
      </c>
      <c r="BC88" s="2">
        <f>F88+L88+R88+X88+AD88+AJ88+AP88+AV88+IF(BE88="",0,BE88)</f>
        <v/>
      </c>
      <c r="BD88" s="2" t="n">
        <v>517.48578</v>
      </c>
      <c r="BE88" s="2" t="n"/>
      <c r="BF88" s="2" t="n">
        <v>37975.05555555555</v>
      </c>
      <c r="BG88" s="2" t="n">
        <v>1056.72</v>
      </c>
      <c r="BH88" s="2" t="n">
        <v>276</v>
      </c>
      <c r="BI88" s="2" t="n">
        <v>30040.16</v>
      </c>
      <c r="BJ88" s="2" t="n">
        <v>63.96905982905983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493.864695</v>
      </c>
      <c r="BQ88" s="2" t="n">
        <v>0</v>
      </c>
      <c r="BR88" s="2" t="n">
        <v>31955.71375482906</v>
      </c>
      <c r="BS88" s="2" t="n">
        <v>1198.661025641026</v>
      </c>
      <c r="BT88" s="2" t="n">
        <v>0</v>
      </c>
      <c r="BU88" s="2" t="n">
        <v>6532.102017094017</v>
      </c>
      <c r="BV88" s="2" t="n">
        <v>7730.763042735043</v>
      </c>
      <c r="BW88" s="2" t="n">
        <v>39686.4767975641</v>
      </c>
      <c r="BX88" s="2" t="n">
        <v>35315.5</v>
      </c>
      <c r="BY88" s="2" t="n">
        <v>1267.07</v>
      </c>
      <c r="BZ88" s="2" t="n">
        <v>4430.49</v>
      </c>
      <c r="CA88" s="2" t="n">
        <v>36582.57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1268</v>
      </c>
      <c r="B89" t="inlineStr">
        <is>
          <t>Kolejowa 5, 83-200 Starogard Gdański</t>
        </is>
      </c>
      <c r="C89" t="inlineStr">
        <is>
          <t>Starogard Gdański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17531.46</v>
      </c>
      <c r="AP89" s="2" t="n">
        <v>4200</v>
      </c>
      <c r="AQ89" s="2" t="n">
        <v>16232.83333333333</v>
      </c>
      <c r="AR89" s="2" t="n">
        <v>6249.55</v>
      </c>
      <c r="AS89" s="2" t="n">
        <v>10354.13</v>
      </c>
      <c r="AT89" s="2" t="n">
        <v>927.78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17531.46</v>
      </c>
      <c r="BB89" s="2" t="n">
        <v>11281.91</v>
      </c>
      <c r="BC89" s="2">
        <f>F89+L89+R89+X89+AD89+AJ89+AP89+AV89+IF(BE89="",0,BE89)</f>
        <v/>
      </c>
      <c r="BD89" s="2" t="n">
        <v>173.741414</v>
      </c>
      <c r="BE89" s="2" t="n"/>
      <c r="BF89" s="2" t="n">
        <v>16232.83333333333</v>
      </c>
      <c r="BG89" s="2" t="n">
        <v>0</v>
      </c>
      <c r="BH89" s="2" t="n">
        <v>0</v>
      </c>
      <c r="BI89" s="2" t="n">
        <v>30040.16</v>
      </c>
      <c r="BJ89" s="2" t="n">
        <v>63.96905982905983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152.305785</v>
      </c>
      <c r="BQ89" s="2" t="n">
        <v>0</v>
      </c>
      <c r="BR89" s="2" t="n">
        <v>30281.43484482906</v>
      </c>
      <c r="BS89" s="2" t="n">
        <v>1198.661025641026</v>
      </c>
      <c r="BT89" s="2" t="n">
        <v>0</v>
      </c>
      <c r="BU89" s="2" t="n">
        <v>6265.558017094017</v>
      </c>
      <c r="BV89" s="2" t="n">
        <v>7464.219042735042</v>
      </c>
      <c r="BW89" s="2" t="n">
        <v>37745.6538875641</v>
      </c>
      <c r="BX89" s="2" t="n">
        <v>10354.13</v>
      </c>
      <c r="BY89" s="2" t="n">
        <v>927.78</v>
      </c>
      <c r="BZ89" s="2" t="n">
        <v>6249.55</v>
      </c>
      <c r="CA89" s="2" t="n">
        <v>11281.91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1269</v>
      </c>
      <c r="B90" t="inlineStr">
        <is>
          <t>Podwale Grodzkie 1, 80-895 Gdańsk</t>
        </is>
      </c>
      <c r="C90" t="inlineStr">
        <is>
          <t>Gdańsk Główny</t>
        </is>
      </c>
      <c r="D90" t="inlineStr">
        <is>
          <t>ST|40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10201.39</v>
      </c>
      <c r="L90" s="2" t="n">
        <v>849.1712601851852</v>
      </c>
      <c r="M90" s="2" t="n">
        <v>9445.731481481482</v>
      </c>
      <c r="N90" s="2" t="n">
        <v>2877.95</v>
      </c>
      <c r="O90" s="2" t="n">
        <v>6967.34</v>
      </c>
      <c r="P90" s="2" t="n">
        <v>356.1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5948.74</v>
      </c>
      <c r="AP90" s="2" t="n">
        <v>462.6797777777778</v>
      </c>
      <c r="AQ90" s="2" t="n">
        <v>5508.092592592592</v>
      </c>
      <c r="AR90" s="2" t="n">
        <v>2383.24</v>
      </c>
      <c r="AS90" s="2" t="n">
        <v>3425.85</v>
      </c>
      <c r="AT90" s="2" t="n">
        <v>139.65</v>
      </c>
      <c r="AU90" s="2" t="n">
        <v>2804.9</v>
      </c>
      <c r="AV90" s="2" t="n">
        <v>111.6765740740741</v>
      </c>
      <c r="AW90" s="2" t="n">
        <v>2597.12962962963</v>
      </c>
      <c r="AX90" s="2" t="n">
        <v>576.65</v>
      </c>
      <c r="AY90" s="2" t="n">
        <v>2182.05</v>
      </c>
      <c r="AZ90" s="2" t="n">
        <v>46.2</v>
      </c>
      <c r="BA90" s="2" t="n">
        <v>18955.03</v>
      </c>
      <c r="BB90" s="2" t="n">
        <v>13117.19</v>
      </c>
      <c r="BC90" s="2">
        <f>F90+L90+R90+X90+AD90+AJ90+AP90+AV90+IF(BE90="",0,BE90)</f>
        <v/>
      </c>
      <c r="BD90" s="2" t="n">
        <v>202.004726</v>
      </c>
      <c r="BE90" s="2" t="n"/>
      <c r="BF90" s="2" t="n">
        <v>17550.9537037037</v>
      </c>
      <c r="BG90" s="2" t="n">
        <v>0</v>
      </c>
      <c r="BH90" s="2" t="n">
        <v>0</v>
      </c>
      <c r="BI90" s="2" t="n">
        <v>30040.16</v>
      </c>
      <c r="BJ90" s="2" t="n">
        <v>63.96905982905983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177.082065</v>
      </c>
      <c r="BQ90" s="2" t="n">
        <v>0</v>
      </c>
      <c r="BR90" s="2" t="n">
        <v>30306.21112482906</v>
      </c>
      <c r="BS90" s="2" t="n">
        <v>1198.661025641026</v>
      </c>
      <c r="BT90" s="2" t="n">
        <v>0</v>
      </c>
      <c r="BU90" s="2" t="n">
        <v>6265.558017094017</v>
      </c>
      <c r="BV90" s="2" t="n">
        <v>7464.219042735042</v>
      </c>
      <c r="BW90" s="2" t="n">
        <v>37770.4301675641</v>
      </c>
      <c r="BX90" s="2" t="n">
        <v>12575.24</v>
      </c>
      <c r="BY90" s="2" t="n">
        <v>541.95</v>
      </c>
      <c r="BZ90" s="2" t="n">
        <v>5837.839999999999</v>
      </c>
      <c r="CA90" s="2" t="n">
        <v>13117.19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1270</v>
      </c>
      <c r="B91" t="inlineStr">
        <is>
          <t>Marii Konopnickiej 10, 10-168 Olsztyn</t>
        </is>
      </c>
      <c r="C91" t="inlineStr">
        <is>
          <t>Olsztyn Zachodni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9638.639999999999</v>
      </c>
      <c r="L91" s="2" t="n">
        <v>802.3275333333333</v>
      </c>
      <c r="M91" s="2" t="n">
        <v>8924.666666666666</v>
      </c>
      <c r="N91" s="2" t="n">
        <v>2482.33</v>
      </c>
      <c r="O91" s="2" t="n">
        <v>6986.04</v>
      </c>
      <c r="P91" s="2" t="n">
        <v>170.27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6667.43</v>
      </c>
      <c r="AP91" s="2" t="n">
        <v>518.577888888889</v>
      </c>
      <c r="AQ91" s="2" t="n">
        <v>6173.546296296297</v>
      </c>
      <c r="AR91" s="2" t="n">
        <v>1625.41</v>
      </c>
      <c r="AS91" s="2" t="n">
        <v>4748.39</v>
      </c>
      <c r="AT91" s="2" t="n">
        <v>293.63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16306.07</v>
      </c>
      <c r="BB91" s="2" t="n">
        <v>12198.33</v>
      </c>
      <c r="BC91" s="2">
        <f>F91+L91+R91+X91+AD91+AJ91+AP91+AV91+IF(BE91="",0,BE91)</f>
        <v/>
      </c>
      <c r="BD91" s="2" t="n">
        <v>187.854282</v>
      </c>
      <c r="BE91" s="2" t="n"/>
      <c r="BF91" s="2" t="n">
        <v>15098.21296296296</v>
      </c>
      <c r="BG91" s="2" t="n">
        <v>343</v>
      </c>
      <c r="BH91" s="2" t="n">
        <v>0</v>
      </c>
      <c r="BI91" s="2" t="n">
        <v>30040.16</v>
      </c>
      <c r="BJ91" s="2" t="n">
        <v>63.96905982905983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164.677455</v>
      </c>
      <c r="BQ91" s="2" t="n">
        <v>0</v>
      </c>
      <c r="BR91" s="2" t="n">
        <v>30636.80651482906</v>
      </c>
      <c r="BS91" s="2" t="n">
        <v>1198.661025641026</v>
      </c>
      <c r="BT91" s="2" t="n">
        <v>0</v>
      </c>
      <c r="BU91" s="2" t="n">
        <v>6334.158017094017</v>
      </c>
      <c r="BV91" s="2" t="n">
        <v>7532.819042735043</v>
      </c>
      <c r="BW91" s="2" t="n">
        <v>38169.6255575641</v>
      </c>
      <c r="BX91" s="2" t="n">
        <v>11734.43</v>
      </c>
      <c r="BY91" s="2" t="n">
        <v>463.9</v>
      </c>
      <c r="BZ91" s="2" t="n">
        <v>4107.74</v>
      </c>
      <c r="CA91" s="2" t="n">
        <v>12198.33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1271</v>
      </c>
      <c r="B92" t="inlineStr">
        <is>
          <t>Zygmunta Augusta 7, 85-082 Bydgoszcz</t>
        </is>
      </c>
      <c r="C92" t="inlineStr">
        <is>
          <t>Bydgoszcz</t>
        </is>
      </c>
      <c r="D92" t="inlineStr">
        <is>
          <t>FAA2000</t>
        </is>
      </c>
      <c r="E92" s="2" t="n">
        <v>6162.440000000001</v>
      </c>
      <c r="F92" s="2" t="n">
        <v>1100</v>
      </c>
      <c r="G92" s="2" t="n">
        <v>5705.962962962964</v>
      </c>
      <c r="H92" s="2" t="n">
        <v>1675.72</v>
      </c>
      <c r="I92" s="2" t="n">
        <v>4076.87</v>
      </c>
      <c r="J92" s="2" t="n">
        <v>409.85</v>
      </c>
      <c r="K92" s="2" t="n">
        <v>10388.45</v>
      </c>
      <c r="L92" s="2" t="n">
        <v>864.7422731481481</v>
      </c>
      <c r="M92" s="2" t="n">
        <v>9618.935185185184</v>
      </c>
      <c r="N92" s="2" t="n">
        <v>2592.03</v>
      </c>
      <c r="O92" s="2" t="n">
        <v>7169.37</v>
      </c>
      <c r="P92" s="2" t="n">
        <v>627.05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14579.04</v>
      </c>
      <c r="AP92" s="2" t="n">
        <v>1133.925333333333</v>
      </c>
      <c r="AQ92" s="2" t="n">
        <v>13499.11111111111</v>
      </c>
      <c r="AR92" s="2" t="n">
        <v>3618.07</v>
      </c>
      <c r="AS92" s="2" t="n">
        <v>10237.17</v>
      </c>
      <c r="AT92" s="2" t="n">
        <v>723.8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31129.93</v>
      </c>
      <c r="BB92" s="2" t="n">
        <v>23244.11</v>
      </c>
      <c r="BC92" s="2">
        <f>F92+L92+R92+X92+AD92+AJ92+AP92+AV92+IF(BE92="",0,BE92)</f>
        <v/>
      </c>
      <c r="BD92" s="2" t="n">
        <v>357.959294</v>
      </c>
      <c r="BE92" s="2" t="n"/>
      <c r="BF92" s="2" t="n">
        <v>28824.00925925926</v>
      </c>
      <c r="BG92" s="2" t="n">
        <v>381.79</v>
      </c>
      <c r="BH92" s="2" t="n">
        <v>119.07</v>
      </c>
      <c r="BI92" s="2" t="n">
        <v>30040.16</v>
      </c>
      <c r="BJ92" s="2" t="n">
        <v>63.96905982905983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313.795485</v>
      </c>
      <c r="BQ92" s="2" t="n">
        <v>0</v>
      </c>
      <c r="BR92" s="2" t="n">
        <v>30943.78454482906</v>
      </c>
      <c r="BS92" s="2" t="n">
        <v>1198.661025641026</v>
      </c>
      <c r="BT92" s="2" t="n">
        <v>0</v>
      </c>
      <c r="BU92" s="2" t="n">
        <v>6365.730017094017</v>
      </c>
      <c r="BV92" s="2" t="n">
        <v>7564.391042735043</v>
      </c>
      <c r="BW92" s="2" t="n">
        <v>38508.1755875641</v>
      </c>
      <c r="BX92" s="2" t="n">
        <v>21483.41</v>
      </c>
      <c r="BY92" s="2" t="n">
        <v>1760.7</v>
      </c>
      <c r="BZ92" s="2" t="n">
        <v>7885.82</v>
      </c>
      <c r="CA92" s="2" t="n">
        <v>23244.11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1272</v>
      </c>
      <c r="B93" t="inlineStr">
        <is>
          <t>Dworcowa 115, 88-110 Inowrocław</t>
        </is>
      </c>
      <c r="C93" t="inlineStr">
        <is>
          <t>Inowrocław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4773.07</v>
      </c>
      <c r="L93" s="2" t="n">
        <v>397.3138824074074</v>
      </c>
      <c r="M93" s="2" t="n">
        <v>4419.509259259259</v>
      </c>
      <c r="N93" s="2" t="n">
        <v>980.65</v>
      </c>
      <c r="O93" s="2" t="n">
        <v>3317.42</v>
      </c>
      <c r="P93" s="2" t="n">
        <v>475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5845.379999999999</v>
      </c>
      <c r="AP93" s="2" t="n">
        <v>454.6406666666666</v>
      </c>
      <c r="AQ93" s="2" t="n">
        <v>5412.388888888888</v>
      </c>
      <c r="AR93" s="2" t="n">
        <v>1303.59</v>
      </c>
      <c r="AS93" s="2" t="n">
        <v>4055.14</v>
      </c>
      <c r="AT93" s="2" t="n">
        <v>486.65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10618.45</v>
      </c>
      <c r="BB93" s="2" t="n">
        <v>8334.209999999999</v>
      </c>
      <c r="BC93" s="2">
        <f>F93+L93+R93+X93+AD93+AJ93+AP93+AV93+IF(BE93="",0,BE93)</f>
        <v/>
      </c>
      <c r="BD93" s="2" t="n">
        <v>128.346834</v>
      </c>
      <c r="BE93" s="2" t="n"/>
      <c r="BF93" s="2" t="n">
        <v>9831.898148148146</v>
      </c>
      <c r="BG93" s="2" t="n">
        <v>382.1</v>
      </c>
      <c r="BH93" s="2" t="n">
        <v>143</v>
      </c>
      <c r="BI93" s="2" t="n">
        <v>30040.16</v>
      </c>
      <c r="BJ93" s="2" t="n">
        <v>63.96905982905983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112.511835</v>
      </c>
      <c r="BQ93" s="2" t="n">
        <v>0</v>
      </c>
      <c r="BR93" s="2" t="n">
        <v>30766.74089482906</v>
      </c>
      <c r="BS93" s="2" t="n">
        <v>1198.661025641026</v>
      </c>
      <c r="BT93" s="2" t="n">
        <v>0</v>
      </c>
      <c r="BU93" s="2" t="n">
        <v>6370.578017094017</v>
      </c>
      <c r="BV93" s="2" t="n">
        <v>7569.239042735043</v>
      </c>
      <c r="BW93" s="2" t="n">
        <v>38335.9799375641</v>
      </c>
      <c r="BX93" s="2" t="n">
        <v>7372.559999999999</v>
      </c>
      <c r="BY93" s="2" t="n">
        <v>961.65</v>
      </c>
      <c r="BZ93" s="2" t="n">
        <v>2284.24</v>
      </c>
      <c r="CA93" s="2" t="n">
        <v>8334.209999999999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1273</v>
      </c>
      <c r="B94" t="inlineStr">
        <is>
          <t>Towarowa 5, 84-120 Władysławowo</t>
        </is>
      </c>
      <c r="C94" t="inlineStr">
        <is>
          <t>Władysławowo</t>
        </is>
      </c>
      <c r="D94" t="inlineStr">
        <is>
          <t>ST|40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158.9</v>
      </c>
      <c r="L94" s="2" t="n">
        <v>13.2269537037037</v>
      </c>
      <c r="M94" s="2" t="n">
        <v>147.1296296296296</v>
      </c>
      <c r="N94" s="2" t="n">
        <v>0</v>
      </c>
      <c r="O94" s="2" t="n">
        <v>158.9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5971.32</v>
      </c>
      <c r="AP94" s="2" t="n">
        <v>5550</v>
      </c>
      <c r="AQ94" s="2" t="n">
        <v>5528.999999999999</v>
      </c>
      <c r="AR94" s="2" t="n">
        <v>0</v>
      </c>
      <c r="AS94" s="2" t="n">
        <v>5159.03</v>
      </c>
      <c r="AT94" s="2" t="n">
        <v>812.29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6130.219999999999</v>
      </c>
      <c r="BB94" s="2" t="n">
        <v>6130.219999999999</v>
      </c>
      <c r="BC94" s="2">
        <f>F94+L94+R94+X94+AD94+AJ94+AP94+AV94+IF(BE94="",0,BE94)</f>
        <v/>
      </c>
      <c r="BD94" s="2" t="n">
        <v>94.40538799999999</v>
      </c>
      <c r="BE94" s="2" t="n"/>
      <c r="BF94" s="2" t="n">
        <v>5676.129629629629</v>
      </c>
      <c r="BG94" s="2" t="n">
        <v>0</v>
      </c>
      <c r="BH94" s="2" t="n">
        <v>0</v>
      </c>
      <c r="BI94" s="2" t="n">
        <v>30040.16</v>
      </c>
      <c r="BJ94" s="2" t="n">
        <v>63.96905982905983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82.75797</v>
      </c>
      <c r="BQ94" s="2" t="n">
        <v>0</v>
      </c>
      <c r="BR94" s="2" t="n">
        <v>30211.88702982906</v>
      </c>
      <c r="BS94" s="2" t="n">
        <v>1198.661025641026</v>
      </c>
      <c r="BT94" s="2" t="n">
        <v>0</v>
      </c>
      <c r="BU94" s="2" t="n">
        <v>6265.558017094017</v>
      </c>
      <c r="BV94" s="2" t="n">
        <v>7464.219042735042</v>
      </c>
      <c r="BW94" s="2" t="n">
        <v>37676.1060725641</v>
      </c>
      <c r="BX94" s="2" t="n">
        <v>5317.929999999999</v>
      </c>
      <c r="BY94" s="2" t="n">
        <v>812.29</v>
      </c>
      <c r="BZ94" s="2" t="n">
        <v>0</v>
      </c>
      <c r="CA94" s="2" t="n">
        <v>6130.219999999999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1274</v>
      </c>
      <c r="B95" t="inlineStr">
        <is>
          <t>Czersk</t>
        </is>
      </c>
      <c r="C95" t="inlineStr">
        <is>
          <t>Czersk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1904.95</v>
      </c>
      <c r="AP95" s="2" t="n">
        <v>3900</v>
      </c>
      <c r="AQ95" s="2" t="n">
        <v>1763.842592592593</v>
      </c>
      <c r="AR95" s="2" t="n">
        <v>0</v>
      </c>
      <c r="AS95" s="2" t="n">
        <v>1774.22</v>
      </c>
      <c r="AT95" s="2" t="n">
        <v>130.73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1904.95</v>
      </c>
      <c r="BB95" s="2" t="n">
        <v>1904.95</v>
      </c>
      <c r="BC95" s="2">
        <f>F95+L95+R95+X95+AD95+AJ95+AP95+AV95+IF(BE95="",0,BE95)</f>
        <v/>
      </c>
      <c r="BD95" s="2" t="n">
        <v>29.33623</v>
      </c>
      <c r="BE95" s="2" t="n"/>
      <c r="BF95" s="2" t="n">
        <v>1763.842592592593</v>
      </c>
      <c r="BG95" s="2" t="n">
        <v>0</v>
      </c>
      <c r="BH95" s="2" t="n">
        <v>0</v>
      </c>
      <c r="BI95" s="2" t="n">
        <v>30040.16</v>
      </c>
      <c r="BJ95" s="2" t="n">
        <v>63.96905982905983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25.716825</v>
      </c>
      <c r="BQ95" s="2" t="n">
        <v>0</v>
      </c>
      <c r="BR95" s="2" t="n">
        <v>30154.84588482906</v>
      </c>
      <c r="BS95" s="2" t="n">
        <v>1198.661025641026</v>
      </c>
      <c r="BT95" s="2" t="n">
        <v>0</v>
      </c>
      <c r="BU95" s="2" t="n">
        <v>6265.558017094017</v>
      </c>
      <c r="BV95" s="2" t="n">
        <v>7464.219042735042</v>
      </c>
      <c r="BW95" s="2" t="n">
        <v>37619.0649275641</v>
      </c>
      <c r="BX95" s="2" t="n">
        <v>1774.22</v>
      </c>
      <c r="BY95" s="2" t="n">
        <v>130.73</v>
      </c>
      <c r="BZ95" s="2" t="n">
        <v>0</v>
      </c>
      <c r="CA95" s="2" t="n">
        <v>1904.95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1276</v>
      </c>
      <c r="B96" t="inlineStr">
        <is>
          <t>GDA-STR</t>
        </is>
      </c>
      <c r="C96" t="inlineStr">
        <is>
          <t>Gdańsk Strzyża</t>
        </is>
      </c>
      <c r="D96" t="inlineStr">
        <is>
          <t>ST|40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6079.410000000001</v>
      </c>
      <c r="AP96" s="2" t="n">
        <v>0</v>
      </c>
      <c r="AQ96" s="2" t="n">
        <v>5629.083333333334</v>
      </c>
      <c r="AR96" s="2" t="n">
        <v>820.72</v>
      </c>
      <c r="AS96" s="2" t="n">
        <v>5151.09</v>
      </c>
      <c r="AT96" s="2" t="n">
        <v>107.6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6079.410000000001</v>
      </c>
      <c r="BB96" s="2" t="n">
        <v>5258.690000000001</v>
      </c>
      <c r="BC96" s="2">
        <f>F96+L96+R96+X96+AD96+AJ96+AP96+AV96+IF(BE96="",0,BE96)</f>
        <v/>
      </c>
      <c r="BD96" s="2" t="n">
        <v>80.98382600000001</v>
      </c>
      <c r="BE96" s="2" t="n"/>
      <c r="BF96" s="2" t="n">
        <v>5629.083333333334</v>
      </c>
      <c r="BG96" s="2" t="n">
        <v>0</v>
      </c>
      <c r="BH96" s="2" t="n">
        <v>0</v>
      </c>
      <c r="BI96" s="2" t="n">
        <v>30040.16</v>
      </c>
      <c r="BJ96" s="2" t="n">
        <v>63.96905982905983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70.992315</v>
      </c>
      <c r="BQ96" s="2" t="n">
        <v>0</v>
      </c>
      <c r="BR96" s="2" t="n">
        <v>30200.12137482906</v>
      </c>
      <c r="BS96" s="2" t="n">
        <v>1198.661025641026</v>
      </c>
      <c r="BT96" s="2" t="n">
        <v>0</v>
      </c>
      <c r="BU96" s="2" t="n">
        <v>6265.558017094017</v>
      </c>
      <c r="BV96" s="2" t="n">
        <v>7464.219042735042</v>
      </c>
      <c r="BW96" s="2" t="n">
        <v>37664.3404175641</v>
      </c>
      <c r="BX96" s="2" t="n">
        <v>5151.09</v>
      </c>
      <c r="BY96" s="2" t="n">
        <v>107.6</v>
      </c>
      <c r="BZ96" s="2" t="n">
        <v>820.72</v>
      </c>
      <c r="CA96" s="2" t="n">
        <v>5258.690000000001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1277</v>
      </c>
      <c r="B97" t="inlineStr">
        <is>
          <t>Plac Konstytucji 1, 81-354 Gdynia</t>
        </is>
      </c>
      <c r="C97" t="inlineStr">
        <is>
          <t>Gdynia Główna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6422.8</v>
      </c>
      <c r="L97" s="2" t="n">
        <v>534.6386296296296</v>
      </c>
      <c r="M97" s="2" t="n">
        <v>5947.037037037036</v>
      </c>
      <c r="N97" s="2" t="n">
        <v>3562.04</v>
      </c>
      <c r="O97" s="2" t="n">
        <v>2784.72</v>
      </c>
      <c r="P97" s="2" t="n">
        <v>76.04000000000001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12511.58</v>
      </c>
      <c r="AP97" s="2" t="n">
        <v>973.1228888888888</v>
      </c>
      <c r="AQ97" s="2" t="n">
        <v>11584.7962962963</v>
      </c>
      <c r="AR97" s="2" t="n">
        <v>4020.87</v>
      </c>
      <c r="AS97" s="2" t="n">
        <v>7861.84</v>
      </c>
      <c r="AT97" s="2" t="n">
        <v>628.87</v>
      </c>
      <c r="AU97" s="2" t="n">
        <v>14217.25</v>
      </c>
      <c r="AV97" s="2" t="n">
        <v>566.0571759259258</v>
      </c>
      <c r="AW97" s="2" t="n">
        <v>13164.12037037037</v>
      </c>
      <c r="AX97" s="2" t="n">
        <v>3258.8</v>
      </c>
      <c r="AY97" s="2" t="n">
        <v>10399.9</v>
      </c>
      <c r="AZ97" s="2" t="n">
        <v>558.55</v>
      </c>
      <c r="BA97" s="2" t="n">
        <v>33151.63</v>
      </c>
      <c r="BB97" s="2" t="n">
        <v>22309.92</v>
      </c>
      <c r="BC97" s="2">
        <f>F97+L97+R97+X97+AD97+AJ97+AP97+AV97+IF(BE97="",0,BE97)</f>
        <v/>
      </c>
      <c r="BD97" s="2" t="n">
        <v>343.572768</v>
      </c>
      <c r="BE97" s="2" t="n"/>
      <c r="BF97" s="2" t="n">
        <v>30695.9537037037</v>
      </c>
      <c r="BG97" s="2" t="n">
        <v>971.34</v>
      </c>
      <c r="BH97" s="2" t="n">
        <v>93.59999999999999</v>
      </c>
      <c r="BI97" s="2" t="n">
        <v>30040.16</v>
      </c>
      <c r="BJ97" s="2" t="n">
        <v>63.96905982905983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301.1839199999999</v>
      </c>
      <c r="BQ97" s="2" t="n">
        <v>0</v>
      </c>
      <c r="BR97" s="2" t="n">
        <v>31495.25297982906</v>
      </c>
      <c r="BS97" s="2" t="n">
        <v>1198.661025641026</v>
      </c>
      <c r="BT97" s="2" t="n">
        <v>0</v>
      </c>
      <c r="BU97" s="2" t="n">
        <v>6478.546017094017</v>
      </c>
      <c r="BV97" s="2" t="n">
        <v>7677.207042735043</v>
      </c>
      <c r="BW97" s="2" t="n">
        <v>39172.4600225641</v>
      </c>
      <c r="BX97" s="2" t="n">
        <v>21046.46</v>
      </c>
      <c r="BY97" s="2" t="n">
        <v>1263.46</v>
      </c>
      <c r="BZ97" s="2" t="n">
        <v>10841.71</v>
      </c>
      <c r="CA97" s="2" t="n">
        <v>22309.92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1278</v>
      </c>
      <c r="B98" t="inlineStr">
        <is>
          <t>Plac Konstytucji 1, 81-354 Gdynia</t>
        </is>
      </c>
      <c r="C98" t="inlineStr">
        <is>
          <t>Gdynia Główna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6411.35</v>
      </c>
      <c r="L98" s="2" t="n">
        <v>533.6855231481481</v>
      </c>
      <c r="M98" s="2" t="n">
        <v>5936.435185185185</v>
      </c>
      <c r="N98" s="2" t="n">
        <v>222.6</v>
      </c>
      <c r="O98" s="2" t="n">
        <v>6077.85</v>
      </c>
      <c r="P98" s="2" t="n">
        <v>110.9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11470.41</v>
      </c>
      <c r="AP98" s="2" t="n">
        <v>892.143</v>
      </c>
      <c r="AQ98" s="2" t="n">
        <v>10620.75</v>
      </c>
      <c r="AR98" s="2" t="n">
        <v>892.05</v>
      </c>
      <c r="AS98" s="2" t="n">
        <v>10058.07</v>
      </c>
      <c r="AT98" s="2" t="n">
        <v>520.29</v>
      </c>
      <c r="AU98" s="2" t="n">
        <v>13941.9</v>
      </c>
      <c r="AV98" s="2" t="n">
        <v>555.0941666666666</v>
      </c>
      <c r="AW98" s="2" t="n">
        <v>12909.16666666667</v>
      </c>
      <c r="AX98" s="2" t="n">
        <v>987.1</v>
      </c>
      <c r="AY98" s="2" t="n">
        <v>11898.85</v>
      </c>
      <c r="AZ98" s="2" t="n">
        <v>1055.95</v>
      </c>
      <c r="BA98" s="2" t="n">
        <v>31823.66</v>
      </c>
      <c r="BB98" s="2" t="n">
        <v>29721.91</v>
      </c>
      <c r="BC98" s="2">
        <f>F98+L98+R98+X98+AD98+AJ98+AP98+AV98+IF(BE98="",0,BE98)</f>
        <v/>
      </c>
      <c r="BD98" s="2" t="n">
        <v>457.7174140000001</v>
      </c>
      <c r="BE98" s="2" t="n"/>
      <c r="BF98" s="2" t="n">
        <v>29466.35185185185</v>
      </c>
      <c r="BG98" s="2" t="n">
        <v>1216.91</v>
      </c>
      <c r="BH98" s="2" t="n">
        <v>117</v>
      </c>
      <c r="BI98" s="2" t="n">
        <v>30040.16</v>
      </c>
      <c r="BJ98" s="2" t="n">
        <v>63.96905982905983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401.245785</v>
      </c>
      <c r="BQ98" s="2" t="n">
        <v>0</v>
      </c>
      <c r="BR98" s="2" t="n">
        <v>31864.28484482906</v>
      </c>
      <c r="BS98" s="2" t="n">
        <v>1198.661025641026</v>
      </c>
      <c r="BT98" s="2" t="n">
        <v>0</v>
      </c>
      <c r="BU98" s="2" t="n">
        <v>6532.340017094018</v>
      </c>
      <c r="BV98" s="2" t="n">
        <v>7731.001042735043</v>
      </c>
      <c r="BW98" s="2" t="n">
        <v>39595.2858875641</v>
      </c>
      <c r="BX98" s="2" t="n">
        <v>28034.77</v>
      </c>
      <c r="BY98" s="2" t="n">
        <v>1687.14</v>
      </c>
      <c r="BZ98" s="2" t="n">
        <v>2101.75</v>
      </c>
      <c r="CA98" s="2" t="n">
        <v>29721.91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1279</v>
      </c>
      <c r="B99" t="inlineStr">
        <is>
          <t>GDA-GL</t>
        </is>
      </c>
      <c r="C99" t="inlineStr">
        <is>
          <t>Gdańsk Brętowo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2451.91</v>
      </c>
      <c r="AP99" s="2" t="n">
        <v>0</v>
      </c>
      <c r="AQ99" s="2" t="n">
        <v>2270.287037037037</v>
      </c>
      <c r="AR99" s="2" t="n">
        <v>204.14</v>
      </c>
      <c r="AS99" s="2" t="n">
        <v>2142.5</v>
      </c>
      <c r="AT99" s="2" t="n">
        <v>105.27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2451.91</v>
      </c>
      <c r="BB99" s="2" t="n">
        <v>2247.77</v>
      </c>
      <c r="BC99" s="2">
        <f>F99+L99+R99+X99+AD99+AJ99+AP99+AV99+IF(BE99="",0,BE99)</f>
        <v/>
      </c>
      <c r="BD99" s="2" t="n">
        <v>34.615658</v>
      </c>
      <c r="BE99" s="2" t="n"/>
      <c r="BF99" s="2" t="n">
        <v>2270.287037037037</v>
      </c>
      <c r="BG99" s="2" t="n">
        <v>0</v>
      </c>
      <c r="BH99" s="2" t="n">
        <v>0</v>
      </c>
      <c r="BI99" s="2" t="n">
        <v>30040.16</v>
      </c>
      <c r="BJ99" s="2" t="n">
        <v>63.96905982905983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30.344895</v>
      </c>
      <c r="BQ99" s="2" t="n">
        <v>0</v>
      </c>
      <c r="BR99" s="2" t="n">
        <v>30159.47395482906</v>
      </c>
      <c r="BS99" s="2" t="n">
        <v>1198.661025641026</v>
      </c>
      <c r="BT99" s="2" t="n">
        <v>0</v>
      </c>
      <c r="BU99" s="2" t="n">
        <v>6265.558017094017</v>
      </c>
      <c r="BV99" s="2" t="n">
        <v>7464.219042735042</v>
      </c>
      <c r="BW99" s="2" t="n">
        <v>37623.6929975641</v>
      </c>
      <c r="BX99" s="2" t="n">
        <v>2142.5</v>
      </c>
      <c r="BY99" s="2" t="n">
        <v>105.27</v>
      </c>
      <c r="BZ99" s="2" t="n">
        <v>204.14</v>
      </c>
      <c r="CA99" s="2" t="n">
        <v>2247.77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1280</v>
      </c>
      <c r="B100" t="inlineStr">
        <is>
          <t>GRODZW</t>
        </is>
      </c>
      <c r="C100" t="inlineStr">
        <is>
          <t>Gdańsk Jasień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5634.27</v>
      </c>
      <c r="AP100" s="2" t="n">
        <v>0</v>
      </c>
      <c r="AQ100" s="2" t="n">
        <v>5216.916666666666</v>
      </c>
      <c r="AR100" s="2" t="n">
        <v>878.4400000000001</v>
      </c>
      <c r="AS100" s="2" t="n">
        <v>4544.88</v>
      </c>
      <c r="AT100" s="2" t="n">
        <v>210.95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5634.27</v>
      </c>
      <c r="BB100" s="2" t="n">
        <v>4755.83</v>
      </c>
      <c r="BC100" s="2">
        <f>F100+L100+R100+X100+AD100+AJ100+AP100+AV100+IF(BE100="",0,BE100)</f>
        <v/>
      </c>
      <c r="BD100" s="2" t="n">
        <v>73.23978200000001</v>
      </c>
      <c r="BE100" s="2" t="n"/>
      <c r="BF100" s="2" t="n">
        <v>5216.916666666666</v>
      </c>
      <c r="BG100" s="2" t="n">
        <v>0</v>
      </c>
      <c r="BH100" s="2" t="n">
        <v>0</v>
      </c>
      <c r="BI100" s="2" t="n">
        <v>30040.16</v>
      </c>
      <c r="BJ100" s="2" t="n">
        <v>63.96905982905983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64.203705</v>
      </c>
      <c r="BQ100" s="2" t="n">
        <v>0</v>
      </c>
      <c r="BR100" s="2" t="n">
        <v>30193.33276482906</v>
      </c>
      <c r="BS100" s="2" t="n">
        <v>1198.661025641026</v>
      </c>
      <c r="BT100" s="2" t="n">
        <v>0</v>
      </c>
      <c r="BU100" s="2" t="n">
        <v>6265.558017094017</v>
      </c>
      <c r="BV100" s="2" t="n">
        <v>7464.219042735042</v>
      </c>
      <c r="BW100" s="2" t="n">
        <v>37657.5518075641</v>
      </c>
      <c r="BX100" s="2" t="n">
        <v>4544.88</v>
      </c>
      <c r="BY100" s="2" t="n">
        <v>210.95</v>
      </c>
      <c r="BZ100" s="2" t="n">
        <v>878.4400000000001</v>
      </c>
      <c r="CA100" s="2" t="n">
        <v>4755.83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1281</v>
      </c>
      <c r="B101" t="inlineStr">
        <is>
          <t>GRANOW</t>
        </is>
      </c>
      <c r="C101" t="inlineStr">
        <is>
          <t>Gdańsk Kiełpinek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7640.98</v>
      </c>
      <c r="AP101" s="2" t="n">
        <v>0</v>
      </c>
      <c r="AQ101" s="2" t="n">
        <v>7074.981481481481</v>
      </c>
      <c r="AR101" s="2" t="n">
        <v>990.28</v>
      </c>
      <c r="AS101" s="2" t="n">
        <v>6250.04</v>
      </c>
      <c r="AT101" s="2" t="n">
        <v>400.66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7640.98</v>
      </c>
      <c r="BB101" s="2" t="n">
        <v>6650.7</v>
      </c>
      <c r="BC101" s="2">
        <f>F101+L101+R101+X101+AD101+AJ101+AP101+AV101+IF(BE101="",0,BE101)</f>
        <v/>
      </c>
      <c r="BD101" s="2" t="n">
        <v>102.42078</v>
      </c>
      <c r="BE101" s="2" t="n"/>
      <c r="BF101" s="2" t="n">
        <v>7074.981481481481</v>
      </c>
      <c r="BG101" s="2" t="n">
        <v>0</v>
      </c>
      <c r="BH101" s="2" t="n">
        <v>0</v>
      </c>
      <c r="BI101" s="2" t="n">
        <v>30040.16</v>
      </c>
      <c r="BJ101" s="2" t="n">
        <v>63.96905982905983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89.78444999999999</v>
      </c>
      <c r="BQ101" s="2" t="n">
        <v>0</v>
      </c>
      <c r="BR101" s="2" t="n">
        <v>30218.91350982906</v>
      </c>
      <c r="BS101" s="2" t="n">
        <v>1198.661025641026</v>
      </c>
      <c r="BT101" s="2" t="n">
        <v>0</v>
      </c>
      <c r="BU101" s="2" t="n">
        <v>6265.558017094017</v>
      </c>
      <c r="BV101" s="2" t="n">
        <v>7464.219042735042</v>
      </c>
      <c r="BW101" s="2" t="n">
        <v>37683.1325525641</v>
      </c>
      <c r="BX101" s="2" t="n">
        <v>6250.04</v>
      </c>
      <c r="BY101" s="2" t="n">
        <v>400.66</v>
      </c>
      <c r="BZ101" s="2" t="n">
        <v>990.28</v>
      </c>
      <c r="CA101" s="2" t="n">
        <v>6650.7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1283</v>
      </c>
      <c r="B102" t="inlineStr">
        <is>
          <t>CZERWO</t>
        </is>
      </c>
      <c r="C102" t="inlineStr">
        <is>
          <t>Gdańsk Port Lotniczy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31950.53</v>
      </c>
      <c r="AP102" s="2" t="n">
        <v>0</v>
      </c>
      <c r="AQ102" s="2" t="n">
        <v>29583.82407407407</v>
      </c>
      <c r="AR102" s="2" t="n">
        <v>3875.02</v>
      </c>
      <c r="AS102" s="2" t="n">
        <v>27449.58</v>
      </c>
      <c r="AT102" s="2" t="n">
        <v>625.9299999999999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31950.53</v>
      </c>
      <c r="BB102" s="2" t="n">
        <v>28075.51</v>
      </c>
      <c r="BC102" s="2">
        <f>F102+L102+R102+X102+AD102+AJ102+AP102+AV102+IF(BE102="",0,BE102)</f>
        <v/>
      </c>
      <c r="BD102" s="2" t="n">
        <v>432.362854</v>
      </c>
      <c r="BE102" s="2" t="n"/>
      <c r="BF102" s="2" t="n">
        <v>29583.82407407407</v>
      </c>
      <c r="BG102" s="2" t="n">
        <v>0</v>
      </c>
      <c r="BH102" s="2" t="n">
        <v>0</v>
      </c>
      <c r="BI102" s="2" t="n">
        <v>30040.16</v>
      </c>
      <c r="BJ102" s="2" t="n">
        <v>63.96905982905983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379.019385</v>
      </c>
      <c r="BQ102" s="2" t="n">
        <v>0</v>
      </c>
      <c r="BR102" s="2" t="n">
        <v>30508.14844482906</v>
      </c>
      <c r="BS102" s="2" t="n">
        <v>1198.661025641026</v>
      </c>
      <c r="BT102" s="2" t="n">
        <v>0</v>
      </c>
      <c r="BU102" s="2" t="n">
        <v>6265.558017094017</v>
      </c>
      <c r="BV102" s="2" t="n">
        <v>7464.219042735042</v>
      </c>
      <c r="BW102" s="2" t="n">
        <v>37972.3674875641</v>
      </c>
      <c r="BX102" s="2" t="n">
        <v>27449.58</v>
      </c>
      <c r="BY102" s="2" t="n">
        <v>625.9299999999999</v>
      </c>
      <c r="BZ102" s="2" t="n">
        <v>3875.02</v>
      </c>
      <c r="CA102" s="2" t="n">
        <v>28075.51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1284</v>
      </c>
      <c r="B103" t="inlineStr">
        <is>
          <t>OWINSK</t>
        </is>
      </c>
      <c r="C103" t="inlineStr">
        <is>
          <t>Gdańsk Rębiechowo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3528.29</v>
      </c>
      <c r="AP103" s="2" t="n">
        <v>0</v>
      </c>
      <c r="AQ103" s="2" t="n">
        <v>3266.935185185185</v>
      </c>
      <c r="AR103" s="2" t="n">
        <v>202.05</v>
      </c>
      <c r="AS103" s="2" t="n">
        <v>3279.54</v>
      </c>
      <c r="AT103" s="2" t="n">
        <v>46.7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3528.29</v>
      </c>
      <c r="BB103" s="2" t="n">
        <v>3326.24</v>
      </c>
      <c r="BC103" s="2">
        <f>F103+L103+R103+X103+AD103+AJ103+AP103+AV103+IF(BE103="",0,BE103)</f>
        <v/>
      </c>
      <c r="BD103" s="2" t="n">
        <v>51.224096</v>
      </c>
      <c r="BE103" s="2" t="n"/>
      <c r="BF103" s="2" t="n">
        <v>3266.935185185185</v>
      </c>
      <c r="BG103" s="2" t="n">
        <v>0</v>
      </c>
      <c r="BH103" s="2" t="n">
        <v>0</v>
      </c>
      <c r="BI103" s="2" t="n">
        <v>30040.16</v>
      </c>
      <c r="BJ103" s="2" t="n">
        <v>63.96905982905983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44.90423999999999</v>
      </c>
      <c r="BQ103" s="2" t="n">
        <v>0</v>
      </c>
      <c r="BR103" s="2" t="n">
        <v>30174.03329982906</v>
      </c>
      <c r="BS103" s="2" t="n">
        <v>1198.661025641026</v>
      </c>
      <c r="BT103" s="2" t="n">
        <v>0</v>
      </c>
      <c r="BU103" s="2" t="n">
        <v>6265.558017094017</v>
      </c>
      <c r="BV103" s="2" t="n">
        <v>7464.219042735042</v>
      </c>
      <c r="BW103" s="2" t="n">
        <v>37638.2523425641</v>
      </c>
      <c r="BX103" s="2" t="n">
        <v>3279.54</v>
      </c>
      <c r="BY103" s="2" t="n">
        <v>46.7</v>
      </c>
      <c r="BZ103" s="2" t="n">
        <v>202.05</v>
      </c>
      <c r="CA103" s="2" t="n">
        <v>3326.24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1285</v>
      </c>
      <c r="B104" t="inlineStr">
        <is>
          <t>ZIELWZG</t>
        </is>
      </c>
      <c r="C104" t="inlineStr">
        <is>
          <t>Gdańsk Osowa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4392.23</v>
      </c>
      <c r="AP104" s="2" t="n">
        <v>0</v>
      </c>
      <c r="AQ104" s="2" t="n">
        <v>4066.87962962963</v>
      </c>
      <c r="AR104" s="2" t="n">
        <v>1092.25</v>
      </c>
      <c r="AS104" s="2" t="n">
        <v>3231.67</v>
      </c>
      <c r="AT104" s="2" t="n">
        <v>68.31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4392.23</v>
      </c>
      <c r="BB104" s="2" t="n">
        <v>3299.98</v>
      </c>
      <c r="BC104" s="2">
        <f>F104+L104+R104+X104+AD104+AJ104+AP104+AV104+IF(BE104="",0,BE104)</f>
        <v/>
      </c>
      <c r="BD104" s="2" t="n">
        <v>50.819692</v>
      </c>
      <c r="BE104" s="2" t="n"/>
      <c r="BF104" s="2" t="n">
        <v>4066.87962962963</v>
      </c>
      <c r="BG104" s="2" t="n">
        <v>0</v>
      </c>
      <c r="BH104" s="2" t="n">
        <v>0</v>
      </c>
      <c r="BI104" s="2" t="n">
        <v>30040.16</v>
      </c>
      <c r="BJ104" s="2" t="n">
        <v>63.96905982905983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44.54973</v>
      </c>
      <c r="BQ104" s="2" t="n">
        <v>0</v>
      </c>
      <c r="BR104" s="2" t="n">
        <v>30173.67878982906</v>
      </c>
      <c r="BS104" s="2" t="n">
        <v>1198.661025641026</v>
      </c>
      <c r="BT104" s="2" t="n">
        <v>0</v>
      </c>
      <c r="BU104" s="2" t="n">
        <v>6265.558017094017</v>
      </c>
      <c r="BV104" s="2" t="n">
        <v>7464.219042735042</v>
      </c>
      <c r="BW104" s="2" t="n">
        <v>37637.8978325641</v>
      </c>
      <c r="BX104" s="2" t="n">
        <v>3231.67</v>
      </c>
      <c r="BY104" s="2" t="n">
        <v>68.31</v>
      </c>
      <c r="BZ104" s="2" t="n">
        <v>1092.25</v>
      </c>
      <c r="CA104" s="2" t="n">
        <v>3299.98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1286</v>
      </c>
      <c r="B105" t="inlineStr">
        <is>
          <t>Dworcowa 2, 61-801 Poznań</t>
        </is>
      </c>
      <c r="C105" t="inlineStr">
        <is>
          <t>Poznań Główny</t>
        </is>
      </c>
      <c r="D105" t="inlineStr">
        <is>
          <t>FAA2000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4005.11</v>
      </c>
      <c r="L105" s="2" t="n">
        <v>333.3883231481481</v>
      </c>
      <c r="M105" s="2" t="n">
        <v>3708.435185185185</v>
      </c>
      <c r="N105" s="2" t="n">
        <v>898.12</v>
      </c>
      <c r="O105" s="2" t="n">
        <v>2785.83</v>
      </c>
      <c r="P105" s="2" t="n">
        <v>321.16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8014.37</v>
      </c>
      <c r="AD105" s="2" t="n">
        <v>519.4499074074074</v>
      </c>
      <c r="AE105" s="2" t="n">
        <v>7420.712962962963</v>
      </c>
      <c r="AF105" s="2" t="n">
        <v>1265.46</v>
      </c>
      <c r="AG105" s="2" t="n">
        <v>6236.95</v>
      </c>
      <c r="AH105" s="2" t="n">
        <v>511.96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2626.87</v>
      </c>
      <c r="AP105" s="2" t="n">
        <v>204.3121111111111</v>
      </c>
      <c r="AQ105" s="2" t="n">
        <v>2432.287037037037</v>
      </c>
      <c r="AR105" s="2" t="n">
        <v>272.63</v>
      </c>
      <c r="AS105" s="2" t="n">
        <v>2190.87</v>
      </c>
      <c r="AT105" s="2" t="n">
        <v>163.37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14646.35</v>
      </c>
      <c r="BB105" s="2" t="n">
        <v>12210.14</v>
      </c>
      <c r="BC105" s="2">
        <f>F105+L105+R105+X105+AD105+AJ105+AP105+AV105+IF(BE105="",0,BE105)</f>
        <v/>
      </c>
      <c r="BD105" s="2" t="n">
        <v>188.036156</v>
      </c>
      <c r="BE105" s="2" t="n"/>
      <c r="BF105" s="2" t="n">
        <v>13561.43518518518</v>
      </c>
      <c r="BG105" s="2" t="n">
        <v>0</v>
      </c>
      <c r="BH105" s="2" t="n">
        <v>0</v>
      </c>
      <c r="BI105" s="2" t="n">
        <v>30040.16</v>
      </c>
      <c r="BJ105" s="2" t="n">
        <v>63.96905982905983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164.83689</v>
      </c>
      <c r="BQ105" s="2" t="n">
        <v>0</v>
      </c>
      <c r="BR105" s="2" t="n">
        <v>30293.96594982906</v>
      </c>
      <c r="BS105" s="2" t="n">
        <v>1198.661025641026</v>
      </c>
      <c r="BT105" s="2" t="n">
        <v>0</v>
      </c>
      <c r="BU105" s="2" t="n">
        <v>6265.558017094017</v>
      </c>
      <c r="BV105" s="2" t="n">
        <v>7464.219042735042</v>
      </c>
      <c r="BW105" s="2" t="n">
        <v>37758.1849925641</v>
      </c>
      <c r="BX105" s="2" t="n">
        <v>11213.65</v>
      </c>
      <c r="BY105" s="2" t="n">
        <v>996.49</v>
      </c>
      <c r="BZ105" s="2" t="n">
        <v>2436.21</v>
      </c>
      <c r="CA105" s="2" t="n">
        <v>12210.14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1287</v>
      </c>
      <c r="B106" t="inlineStr">
        <is>
          <t>Kościuszki 54, 82-500 Kwidzyn</t>
        </is>
      </c>
      <c r="C106" t="inlineStr">
        <is>
          <t>Kwidzyn</t>
        </is>
      </c>
      <c r="D106" t="inlineStr">
        <is>
          <t>FAA2000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3474.56</v>
      </c>
      <c r="AP106" s="2" t="n">
        <v>4100</v>
      </c>
      <c r="AQ106" s="2" t="n">
        <v>3217.185185185185</v>
      </c>
      <c r="AR106" s="2" t="n">
        <v>0</v>
      </c>
      <c r="AS106" s="2" t="n">
        <v>3075.84</v>
      </c>
      <c r="AT106" s="2" t="n">
        <v>398.72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3474.56</v>
      </c>
      <c r="BB106" s="2" t="n">
        <v>3474.56</v>
      </c>
      <c r="BC106" s="2">
        <f>F106+L106+R106+X106+AD106+AJ106+AP106+AV106+IF(BE106="",0,BE106)</f>
        <v/>
      </c>
      <c r="BD106" s="2" t="n">
        <v>53.50822400000001</v>
      </c>
      <c r="BE106" s="2" t="n"/>
      <c r="BF106" s="2" t="n">
        <v>3217.185185185185</v>
      </c>
      <c r="BG106" s="2" t="n">
        <v>0</v>
      </c>
      <c r="BH106" s="2" t="n">
        <v>0</v>
      </c>
      <c r="BI106" s="2" t="n">
        <v>30040.16</v>
      </c>
      <c r="BJ106" s="2" t="n">
        <v>63.96905982905983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46.90656000000001</v>
      </c>
      <c r="BQ106" s="2" t="n">
        <v>0</v>
      </c>
      <c r="BR106" s="2" t="n">
        <v>30176.03561982906</v>
      </c>
      <c r="BS106" s="2" t="n">
        <v>1198.661025641026</v>
      </c>
      <c r="BT106" s="2" t="n">
        <v>0</v>
      </c>
      <c r="BU106" s="2" t="n">
        <v>6265.558017094017</v>
      </c>
      <c r="BV106" s="2" t="n">
        <v>7464.219042735042</v>
      </c>
      <c r="BW106" s="2" t="n">
        <v>37640.2546625641</v>
      </c>
      <c r="BX106" s="2" t="n">
        <v>3075.84</v>
      </c>
      <c r="BY106" s="2" t="n">
        <v>398.72</v>
      </c>
      <c r="BZ106" s="2" t="n">
        <v>0</v>
      </c>
      <c r="CA106" s="2" t="n">
        <v>3474.56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1288</v>
      </c>
      <c r="B107" t="inlineStr">
        <is>
          <t>Ks. Stefańskiego 6, 84-140 Jastarnia</t>
        </is>
      </c>
      <c r="C107" t="inlineStr">
        <is>
          <t>Jastania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6236.290000000001</v>
      </c>
      <c r="AP107" s="2" t="n">
        <v>4500</v>
      </c>
      <c r="AQ107" s="2" t="n">
        <v>5774.342592592593</v>
      </c>
      <c r="AR107" s="2" t="n">
        <v>0</v>
      </c>
      <c r="AS107" s="2" t="n">
        <v>5213.56</v>
      </c>
      <c r="AT107" s="2" t="n">
        <v>1022.73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6236.290000000001</v>
      </c>
      <c r="BB107" s="2" t="n">
        <v>6236.290000000001</v>
      </c>
      <c r="BC107" s="2">
        <f>F107+L107+R107+X107+AD107+AJ107+AP107+AV107+IF(BE107="",0,BE107)</f>
        <v/>
      </c>
      <c r="BD107" s="2" t="n">
        <v>96.03886600000001</v>
      </c>
      <c r="BE107" s="2" t="n"/>
      <c r="BF107" s="2" t="n">
        <v>5774.342592592593</v>
      </c>
      <c r="BG107" s="2" t="n">
        <v>0</v>
      </c>
      <c r="BH107" s="2" t="n">
        <v>0</v>
      </c>
      <c r="BI107" s="2" t="n">
        <v>30040.16</v>
      </c>
      <c r="BJ107" s="2" t="n">
        <v>63.96905982905983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84.18991500000001</v>
      </c>
      <c r="BQ107" s="2" t="n">
        <v>0</v>
      </c>
      <c r="BR107" s="2" t="n">
        <v>30213.31897482906</v>
      </c>
      <c r="BS107" s="2" t="n">
        <v>1198.661025641026</v>
      </c>
      <c r="BT107" s="2" t="n">
        <v>0</v>
      </c>
      <c r="BU107" s="2" t="n">
        <v>6265.558017094017</v>
      </c>
      <c r="BV107" s="2" t="n">
        <v>7464.219042735042</v>
      </c>
      <c r="BW107" s="2" t="n">
        <v>37677.5380175641</v>
      </c>
      <c r="BX107" s="2" t="n">
        <v>5213.56</v>
      </c>
      <c r="BY107" s="2" t="n">
        <v>1022.73</v>
      </c>
      <c r="BZ107" s="2" t="n">
        <v>0</v>
      </c>
      <c r="CA107" s="2" t="n">
        <v>6236.290000000001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1289</v>
      </c>
      <c r="B108" t="inlineStr">
        <is>
          <t>Dworcowa 1, 84-150 Hel</t>
        </is>
      </c>
      <c r="C108" t="inlineStr">
        <is>
          <t>Hel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9428.900000000001</v>
      </c>
      <c r="AP108" s="2" t="n">
        <v>4500</v>
      </c>
      <c r="AQ108" s="2" t="n">
        <v>8730.462962962964</v>
      </c>
      <c r="AR108" s="2" t="n">
        <v>0</v>
      </c>
      <c r="AS108" s="2" t="n">
        <v>8326.790000000001</v>
      </c>
      <c r="AT108" s="2" t="n">
        <v>1102.11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9428.900000000001</v>
      </c>
      <c r="BB108" s="2" t="n">
        <v>9428.900000000001</v>
      </c>
      <c r="BC108" s="2">
        <f>F108+L108+R108+X108+AD108+AJ108+AP108+AV108+IF(BE108="",0,BE108)</f>
        <v/>
      </c>
      <c r="BD108" s="2" t="n">
        <v>145.20506</v>
      </c>
      <c r="BE108" s="2" t="n"/>
      <c r="BF108" s="2" t="n">
        <v>8730.462962962964</v>
      </c>
      <c r="BG108" s="2" t="n">
        <v>0</v>
      </c>
      <c r="BH108" s="2" t="n">
        <v>0</v>
      </c>
      <c r="BI108" s="2" t="n">
        <v>30040.16</v>
      </c>
      <c r="BJ108" s="2" t="n">
        <v>63.96905982905983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127.29015</v>
      </c>
      <c r="BQ108" s="2" t="n">
        <v>0</v>
      </c>
      <c r="BR108" s="2" t="n">
        <v>30256.41920982906</v>
      </c>
      <c r="BS108" s="2" t="n">
        <v>1198.661025641026</v>
      </c>
      <c r="BT108" s="2" t="n">
        <v>0</v>
      </c>
      <c r="BU108" s="2" t="n">
        <v>6265.558017094017</v>
      </c>
      <c r="BV108" s="2" t="n">
        <v>7464.219042735042</v>
      </c>
      <c r="BW108" s="2" t="n">
        <v>37720.6382525641</v>
      </c>
      <c r="BX108" s="2" t="n">
        <v>8326.790000000001</v>
      </c>
      <c r="BY108" s="2" t="n">
        <v>1102.11</v>
      </c>
      <c r="BZ108" s="2" t="n">
        <v>0</v>
      </c>
      <c r="CA108" s="2" t="n">
        <v>9428.900000000001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1290</v>
      </c>
      <c r="B109" t="inlineStr">
        <is>
          <t>Kolumba 2, 70-035 Szczecin</t>
        </is>
      </c>
      <c r="C109" t="inlineStr">
        <is>
          <t>Szczecin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9291</v>
      </c>
      <c r="L109" s="2" t="n">
        <v>773.3897222222223</v>
      </c>
      <c r="M109" s="2" t="n">
        <v>8602.777777777777</v>
      </c>
      <c r="N109" s="2" t="n">
        <v>3438.63</v>
      </c>
      <c r="O109" s="2" t="n">
        <v>5852.37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25991.47</v>
      </c>
      <c r="AP109" s="2" t="n">
        <v>2021.558777777778</v>
      </c>
      <c r="AQ109" s="2" t="n">
        <v>24066.17592592593</v>
      </c>
      <c r="AR109" s="2" t="n">
        <v>9987.49</v>
      </c>
      <c r="AS109" s="2" t="n">
        <v>16003.98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35282.47</v>
      </c>
      <c r="BB109" s="2" t="n">
        <v>21856.35</v>
      </c>
      <c r="BC109" s="2">
        <f>F109+L109+R109+X109+AD109+AJ109+AP109+AV109+IF(BE109="",0,BE109)</f>
        <v/>
      </c>
      <c r="BD109" s="2" t="n">
        <v>336.58779</v>
      </c>
      <c r="BE109" s="2" t="n"/>
      <c r="BF109" s="2" t="n">
        <v>32668.9537037037</v>
      </c>
      <c r="BG109" s="2" t="n">
        <v>1387.63</v>
      </c>
      <c r="BH109" s="2" t="n">
        <v>187.2</v>
      </c>
      <c r="BI109" s="2" t="n">
        <v>30040.16</v>
      </c>
      <c r="BJ109" s="2" t="n">
        <v>63.96905982905983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295.060725</v>
      </c>
      <c r="BQ109" s="2" t="n">
        <v>0</v>
      </c>
      <c r="BR109" s="2" t="n">
        <v>31999.01978482906</v>
      </c>
      <c r="BS109" s="2" t="n">
        <v>1198.661025641026</v>
      </c>
      <c r="BT109" s="2" t="n">
        <v>0</v>
      </c>
      <c r="BU109" s="2" t="n">
        <v>6580.524017094018</v>
      </c>
      <c r="BV109" s="2" t="n">
        <v>7779.185042735044</v>
      </c>
      <c r="BW109" s="2" t="n">
        <v>39778.2048275641</v>
      </c>
      <c r="BX109" s="2" t="n">
        <v>21856.35</v>
      </c>
      <c r="BY109" s="2" t="n">
        <v>0</v>
      </c>
      <c r="BZ109" s="2" t="n">
        <v>13426.12</v>
      </c>
      <c r="CA109" s="2" t="n">
        <v>21856.35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1291</v>
      </c>
      <c r="B110" t="inlineStr">
        <is>
          <t>pl. Dworcowy 1, 82-300 Elbląg</t>
        </is>
      </c>
      <c r="C110" t="inlineStr">
        <is>
          <t>Elbląg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3466.98</v>
      </c>
      <c r="L110" s="2" t="n">
        <v>288.5939833333334</v>
      </c>
      <c r="M110" s="2" t="n">
        <v>3210.166666666667</v>
      </c>
      <c r="N110" s="2" t="n">
        <v>960.6799999999999</v>
      </c>
      <c r="O110" s="2" t="n">
        <v>2260.57</v>
      </c>
      <c r="P110" s="2" t="n">
        <v>245.73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15033.84</v>
      </c>
      <c r="AP110" s="2" t="n">
        <v>1169.298666666667</v>
      </c>
      <c r="AQ110" s="2" t="n">
        <v>13920.22222222222</v>
      </c>
      <c r="AR110" s="2" t="n">
        <v>4653.63</v>
      </c>
      <c r="AS110" s="2" t="n">
        <v>9597.049999999999</v>
      </c>
      <c r="AT110" s="2" t="n">
        <v>783.16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18500.82</v>
      </c>
      <c r="BB110" s="2" t="n">
        <v>12886.51</v>
      </c>
      <c r="BC110" s="2">
        <f>F110+L110+R110+X110+AD110+AJ110+AP110+AV110+IF(BE110="",0,BE110)</f>
        <v/>
      </c>
      <c r="BD110" s="2" t="n">
        <v>198.452254</v>
      </c>
      <c r="BE110" s="2" t="n"/>
      <c r="BF110" s="2" t="n">
        <v>17130.38888888889</v>
      </c>
      <c r="BG110" s="2" t="n">
        <v>371.81</v>
      </c>
      <c r="BH110" s="2" t="n">
        <v>245</v>
      </c>
      <c r="BI110" s="2" t="n">
        <v>30040.16</v>
      </c>
      <c r="BJ110" s="2" t="n">
        <v>63.96905982905983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173.967885</v>
      </c>
      <c r="BQ110" s="2" t="n">
        <v>0</v>
      </c>
      <c r="BR110" s="2" t="n">
        <v>30919.90694482906</v>
      </c>
      <c r="BS110" s="2" t="n">
        <v>1198.661025641026</v>
      </c>
      <c r="BT110" s="2" t="n">
        <v>0</v>
      </c>
      <c r="BU110" s="2" t="n">
        <v>6388.920017094017</v>
      </c>
      <c r="BV110" s="2" t="n">
        <v>7587.581042735043</v>
      </c>
      <c r="BW110" s="2" t="n">
        <v>38507.4879875641</v>
      </c>
      <c r="BX110" s="2" t="n">
        <v>11857.62</v>
      </c>
      <c r="BY110" s="2" t="n">
        <v>1028.89</v>
      </c>
      <c r="BZ110" s="2" t="n">
        <v>5614.31</v>
      </c>
      <c r="CA110" s="2" t="n">
        <v>12886.51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1292</v>
      </c>
      <c r="B111" t="inlineStr">
        <is>
          <t>Dworcowa 8A, 84-310 Lębork</t>
        </is>
      </c>
      <c r="C111" t="inlineStr">
        <is>
          <t>Lębork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2796.16</v>
      </c>
      <c r="L111" s="2" t="n">
        <v>232.7544296296296</v>
      </c>
      <c r="M111" s="2" t="n">
        <v>2589.037037037037</v>
      </c>
      <c r="N111" s="2" t="n">
        <v>1368.99</v>
      </c>
      <c r="O111" s="2" t="n">
        <v>1361.45</v>
      </c>
      <c r="P111" s="2" t="n">
        <v>65.72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6850.500000000001</v>
      </c>
      <c r="AP111" s="2" t="n">
        <v>4100</v>
      </c>
      <c r="AQ111" s="2" t="n">
        <v>6343.055555555556</v>
      </c>
      <c r="AR111" s="2" t="n">
        <v>3377.9</v>
      </c>
      <c r="AS111" s="2" t="n">
        <v>3058.46</v>
      </c>
      <c r="AT111" s="2" t="n">
        <v>414.14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9646.66</v>
      </c>
      <c r="BB111" s="2" t="n">
        <v>4899.77</v>
      </c>
      <c r="BC111" s="2">
        <f>F111+L111+R111+X111+AD111+AJ111+AP111+AV111+IF(BE111="",0,BE111)</f>
        <v/>
      </c>
      <c r="BD111" s="2" t="n">
        <v>75.456458</v>
      </c>
      <c r="BE111" s="2" t="n"/>
      <c r="BF111" s="2" t="n">
        <v>8932.092592592593</v>
      </c>
      <c r="BG111" s="2" t="n">
        <v>0</v>
      </c>
      <c r="BH111" s="2" t="n">
        <v>0</v>
      </c>
      <c r="BI111" s="2" t="n">
        <v>30040.16</v>
      </c>
      <c r="BJ111" s="2" t="n">
        <v>63.96905982905983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66.146895</v>
      </c>
      <c r="BQ111" s="2" t="n">
        <v>0</v>
      </c>
      <c r="BR111" s="2" t="n">
        <v>30195.27595482906</v>
      </c>
      <c r="BS111" s="2" t="n">
        <v>1198.661025641026</v>
      </c>
      <c r="BT111" s="2" t="n">
        <v>0</v>
      </c>
      <c r="BU111" s="2" t="n">
        <v>6265.558017094017</v>
      </c>
      <c r="BV111" s="2" t="n">
        <v>7464.219042735042</v>
      </c>
      <c r="BW111" s="2" t="n">
        <v>37659.4949975641</v>
      </c>
      <c r="BX111" s="2" t="n">
        <v>4419.91</v>
      </c>
      <c r="BY111" s="2" t="n">
        <v>479.86</v>
      </c>
      <c r="BZ111" s="2" t="n">
        <v>4746.89</v>
      </c>
      <c r="CA111" s="2" t="n">
        <v>4899.77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1293</v>
      </c>
      <c r="B112" t="inlineStr">
        <is>
          <t>Dworcowa 10, 84-100 Puck</t>
        </is>
      </c>
      <c r="C112" t="inlineStr">
        <is>
          <t>Puck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6</v>
      </c>
      <c r="L112" s="2" t="n">
        <v>0.4994444444444445</v>
      </c>
      <c r="M112" s="2" t="n">
        <v>5.555555555555555</v>
      </c>
      <c r="N112" s="2" t="n">
        <v>0</v>
      </c>
      <c r="O112" s="2" t="n">
        <v>6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3665.84</v>
      </c>
      <c r="AP112" s="2" t="n">
        <v>4200</v>
      </c>
      <c r="AQ112" s="2" t="n">
        <v>3394.296296296296</v>
      </c>
      <c r="AR112" s="2" t="n">
        <v>980.8</v>
      </c>
      <c r="AS112" s="2" t="n">
        <v>2402.45</v>
      </c>
      <c r="AT112" s="2" t="n">
        <v>282.59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3671.84</v>
      </c>
      <c r="BB112" s="2" t="n">
        <v>2691.04</v>
      </c>
      <c r="BC112" s="2">
        <f>F112+L112+R112+X112+AD112+AJ112+AP112+AV112+IF(BE112="",0,BE112)</f>
        <v/>
      </c>
      <c r="BD112" s="2" t="n">
        <v>41.442016</v>
      </c>
      <c r="BE112" s="2" t="n"/>
      <c r="BF112" s="2" t="n">
        <v>3399.851851851852</v>
      </c>
      <c r="BG112" s="2" t="n">
        <v>0</v>
      </c>
      <c r="BH112" s="2" t="n">
        <v>0</v>
      </c>
      <c r="BI112" s="2" t="n">
        <v>30040.16</v>
      </c>
      <c r="BJ112" s="2" t="n">
        <v>63.96905982905983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36.32904</v>
      </c>
      <c r="BQ112" s="2" t="n">
        <v>0</v>
      </c>
      <c r="BR112" s="2" t="n">
        <v>30165.45809982906</v>
      </c>
      <c r="BS112" s="2" t="n">
        <v>1198.661025641026</v>
      </c>
      <c r="BT112" s="2" t="n">
        <v>0</v>
      </c>
      <c r="BU112" s="2" t="n">
        <v>6265.558017094017</v>
      </c>
      <c r="BV112" s="2" t="n">
        <v>7464.219042735042</v>
      </c>
      <c r="BW112" s="2" t="n">
        <v>37629.6771425641</v>
      </c>
      <c r="BX112" s="2" t="n">
        <v>2408.45</v>
      </c>
      <c r="BY112" s="2" t="n">
        <v>282.59</v>
      </c>
      <c r="BZ112" s="2" t="n">
        <v>980.8</v>
      </c>
      <c r="CA112" s="2" t="n">
        <v>2691.04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1294</v>
      </c>
      <c r="B113" t="inlineStr">
        <is>
          <t>Plac Dworcowy 3, 49-300 Brzeg</t>
        </is>
      </c>
      <c r="C113" t="inlineStr">
        <is>
          <t>Brzeg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9274.799999999999</v>
      </c>
      <c r="L113" s="2" t="n">
        <v>772.0412222222222</v>
      </c>
      <c r="M113" s="2" t="n">
        <v>8587.777777777777</v>
      </c>
      <c r="N113" s="2" t="n">
        <v>1586.29</v>
      </c>
      <c r="O113" s="2" t="n">
        <v>7197.96</v>
      </c>
      <c r="P113" s="2" t="n">
        <v>490.55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14490.5</v>
      </c>
      <c r="AP113" s="2" t="n">
        <v>1127.038888888889</v>
      </c>
      <c r="AQ113" s="2" t="n">
        <v>13417.12962962963</v>
      </c>
      <c r="AR113" s="2" t="n">
        <v>2978.98</v>
      </c>
      <c r="AS113" s="2" t="n">
        <v>10146.14</v>
      </c>
      <c r="AT113" s="2" t="n">
        <v>1365.38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23765.3</v>
      </c>
      <c r="BB113" s="2" t="n">
        <v>19200.03</v>
      </c>
      <c r="BC113" s="2">
        <f>F113+L113+R113+X113+AD113+AJ113+AP113+AV113+IF(BE113="",0,BE113)</f>
        <v/>
      </c>
      <c r="BD113" s="2" t="n">
        <v>295.680462</v>
      </c>
      <c r="BE113" s="2" t="n"/>
      <c r="BF113" s="2" t="n">
        <v>22004.90740740741</v>
      </c>
      <c r="BG113" s="2" t="n">
        <v>0</v>
      </c>
      <c r="BH113" s="2" t="n">
        <v>0</v>
      </c>
      <c r="BI113" s="2" t="n">
        <v>30040.16</v>
      </c>
      <c r="BJ113" s="2" t="n">
        <v>63.96905982905983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259.200405</v>
      </c>
      <c r="BQ113" s="2" t="n">
        <v>0</v>
      </c>
      <c r="BR113" s="2" t="n">
        <v>30388.32946482906</v>
      </c>
      <c r="BS113" s="2" t="n">
        <v>1198.661025641026</v>
      </c>
      <c r="BT113" s="2" t="n">
        <v>0</v>
      </c>
      <c r="BU113" s="2" t="n">
        <v>6265.558017094017</v>
      </c>
      <c r="BV113" s="2" t="n">
        <v>7464.219042735042</v>
      </c>
      <c r="BW113" s="2" t="n">
        <v>37852.5485075641</v>
      </c>
      <c r="BX113" s="2" t="n">
        <v>17344.1</v>
      </c>
      <c r="BY113" s="2" t="n">
        <v>1855.93</v>
      </c>
      <c r="BZ113" s="2" t="n">
        <v>4565.27</v>
      </c>
      <c r="CA113" s="2" t="n">
        <v>19200.03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1295</v>
      </c>
      <c r="B114" t="inlineStr">
        <is>
          <t>Zygmunta Starego 1, 64-920 Piła</t>
        </is>
      </c>
      <c r="C114" t="inlineStr">
        <is>
          <t>Piła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2893.62</v>
      </c>
      <c r="L114" s="2" t="n">
        <v>240.8670722222222</v>
      </c>
      <c r="M114" s="2" t="n">
        <v>2679.277777777777</v>
      </c>
      <c r="N114" s="2" t="n">
        <v>506.59</v>
      </c>
      <c r="O114" s="2" t="n">
        <v>2111.75</v>
      </c>
      <c r="P114" s="2" t="n">
        <v>275.28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4809.44</v>
      </c>
      <c r="AD114" s="2" t="n">
        <v>311.7229629629629</v>
      </c>
      <c r="AE114" s="2" t="n">
        <v>4453.185185185184</v>
      </c>
      <c r="AF114" s="2" t="n">
        <v>643</v>
      </c>
      <c r="AG114" s="2" t="n">
        <v>3633.4</v>
      </c>
      <c r="AH114" s="2" t="n">
        <v>533.04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10088.78</v>
      </c>
      <c r="AP114" s="2" t="n">
        <v>784.6828888888888</v>
      </c>
      <c r="AQ114" s="2" t="n">
        <v>9341.462962962962</v>
      </c>
      <c r="AR114" s="2" t="n">
        <v>2473.39</v>
      </c>
      <c r="AS114" s="2" t="n">
        <v>6779.74</v>
      </c>
      <c r="AT114" s="2" t="n">
        <v>835.65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17791.84</v>
      </c>
      <c r="BB114" s="2" t="n">
        <v>14168.86</v>
      </c>
      <c r="BC114" s="2">
        <f>F114+L114+R114+X114+AD114+AJ114+AP114+AV114+IF(BE114="",0,BE114)</f>
        <v/>
      </c>
      <c r="BD114" s="2" t="n">
        <v>218.200444</v>
      </c>
      <c r="BE114" s="2" t="n"/>
      <c r="BF114" s="2" t="n">
        <v>16473.92592592592</v>
      </c>
      <c r="BG114" s="2" t="n">
        <v>0</v>
      </c>
      <c r="BH114" s="2" t="n">
        <v>0</v>
      </c>
      <c r="BI114" s="2" t="n">
        <v>30040.16</v>
      </c>
      <c r="BJ114" s="2" t="n">
        <v>63.96905982905983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191.27961</v>
      </c>
      <c r="BQ114" s="2" t="n">
        <v>0</v>
      </c>
      <c r="BR114" s="2" t="n">
        <v>30320.40866982906</v>
      </c>
      <c r="BS114" s="2" t="n">
        <v>1198.661025641026</v>
      </c>
      <c r="BT114" s="2" t="n">
        <v>0</v>
      </c>
      <c r="BU114" s="2" t="n">
        <v>6265.558017094017</v>
      </c>
      <c r="BV114" s="2" t="n">
        <v>7464.219042735042</v>
      </c>
      <c r="BW114" s="2" t="n">
        <v>37784.6277125641</v>
      </c>
      <c r="BX114" s="2" t="n">
        <v>12524.89</v>
      </c>
      <c r="BY114" s="2" t="n">
        <v>1643.97</v>
      </c>
      <c r="BZ114" s="2" t="n">
        <v>3622.98</v>
      </c>
      <c r="CA114" s="2" t="n">
        <v>14168.86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1296</v>
      </c>
      <c r="B115" t="inlineStr">
        <is>
          <t>Dworcowa 2, 61-801 Poznań</t>
        </is>
      </c>
      <c r="C115" t="inlineStr">
        <is>
          <t>Poznań Główny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8686.919999999998</v>
      </c>
      <c r="L115" s="2" t="n">
        <v>723.1056555555555</v>
      </c>
      <c r="M115" s="2" t="n">
        <v>8043.444444444443</v>
      </c>
      <c r="N115" s="2" t="n">
        <v>1826.08</v>
      </c>
      <c r="O115" s="2" t="n">
        <v>6444.29</v>
      </c>
      <c r="P115" s="2" t="n">
        <v>416.55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14472.6</v>
      </c>
      <c r="AD115" s="2" t="n">
        <v>938.038888888889</v>
      </c>
      <c r="AE115" s="2" t="n">
        <v>13400.55555555556</v>
      </c>
      <c r="AF115" s="2" t="n">
        <v>2422.63</v>
      </c>
      <c r="AG115" s="2" t="n">
        <v>11283.93</v>
      </c>
      <c r="AH115" s="2" t="n">
        <v>766.04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4923.139999999999</v>
      </c>
      <c r="AP115" s="2" t="n">
        <v>382.9108888888888</v>
      </c>
      <c r="AQ115" s="2" t="n">
        <v>4558.462962962962</v>
      </c>
      <c r="AR115" s="2" t="n">
        <v>1175.49</v>
      </c>
      <c r="AS115" s="2" t="n">
        <v>3628.71</v>
      </c>
      <c r="AT115" s="2" t="n">
        <v>118.94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28082.66</v>
      </c>
      <c r="BB115" s="2" t="n">
        <v>22658.46</v>
      </c>
      <c r="BC115" s="2">
        <f>F115+L115+R115+X115+AD115+AJ115+AP115+AV115+IF(BE115="",0,BE115)</f>
        <v/>
      </c>
      <c r="BD115" s="2" t="n">
        <v>348.9402840000001</v>
      </c>
      <c r="BE115" s="2" t="n"/>
      <c r="BF115" s="2" t="n">
        <v>26002.46296296296</v>
      </c>
      <c r="BG115" s="2" t="n">
        <v>0</v>
      </c>
      <c r="BH115" s="2" t="n">
        <v>0</v>
      </c>
      <c r="BI115" s="2" t="n">
        <v>30040.16</v>
      </c>
      <c r="BJ115" s="2" t="n">
        <v>63.96905982905983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305.88921</v>
      </c>
      <c r="BQ115" s="2" t="n">
        <v>0</v>
      </c>
      <c r="BR115" s="2" t="n">
        <v>30435.01826982906</v>
      </c>
      <c r="BS115" s="2" t="n">
        <v>1198.661025641026</v>
      </c>
      <c r="BT115" s="2" t="n">
        <v>0</v>
      </c>
      <c r="BU115" s="2" t="n">
        <v>6265.558017094017</v>
      </c>
      <c r="BV115" s="2" t="n">
        <v>7464.219042735042</v>
      </c>
      <c r="BW115" s="2" t="n">
        <v>37899.2373125641</v>
      </c>
      <c r="BX115" s="2" t="n">
        <v>21356.93</v>
      </c>
      <c r="BY115" s="2" t="n">
        <v>1301.53</v>
      </c>
      <c r="BZ115" s="2" t="n">
        <v>5424.2</v>
      </c>
      <c r="CA115" s="2" t="n">
        <v>22658.46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1297</v>
      </c>
      <c r="B116" t="inlineStr">
        <is>
          <t>Dworcowa 2, 61-801 Poznań</t>
        </is>
      </c>
      <c r="C116" t="inlineStr">
        <is>
          <t>Poznań Główny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4453.13</v>
      </c>
      <c r="L116" s="2" t="n">
        <v>370.6818398148149</v>
      </c>
      <c r="M116" s="2" t="n">
        <v>4123.268518518518</v>
      </c>
      <c r="N116" s="2" t="n">
        <v>1061.55</v>
      </c>
      <c r="O116" s="2" t="n">
        <v>2980.86</v>
      </c>
      <c r="P116" s="2" t="n">
        <v>410.72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7372.64</v>
      </c>
      <c r="AD116" s="2" t="n">
        <v>477.8562962962963</v>
      </c>
      <c r="AE116" s="2" t="n">
        <v>6826.518518518518</v>
      </c>
      <c r="AF116" s="2" t="n">
        <v>1337.9</v>
      </c>
      <c r="AG116" s="2" t="n">
        <v>5685.96</v>
      </c>
      <c r="AH116" s="2" t="n">
        <v>348.78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2275.07</v>
      </c>
      <c r="AP116" s="2" t="n">
        <v>176.9498888888889</v>
      </c>
      <c r="AQ116" s="2" t="n">
        <v>2106.546296296297</v>
      </c>
      <c r="AR116" s="2" t="n">
        <v>516.76</v>
      </c>
      <c r="AS116" s="2" t="n">
        <v>1562.22</v>
      </c>
      <c r="AT116" s="2" t="n">
        <v>196.09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14100.84</v>
      </c>
      <c r="BB116" s="2" t="n">
        <v>11184.63</v>
      </c>
      <c r="BC116" s="2">
        <f>F116+L116+R116+X116+AD116+AJ116+AP116+AV116+IF(BE116="",0,BE116)</f>
        <v/>
      </c>
      <c r="BD116" s="2" t="n">
        <v>172.243302</v>
      </c>
      <c r="BE116" s="2" t="n"/>
      <c r="BF116" s="2" t="n">
        <v>13056.33333333333</v>
      </c>
      <c r="BG116" s="2" t="n">
        <v>0</v>
      </c>
      <c r="BH116" s="2" t="n">
        <v>0</v>
      </c>
      <c r="BI116" s="2" t="n">
        <v>30040.16</v>
      </c>
      <c r="BJ116" s="2" t="n">
        <v>63.96905982905983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150.992505</v>
      </c>
      <c r="BQ116" s="2" t="n">
        <v>0</v>
      </c>
      <c r="BR116" s="2" t="n">
        <v>30280.12156482906</v>
      </c>
      <c r="BS116" s="2" t="n">
        <v>1198.661025641026</v>
      </c>
      <c r="BT116" s="2" t="n">
        <v>0</v>
      </c>
      <c r="BU116" s="2" t="n">
        <v>6265.558017094017</v>
      </c>
      <c r="BV116" s="2" t="n">
        <v>7464.219042735042</v>
      </c>
      <c r="BW116" s="2" t="n">
        <v>37744.3406075641</v>
      </c>
      <c r="BX116" s="2" t="n">
        <v>10229.04</v>
      </c>
      <c r="BY116" s="2" t="n">
        <v>955.59</v>
      </c>
      <c r="BZ116" s="2" t="n">
        <v>2916.21</v>
      </c>
      <c r="CA116" s="2" t="n">
        <v>11184.63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1298</v>
      </c>
      <c r="B117" t="inlineStr">
        <is>
          <t>Kolumba 2, 70-035 Szczecin</t>
        </is>
      </c>
      <c r="C117" t="inlineStr">
        <is>
          <t>Szczecin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6434.88</v>
      </c>
      <c r="L117" s="2" t="n">
        <v>535.6441777777778</v>
      </c>
      <c r="M117" s="2" t="n">
        <v>5958.222222222222</v>
      </c>
      <c r="N117" s="2" t="n">
        <v>2900.3</v>
      </c>
      <c r="O117" s="2" t="n">
        <v>3534.58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20995.16</v>
      </c>
      <c r="AP117" s="2" t="n">
        <v>1632.956888888889</v>
      </c>
      <c r="AQ117" s="2" t="n">
        <v>19439.96296296296</v>
      </c>
      <c r="AR117" s="2" t="n">
        <v>7515.95</v>
      </c>
      <c r="AS117" s="2" t="n">
        <v>13479.21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27430.04</v>
      </c>
      <c r="BB117" s="2" t="n">
        <v>17013.79</v>
      </c>
      <c r="BC117" s="2">
        <f>F117+L117+R117+X117+AD117+AJ117+AP117+AV117+IF(BE117="",0,BE117)</f>
        <v/>
      </c>
      <c r="BD117" s="2" t="n">
        <v>262.012366</v>
      </c>
      <c r="BE117" s="2" t="n"/>
      <c r="BF117" s="2" t="n">
        <v>25398.18518518518</v>
      </c>
      <c r="BG117" s="2" t="n">
        <v>1387.63</v>
      </c>
      <c r="BH117" s="2" t="n">
        <v>187.2</v>
      </c>
      <c r="BI117" s="2" t="n">
        <v>30040.16</v>
      </c>
      <c r="BJ117" s="2" t="n">
        <v>63.96905982905983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229.686165</v>
      </c>
      <c r="BQ117" s="2" t="n">
        <v>0</v>
      </c>
      <c r="BR117" s="2" t="n">
        <v>31933.64522482906</v>
      </c>
      <c r="BS117" s="2" t="n">
        <v>1198.661025641026</v>
      </c>
      <c r="BT117" s="2" t="n">
        <v>0</v>
      </c>
      <c r="BU117" s="2" t="n">
        <v>6580.524017094018</v>
      </c>
      <c r="BV117" s="2" t="n">
        <v>7779.185042735044</v>
      </c>
      <c r="BW117" s="2" t="n">
        <v>39712.8302675641</v>
      </c>
      <c r="BX117" s="2" t="n">
        <v>17013.79</v>
      </c>
      <c r="BY117" s="2" t="n">
        <v>0</v>
      </c>
      <c r="BZ117" s="2" t="n">
        <v>10416.25</v>
      </c>
      <c r="CA117" s="2" t="n">
        <v>17013.79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1299</v>
      </c>
      <c r="B118" t="inlineStr">
        <is>
          <t>Pawia 5a, 31-154 Kraków</t>
        </is>
      </c>
      <c r="C118" t="inlineStr">
        <is>
          <t>Kraków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13850.25</v>
      </c>
      <c r="L118" s="2" t="n">
        <v>1152.905069444445</v>
      </c>
      <c r="M118" s="2" t="n">
        <v>12824.30555555555</v>
      </c>
      <c r="N118" s="2" t="n">
        <v>3096.97</v>
      </c>
      <c r="O118" s="2" t="n">
        <v>10307.53</v>
      </c>
      <c r="P118" s="2" t="n">
        <v>445.75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11043.32</v>
      </c>
      <c r="X118" s="2" t="n">
        <v>880</v>
      </c>
      <c r="Y118" s="2" t="n">
        <v>10225.2962962963</v>
      </c>
      <c r="Z118" s="2" t="n">
        <v>1300.02</v>
      </c>
      <c r="AA118" s="2" t="n">
        <v>8988.34</v>
      </c>
      <c r="AB118" s="2" t="n">
        <v>754.96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7377.05</v>
      </c>
      <c r="AP118" s="2" t="n">
        <v>573.7705555555556</v>
      </c>
      <c r="AQ118" s="2" t="n">
        <v>6830.601851851851</v>
      </c>
      <c r="AR118" s="2" t="n">
        <v>921.96</v>
      </c>
      <c r="AS118" s="2" t="n">
        <v>6178.6</v>
      </c>
      <c r="AT118" s="2" t="n">
        <v>276.49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32270.62</v>
      </c>
      <c r="BB118" s="2" t="n">
        <v>26951.67</v>
      </c>
      <c r="BC118" s="2">
        <f>F118+L118+R118+X118+AD118+AJ118+AP118+AV118+IF(BE118="",0,BE118)</f>
        <v/>
      </c>
      <c r="BD118" s="2" t="n">
        <v>396.543448</v>
      </c>
      <c r="BE118" s="2" t="n"/>
      <c r="BF118" s="2" t="n">
        <v>29880.2037037037</v>
      </c>
      <c r="BG118" s="2" t="n">
        <v>0</v>
      </c>
      <c r="BH118" s="2" t="n">
        <v>0</v>
      </c>
      <c r="BI118" s="2" t="n">
        <v>30040.16</v>
      </c>
      <c r="BJ118" s="2" t="n">
        <v>63.96905982905983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363.847545</v>
      </c>
      <c r="BQ118" s="2" t="n">
        <v>0</v>
      </c>
      <c r="BR118" s="2" t="n">
        <v>30492.97660482906</v>
      </c>
      <c r="BS118" s="2" t="n">
        <v>1198.661025641026</v>
      </c>
      <c r="BT118" s="2" t="n">
        <v>0</v>
      </c>
      <c r="BU118" s="2" t="n">
        <v>6265.558017094017</v>
      </c>
      <c r="BV118" s="2" t="n">
        <v>7464.219042735042</v>
      </c>
      <c r="BW118" s="2" t="n">
        <v>37957.1956475641</v>
      </c>
      <c r="BX118" s="2" t="n">
        <v>25474.47</v>
      </c>
      <c r="BY118" s="2" t="n">
        <v>1477.2</v>
      </c>
      <c r="BZ118" s="2" t="n">
        <v>5318.95</v>
      </c>
      <c r="CA118" s="2" t="n">
        <v>26951.67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s="3" t="inlineStr">
        <is>
          <t>PODSUMOWANIE</t>
        </is>
      </c>
      <c r="B119" s="3" t="n"/>
      <c r="C119" s="3" t="n"/>
      <c r="D119" s="3" t="n"/>
      <c r="E119" s="4">
        <f>SUM(E2:E118)</f>
        <v/>
      </c>
      <c r="F119" s="4">
        <f>SUM(F2:F118)</f>
        <v/>
      </c>
      <c r="G119" s="4">
        <f>SUM(G2:G118)</f>
        <v/>
      </c>
      <c r="H119" s="4">
        <f>SUM(H2:H118)</f>
        <v/>
      </c>
      <c r="I119" s="4">
        <f>SUM(I2:I118)</f>
        <v/>
      </c>
      <c r="J119" s="4">
        <f>SUM(J2:J118)</f>
        <v/>
      </c>
      <c r="K119" s="4">
        <f>SUM(K2:K118)</f>
        <v/>
      </c>
      <c r="L119" s="4">
        <f>SUM(L2:L118)</f>
        <v/>
      </c>
      <c r="M119" s="4">
        <f>SUM(M2:M118)</f>
        <v/>
      </c>
      <c r="N119" s="4">
        <f>SUM(N2:N118)</f>
        <v/>
      </c>
      <c r="O119" s="4">
        <f>SUM(O2:O118)</f>
        <v/>
      </c>
      <c r="P119" s="4">
        <f>SUM(P2:P118)</f>
        <v/>
      </c>
      <c r="Q119" s="4">
        <f>SUM(Q2:Q118)</f>
        <v/>
      </c>
      <c r="R119" s="4">
        <f>SUM(R2:R118)</f>
        <v/>
      </c>
      <c r="S119" s="4">
        <f>SUM(S2:S118)</f>
        <v/>
      </c>
      <c r="T119" s="4">
        <f>SUM(T2:T118)</f>
        <v/>
      </c>
      <c r="U119" s="4">
        <f>SUM(U2:U118)</f>
        <v/>
      </c>
      <c r="V119" s="4">
        <f>SUM(V2:V118)</f>
        <v/>
      </c>
      <c r="W119" s="4">
        <f>SUM(W2:W118)</f>
        <v/>
      </c>
      <c r="X119" s="4">
        <f>SUM(X2:X118)</f>
        <v/>
      </c>
      <c r="Y119" s="4">
        <f>SUM(Y2:Y118)</f>
        <v/>
      </c>
      <c r="Z119" s="4">
        <f>SUM(Z2:Z118)</f>
        <v/>
      </c>
      <c r="AA119" s="4">
        <f>SUM(AA2:AA118)</f>
        <v/>
      </c>
      <c r="AB119" s="4">
        <f>SUM(AB2:AB118)</f>
        <v/>
      </c>
      <c r="AC119" s="4">
        <f>SUM(AC2:AC118)</f>
        <v/>
      </c>
      <c r="AD119" s="4">
        <f>SUM(AD2:AD118)</f>
        <v/>
      </c>
      <c r="AE119" s="4">
        <f>SUM(AE2:AE118)</f>
        <v/>
      </c>
      <c r="AF119" s="4">
        <f>SUM(AF2:AF118)</f>
        <v/>
      </c>
      <c r="AG119" s="4">
        <f>SUM(AG2:AG118)</f>
        <v/>
      </c>
      <c r="AH119" s="4">
        <f>SUM(AH2:AH118)</f>
        <v/>
      </c>
      <c r="AI119" s="4">
        <f>SUM(AI2:AI118)</f>
        <v/>
      </c>
      <c r="AJ119" s="4">
        <f>SUM(AJ2:AJ118)</f>
        <v/>
      </c>
      <c r="AK119" s="4">
        <f>SUM(AK2:AK118)</f>
        <v/>
      </c>
      <c r="AL119" s="4">
        <f>SUM(AL2:AL118)</f>
        <v/>
      </c>
      <c r="AM119" s="4">
        <f>SUM(AM2:AM118)</f>
        <v/>
      </c>
      <c r="AN119" s="4">
        <f>SUM(AN2:AN118)</f>
        <v/>
      </c>
      <c r="AO119" s="4">
        <f>SUM(AO2:AO118)</f>
        <v/>
      </c>
      <c r="AP119" s="4">
        <f>SUM(AP2:AP118)</f>
        <v/>
      </c>
      <c r="AQ119" s="4">
        <f>SUM(AQ2:AQ118)</f>
        <v/>
      </c>
      <c r="AR119" s="4">
        <f>SUM(AR2:AR118)</f>
        <v/>
      </c>
      <c r="AS119" s="4">
        <f>SUM(AS2:AS118)</f>
        <v/>
      </c>
      <c r="AT119" s="4">
        <f>SUM(AT2:AT118)</f>
        <v/>
      </c>
      <c r="AU119" s="4">
        <f>SUM(AU2:AU118)</f>
        <v/>
      </c>
      <c r="AV119" s="4">
        <f>SUM(AV2:AV118)</f>
        <v/>
      </c>
      <c r="AW119" s="4">
        <f>SUM(AW2:AW118)</f>
        <v/>
      </c>
      <c r="AX119" s="4">
        <f>SUM(AX2:AX118)</f>
        <v/>
      </c>
      <c r="AY119" s="4">
        <f>SUM(AY2:AY118)</f>
        <v/>
      </c>
      <c r="AZ119" s="4">
        <f>SUM(AZ2:AZ118)</f>
        <v/>
      </c>
      <c r="BA119" s="4">
        <f>SUM(BA2:BA118)</f>
        <v/>
      </c>
      <c r="BB119" s="4">
        <f>SUM(BB2:BB118)</f>
        <v/>
      </c>
      <c r="BC119" s="4">
        <f>SUM(BC2:BC118)</f>
        <v/>
      </c>
      <c r="BD119" s="4">
        <f>SUM(BD2:BD118)</f>
        <v/>
      </c>
      <c r="BE119" s="4">
        <f>SUM(BE2:BE118)</f>
        <v/>
      </c>
      <c r="BF119" s="4">
        <f>SUM(BF2:BF118)</f>
        <v/>
      </c>
      <c r="BG119" s="4">
        <f>SUM(BG2:BG118)</f>
        <v/>
      </c>
      <c r="BH119" s="4">
        <f>SUM(BH2:BH118)</f>
        <v/>
      </c>
      <c r="BI119" s="4">
        <f>SUM(BI2:BI118)</f>
        <v/>
      </c>
      <c r="BJ119" s="4">
        <f>SUM(BJ2:BJ118)</f>
        <v/>
      </c>
      <c r="BK119" s="4">
        <f>SUM(BK2:BK118)</f>
        <v/>
      </c>
      <c r="BL119" s="4">
        <f>SUM(BL2:BL118)</f>
        <v/>
      </c>
      <c r="BM119" s="4">
        <f>SUM(BM2:BM118)</f>
        <v/>
      </c>
      <c r="BN119" s="4">
        <f>SUM(BN2:BN118)</f>
        <v/>
      </c>
      <c r="BO119" s="4">
        <f>SUM(BO2:BO118)</f>
        <v/>
      </c>
      <c r="BP119" s="4">
        <f>SUM(BP2:BP118)</f>
        <v/>
      </c>
      <c r="BQ119" s="4">
        <f>SUM(BQ2:BQ118)</f>
        <v/>
      </c>
      <c r="BR119" s="4">
        <f>SUM(BR2:BR118)</f>
        <v/>
      </c>
      <c r="BS119" s="4">
        <f>SUM(BS2:BS118)</f>
        <v/>
      </c>
      <c r="BT119" s="4">
        <f>SUM(BT2:BT118)</f>
        <v/>
      </c>
      <c r="BU119" s="4">
        <f>SUM(BU2:BU118)</f>
        <v/>
      </c>
      <c r="BV119" s="4">
        <f>SUM(BV2:BV118)</f>
        <v/>
      </c>
      <c r="BW119" s="4">
        <f>SUM(BW2:BW118)</f>
        <v/>
      </c>
      <c r="BX119" s="4">
        <f>SUM(BX2:BX118)</f>
        <v/>
      </c>
      <c r="BY119" s="4">
        <f>SUM(BY2:BY118)</f>
        <v/>
      </c>
      <c r="BZ119" s="4">
        <f>SUM(BZ2:BZ118)</f>
        <v/>
      </c>
      <c r="CA119" s="4">
        <f>SUM(CA2:CA118)</f>
        <v/>
      </c>
      <c r="CB119" s="4">
        <f>SUM(CB2:CB118)</f>
        <v/>
      </c>
      <c r="CC119" s="3" t="n"/>
    </row>
  </sheetData>
  <conditionalFormatting sqref="CB2:CB118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C12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3" customWidth="1" min="3" max="3"/>
    <col width="14" customWidth="1" min="4" max="4"/>
    <col width="19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21" customWidth="1" min="12" max="12"/>
    <col width="20" customWidth="1" min="13" max="13"/>
    <col width="15" customWidth="1" min="14" max="14"/>
    <col width="15" customWidth="1" min="15" max="15"/>
    <col width="15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9" customWidth="1" min="23" max="23"/>
    <col width="15" customWidth="1" min="24" max="24"/>
    <col width="20" customWidth="1" min="25" max="25"/>
    <col width="15" customWidth="1" min="26" max="26"/>
    <col width="17" customWidth="1" min="27" max="27"/>
    <col width="17" customWidth="1" min="28" max="28"/>
    <col width="20" customWidth="1" min="29" max="29"/>
    <col width="22" customWidth="1" min="30" max="30"/>
    <col width="21" customWidth="1" min="31" max="31"/>
    <col width="17" customWidth="1" min="32" max="32"/>
    <col width="17" customWidth="1" min="33" max="33"/>
    <col width="17" customWidth="1" min="34" max="34"/>
    <col width="17" customWidth="1" min="35" max="35"/>
    <col width="20" customWidth="1" min="36" max="36"/>
    <col width="19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20" customWidth="1" min="43" max="43"/>
    <col width="17" customWidth="1" min="44" max="44"/>
    <col width="17" customWidth="1" min="45" max="45"/>
    <col width="17" customWidth="1" min="46" max="46"/>
    <col width="20" customWidth="1" min="47" max="47"/>
    <col width="20" customWidth="1" min="48" max="48"/>
    <col width="20" customWidth="1" min="49" max="49"/>
    <col width="17" customWidth="1" min="50" max="50"/>
    <col width="17" customWidth="1" min="51" max="51"/>
    <col width="17" customWidth="1" min="52" max="52"/>
    <col width="20" customWidth="1" min="53" max="53"/>
    <col width="30" customWidth="1" min="54" max="54"/>
    <col width="50" customWidth="1" min="55" max="55"/>
    <col width="20" customWidth="1" min="56" max="56"/>
    <col width="17" customWidth="1" min="57" max="57"/>
    <col width="20" customWidth="1" min="58" max="58"/>
    <col width="17" customWidth="1" min="59" max="59"/>
    <col width="17" customWidth="1" min="60" max="60"/>
    <col width="20" customWidth="1" min="61" max="61"/>
    <col width="19" customWidth="1" min="62" max="62"/>
    <col width="17" customWidth="1" min="63" max="63"/>
    <col width="27" customWidth="1" min="64" max="64"/>
    <col width="17" customWidth="1" min="65" max="65"/>
    <col width="19" customWidth="1" min="66" max="66"/>
    <col width="17" customWidth="1" min="67" max="67"/>
    <col width="20" customWidth="1" min="68" max="68"/>
    <col width="17" customWidth="1" min="69" max="69"/>
    <col width="20" customWidth="1" min="70" max="70"/>
    <col width="19" customWidth="1" min="71" max="71"/>
    <col width="24" customWidth="1" min="72" max="72"/>
    <col width="20" customWidth="1" min="73" max="73"/>
    <col width="27" customWidth="1" min="74" max="74"/>
    <col width="20" customWidth="1" min="75" max="75"/>
    <col width="20" customWidth="1" min="76" max="76"/>
    <col width="20" customWidth="1" min="77" max="77"/>
    <col width="20" customWidth="1" min="78" max="78"/>
    <col width="25" customWidth="1" min="79" max="79"/>
    <col width="37" customWidth="1" min="80" max="80"/>
    <col width="29" customWidth="1" min="81" max="81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Nazwa stacji</t>
        </is>
      </c>
      <c r="D1" s="1" t="inlineStr">
        <is>
          <t>Typ automatu</t>
        </is>
      </c>
      <c r="E1" s="1" t="inlineStr">
        <is>
          <t>Brutto ARP</t>
        </is>
      </c>
      <c r="F1" s="1" t="inlineStr">
        <is>
          <t>Prowizja ARP</t>
        </is>
      </c>
      <c r="G1" s="1" t="inlineStr">
        <is>
          <t>Netto ARP</t>
        </is>
      </c>
      <c r="H1" s="1" t="inlineStr">
        <is>
          <t>Gotówka ARP</t>
        </is>
      </c>
      <c r="I1" s="1" t="inlineStr">
        <is>
          <t>Karta ARP</t>
        </is>
      </c>
      <c r="J1" s="1" t="inlineStr">
        <is>
          <t>BLIK ARP</t>
        </is>
      </c>
      <c r="K1" s="1" t="inlineStr">
        <is>
          <t>Brutto IC</t>
        </is>
      </c>
      <c r="L1" s="1" t="inlineStr">
        <is>
          <t>Prowizja IC</t>
        </is>
      </c>
      <c r="M1" s="1" t="inlineStr">
        <is>
          <t>Netto IC</t>
        </is>
      </c>
      <c r="N1" s="1" t="inlineStr">
        <is>
          <t>Gotówka IC</t>
        </is>
      </c>
      <c r="O1" s="1" t="inlineStr">
        <is>
          <t>Karta IC</t>
        </is>
      </c>
      <c r="P1" s="1" t="inlineStr">
        <is>
          <t>BLIK IC</t>
        </is>
      </c>
      <c r="Q1" s="1" t="inlineStr">
        <is>
          <t>Brutto KD</t>
        </is>
      </c>
      <c r="R1" s="1" t="inlineStr">
        <is>
          <t>Prowizja KD</t>
        </is>
      </c>
      <c r="S1" s="1" t="inlineStr">
        <is>
          <t>Netto KD</t>
        </is>
      </c>
      <c r="T1" s="1" t="inlineStr">
        <is>
          <t>Gotówka KD</t>
        </is>
      </c>
      <c r="U1" s="1" t="inlineStr">
        <is>
          <t>Karta KD</t>
        </is>
      </c>
      <c r="V1" s="1" t="inlineStr">
        <is>
          <t>BLIK KD</t>
        </is>
      </c>
      <c r="W1" s="1" t="inlineStr">
        <is>
          <t>Brutto KMŁ</t>
        </is>
      </c>
      <c r="X1" s="1" t="inlineStr">
        <is>
          <t>Prowizja KMŁ</t>
        </is>
      </c>
      <c r="Y1" s="1" t="inlineStr">
        <is>
          <t>Netto KMŁ</t>
        </is>
      </c>
      <c r="Z1" s="1" t="inlineStr">
        <is>
          <t>Gotówka KMŁ</t>
        </is>
      </c>
      <c r="AA1" s="1" t="inlineStr">
        <is>
          <t>Karta KMŁ</t>
        </is>
      </c>
      <c r="AB1" s="1" t="inlineStr">
        <is>
          <t>BLIK KMŁ</t>
        </is>
      </c>
      <c r="AC1" s="1" t="inlineStr">
        <is>
          <t>Brutto KW</t>
        </is>
      </c>
      <c r="AD1" s="1" t="inlineStr">
        <is>
          <t>Prowizja KW</t>
        </is>
      </c>
      <c r="AE1" s="1" t="inlineStr">
        <is>
          <t>Netto KW</t>
        </is>
      </c>
      <c r="AF1" s="1" t="inlineStr">
        <is>
          <t>Gotówka KW</t>
        </is>
      </c>
      <c r="AG1" s="1" t="inlineStr">
        <is>
          <t>Karta KW</t>
        </is>
      </c>
      <c r="AH1" s="1" t="inlineStr">
        <is>
          <t>BLIK KW</t>
        </is>
      </c>
      <c r="AI1" s="1" t="inlineStr">
        <is>
          <t>Brutto LKA</t>
        </is>
      </c>
      <c r="AJ1" s="1" t="inlineStr">
        <is>
          <t>Prowizja LKA</t>
        </is>
      </c>
      <c r="AK1" s="1" t="inlineStr">
        <is>
          <t>Netto LKA</t>
        </is>
      </c>
      <c r="AL1" s="1" t="inlineStr">
        <is>
          <t>Gotówka LKA</t>
        </is>
      </c>
      <c r="AM1" s="1" t="inlineStr">
        <is>
          <t>Karta LKA</t>
        </is>
      </c>
      <c r="AN1" s="1" t="inlineStr">
        <is>
          <t>BLIK LKA</t>
        </is>
      </c>
      <c r="AO1" s="1" t="inlineStr">
        <is>
          <t>Brutto PR</t>
        </is>
      </c>
      <c r="AP1" s="1" t="inlineStr">
        <is>
          <t>Prowizja PR</t>
        </is>
      </c>
      <c r="AQ1" s="1" t="inlineStr">
        <is>
          <t>Netto PR</t>
        </is>
      </c>
      <c r="AR1" s="1" t="inlineStr">
        <is>
          <t>Gotówka PR</t>
        </is>
      </c>
      <c r="AS1" s="1" t="inlineStr">
        <is>
          <t>Karta PR</t>
        </is>
      </c>
      <c r="AT1" s="1" t="inlineStr">
        <is>
          <t>BLIK PR</t>
        </is>
      </c>
      <c r="AU1" s="1" t="inlineStr">
        <is>
          <t>Brutto SKM</t>
        </is>
      </c>
      <c r="AV1" s="1" t="inlineStr">
        <is>
          <t>Prowizja SKM</t>
        </is>
      </c>
      <c r="AW1" s="1" t="inlineStr">
        <is>
          <t>Netto SKM</t>
        </is>
      </c>
      <c r="AX1" s="1" t="inlineStr">
        <is>
          <t>Gotówka SKM</t>
        </is>
      </c>
      <c r="AY1" s="1" t="inlineStr">
        <is>
          <t>Karta SKM</t>
        </is>
      </c>
      <c r="AZ1" s="1" t="inlineStr">
        <is>
          <t>BLIK SKM</t>
        </is>
      </c>
      <c r="BA1" s="1" t="inlineStr">
        <is>
          <t>Brutto Suma</t>
        </is>
      </c>
      <c r="BB1" s="1" t="inlineStr">
        <is>
          <t>Transakcje bezgotówkowe Suma</t>
        </is>
      </c>
      <c r="BC1" s="1" t="inlineStr">
        <is>
          <t>Prowizja Suma</t>
        </is>
      </c>
      <c r="BD1" s="1" t="inlineStr">
        <is>
          <t>Interchange</t>
        </is>
      </c>
      <c r="BE1" s="1" t="inlineStr">
        <is>
          <t>Dodatkowe zyski</t>
        </is>
      </c>
      <c r="BF1" s="1" t="inlineStr">
        <is>
          <t>Netto Suma</t>
        </is>
      </c>
      <c r="BG1" s="1" t="inlineStr">
        <is>
          <t>czynsz</t>
        </is>
      </c>
      <c r="BH1" s="1" t="inlineStr">
        <is>
          <t>prad</t>
        </is>
      </c>
      <c r="BI1" s="1" t="inlineStr">
        <is>
          <t>elavon</t>
        </is>
      </c>
      <c r="BJ1" s="1" t="inlineStr">
        <is>
          <t>poczta polska</t>
        </is>
      </c>
      <c r="BK1" s="1" t="inlineStr">
        <is>
          <t>amortyzacja</t>
        </is>
      </c>
      <c r="BL1" s="1" t="inlineStr">
        <is>
          <t>utrzymanie oprogramowania</t>
        </is>
      </c>
      <c r="BM1" s="1" t="inlineStr">
        <is>
          <t>papier</t>
        </is>
      </c>
      <c r="BN1" s="1" t="inlineStr">
        <is>
          <t>transmisja danych</t>
        </is>
      </c>
      <c r="BO1" s="1" t="inlineStr">
        <is>
          <t>serwis</t>
        </is>
      </c>
      <c r="BP1" s="1" t="inlineStr">
        <is>
          <t>IT card</t>
        </is>
      </c>
      <c r="BQ1" s="1" t="inlineStr">
        <is>
          <t>ubezpieczenie</t>
        </is>
      </c>
      <c r="BR1" s="1" t="inlineStr">
        <is>
          <t>Koszty TVM Suma</t>
        </is>
      </c>
      <c r="BS1" s="1" t="inlineStr">
        <is>
          <t>NON TVM</t>
        </is>
      </c>
      <c r="BT1" s="1" t="inlineStr">
        <is>
          <t>Project Variable Costs</t>
        </is>
      </c>
      <c r="BU1" s="1" t="inlineStr">
        <is>
          <t>OH</t>
        </is>
      </c>
      <c r="BV1" s="1" t="inlineStr">
        <is>
          <t>TOTAL other project costs</t>
        </is>
      </c>
      <c r="BW1" s="1" t="inlineStr">
        <is>
          <t>SUMA KOSZTY</t>
        </is>
      </c>
      <c r="BX1" s="1" t="inlineStr">
        <is>
          <t>Karta Suma</t>
        </is>
      </c>
      <c r="BY1" s="1" t="inlineStr">
        <is>
          <t>BLIK Suma</t>
        </is>
      </c>
      <c r="BZ1" s="1" t="inlineStr">
        <is>
          <t>Gotówka Suma</t>
        </is>
      </c>
      <c r="CA1" s="1" t="inlineStr">
        <is>
          <t>Transakcje bezgotówkowe</t>
        </is>
      </c>
      <c r="CB1" s="1" t="inlineStr">
        <is>
          <t>Profit/loss</t>
        </is>
      </c>
      <c r="CC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>
        <is>
          <t>Kraków Główny</t>
        </is>
      </c>
      <c r="D2" t="inlineStr">
        <is>
          <t>BB8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17158.47</v>
      </c>
      <c r="L2" s="2" t="n">
        <v>1428.283752777778</v>
      </c>
      <c r="M2" s="2" t="n">
        <v>15887.47222222222</v>
      </c>
      <c r="N2" s="2" t="n">
        <v>0</v>
      </c>
      <c r="O2" s="2" t="n">
        <v>16470.18</v>
      </c>
      <c r="P2" s="2" t="n">
        <v>688.29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21966.85</v>
      </c>
      <c r="X2" s="2" t="n">
        <v>880</v>
      </c>
      <c r="Y2" s="2" t="n">
        <v>20339.67592592592</v>
      </c>
      <c r="Z2" s="2" t="n">
        <v>0</v>
      </c>
      <c r="AA2" s="2" t="n">
        <v>21325.98</v>
      </c>
      <c r="AB2" s="2" t="n">
        <v>640.87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11066.1</v>
      </c>
      <c r="AP2" s="2" t="n">
        <v>512.3194444444445</v>
      </c>
      <c r="AQ2" s="2" t="n">
        <v>10246.38888888889</v>
      </c>
      <c r="AR2" s="2" t="n">
        <v>0</v>
      </c>
      <c r="AS2" s="2" t="n">
        <v>10729.1</v>
      </c>
      <c r="AT2" s="2" t="n">
        <v>337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50191.42</v>
      </c>
      <c r="BB2" s="2" t="n">
        <v>50191.42</v>
      </c>
      <c r="BC2" s="2">
        <f>F2+L2+R2+X2+AD2+AJ2+AP2+AV2+IF(BE2="",0,BE2)</f>
        <v/>
      </c>
      <c r="BD2" s="2" t="n">
        <v>731.210853</v>
      </c>
      <c r="BE2" s="2" t="n"/>
      <c r="BF2" s="2" t="n">
        <v>46473.53703703704</v>
      </c>
      <c r="BG2" s="2" t="n">
        <v>0</v>
      </c>
      <c r="BH2" s="2" t="n">
        <v>0</v>
      </c>
      <c r="BI2" s="2" t="n">
        <v>29778.37</v>
      </c>
      <c r="BJ2" s="2" t="n">
        <v>50.22840336134454</v>
      </c>
      <c r="BK2" s="2" t="n">
        <v>0</v>
      </c>
      <c r="BL2" s="2" t="n">
        <v>20</v>
      </c>
      <c r="BM2" s="2" t="n">
        <v>0</v>
      </c>
      <c r="BN2" s="2" t="n">
        <v>5</v>
      </c>
      <c r="BO2" s="2" t="n">
        <v>0</v>
      </c>
      <c r="BP2" s="2" t="n">
        <v>677.58417</v>
      </c>
      <c r="BQ2" s="2" t="n">
        <v>0</v>
      </c>
      <c r="BR2" s="2" t="n">
        <v>30531.18257336134</v>
      </c>
      <c r="BS2" s="2" t="n">
        <v>761.1080672268907</v>
      </c>
      <c r="BT2" s="2" t="n">
        <v>201.6806722689076</v>
      </c>
      <c r="BU2" s="2" t="n">
        <v>6163.277428571429</v>
      </c>
      <c r="BV2" s="2" t="n">
        <v>7126.066168067226</v>
      </c>
      <c r="BW2" s="2" t="n">
        <v>37657.24874142856</v>
      </c>
      <c r="BX2" s="2" t="n">
        <v>48525.26</v>
      </c>
      <c r="BY2" s="2" t="n">
        <v>1666.16</v>
      </c>
      <c r="BZ2" s="2" t="n">
        <v>0</v>
      </c>
      <c r="CA2" s="2" t="n">
        <v>50191.42</v>
      </c>
      <c r="CB2" s="2">
        <f>(BC2+IF(BD2="",0,BD2))-BW2</f>
        <v/>
      </c>
      <c r="CC2" t="inlineStr">
        <is>
          <t>ALERT: profit/loss &lt;= -5000</t>
        </is>
      </c>
    </row>
    <row r="3">
      <c r="A3" t="n">
        <v>1102</v>
      </c>
      <c r="B3" t="inlineStr">
        <is>
          <t>pl. Kolejarza 1, 65-024 Zielona Góra</t>
        </is>
      </c>
      <c r="C3" t="inlineStr">
        <is>
          <t>Zielona Góra</t>
        </is>
      </c>
      <c r="D3" t="inlineStr">
        <is>
          <t>BB8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1346.49</v>
      </c>
      <c r="L3" s="2" t="n">
        <v>112.082825</v>
      </c>
      <c r="M3" s="2" t="n">
        <v>1246.75</v>
      </c>
      <c r="N3" s="2" t="n">
        <v>0</v>
      </c>
      <c r="O3" s="2" t="n">
        <v>1342.45</v>
      </c>
      <c r="P3" s="2" t="n">
        <v>4.04</v>
      </c>
      <c r="Q3" s="2" t="n">
        <v>2790.36</v>
      </c>
      <c r="R3" s="2" t="n">
        <v>193.775</v>
      </c>
      <c r="S3" s="2" t="n">
        <v>2583.666666666667</v>
      </c>
      <c r="T3" s="2" t="n">
        <v>0</v>
      </c>
      <c r="U3" s="2" t="n">
        <v>2657.58</v>
      </c>
      <c r="V3" s="2" t="n">
        <v>132.78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6.22</v>
      </c>
      <c r="AD3" s="2" t="n">
        <v>0.4031481481481481</v>
      </c>
      <c r="AE3" s="2" t="n">
        <v>5.759259259259259</v>
      </c>
      <c r="AF3" s="2" t="n">
        <v>0</v>
      </c>
      <c r="AG3" s="2" t="n">
        <v>6.22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5758.01</v>
      </c>
      <c r="AP3" s="2" t="n">
        <v>266.574537037037</v>
      </c>
      <c r="AQ3" s="2" t="n">
        <v>5331.490740740741</v>
      </c>
      <c r="AR3" s="2" t="n">
        <v>0</v>
      </c>
      <c r="AS3" s="2" t="n">
        <v>5390.55</v>
      </c>
      <c r="AT3" s="2" t="n">
        <v>367.46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9901.080000000002</v>
      </c>
      <c r="BB3" s="2" t="n">
        <v>9901.080000000002</v>
      </c>
      <c r="BC3" s="2">
        <f>F3+L3+R3+X3+AD3+AJ3+AP3+AV3+IF(BE3="",0,BE3)</f>
        <v/>
      </c>
      <c r="BD3" s="2" t="n">
        <v>152.476632</v>
      </c>
      <c r="BE3" s="2" t="n"/>
      <c r="BF3" s="2" t="n">
        <v>9167.666666666666</v>
      </c>
      <c r="BG3" s="2" t="n">
        <v>0</v>
      </c>
      <c r="BH3" s="2" t="n">
        <v>0</v>
      </c>
      <c r="BI3" s="2" t="n">
        <v>29778.37</v>
      </c>
      <c r="BJ3" s="2" t="n">
        <v>50.22840336134454</v>
      </c>
      <c r="BK3" s="2" t="n">
        <v>0</v>
      </c>
      <c r="BL3" s="2" t="n">
        <v>20</v>
      </c>
      <c r="BM3" s="2" t="n">
        <v>0</v>
      </c>
      <c r="BN3" s="2" t="n">
        <v>5</v>
      </c>
      <c r="BO3" s="2" t="n">
        <v>0</v>
      </c>
      <c r="BP3" s="2" t="n">
        <v>133.66458</v>
      </c>
      <c r="BQ3" s="2" t="n">
        <v>0</v>
      </c>
      <c r="BR3" s="2" t="n">
        <v>29987.26298336134</v>
      </c>
      <c r="BS3" s="2" t="n">
        <v>761.1080672268907</v>
      </c>
      <c r="BT3" s="2" t="n">
        <v>201.6806722689076</v>
      </c>
      <c r="BU3" s="2" t="n">
        <v>6163.277428571429</v>
      </c>
      <c r="BV3" s="2" t="n">
        <v>7126.066168067226</v>
      </c>
      <c r="BW3" s="2" t="n">
        <v>37113.32915142857</v>
      </c>
      <c r="BX3" s="2" t="n">
        <v>9396.799999999999</v>
      </c>
      <c r="BY3" s="2" t="n">
        <v>504.28</v>
      </c>
      <c r="BZ3" s="2" t="n">
        <v>0</v>
      </c>
      <c r="CA3" s="2" t="n">
        <v>9901.08</v>
      </c>
      <c r="CB3" s="2">
        <f>(BC3+IF(BD3="",0,BD3))-BW3</f>
        <v/>
      </c>
      <c r="CC3" t="inlineStr">
        <is>
          <t>ALERT: profit/loss &lt;= -5000</t>
        </is>
      </c>
    </row>
    <row r="4">
      <c r="A4" t="n">
        <v>1103</v>
      </c>
      <c r="B4" t="inlineStr">
        <is>
          <t>Piłsudskiego 105, 50-085 Wrocław</t>
        </is>
      </c>
      <c r="C4" t="inlineStr">
        <is>
          <t>Wrocław Główny</t>
        </is>
      </c>
      <c r="D4" t="inlineStr">
        <is>
          <t>BB8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4304.77</v>
      </c>
      <c r="L4" s="2" t="n">
        <v>358.3322435185186</v>
      </c>
      <c r="M4" s="2" t="n">
        <v>3985.898148148148</v>
      </c>
      <c r="N4" s="2" t="n">
        <v>0</v>
      </c>
      <c r="O4" s="2" t="n">
        <v>3936.77</v>
      </c>
      <c r="P4" s="2" t="n">
        <v>368</v>
      </c>
      <c r="Q4" s="2" t="n">
        <v>13168.71</v>
      </c>
      <c r="R4" s="2" t="n">
        <v>500</v>
      </c>
      <c r="S4" s="2" t="n">
        <v>12193.25</v>
      </c>
      <c r="T4" s="2" t="n">
        <v>0</v>
      </c>
      <c r="U4" s="2" t="n">
        <v>12440.79</v>
      </c>
      <c r="V4" s="2" t="n">
        <v>727.92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2929.65</v>
      </c>
      <c r="AP4" s="2" t="n">
        <v>135.6319444444444</v>
      </c>
      <c r="AQ4" s="2" t="n">
        <v>2712.638888888888</v>
      </c>
      <c r="AR4" s="2" t="n">
        <v>0</v>
      </c>
      <c r="AS4" s="2" t="n">
        <v>2636.66</v>
      </c>
      <c r="AT4" s="2" t="n">
        <v>292.99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20403.13</v>
      </c>
      <c r="BB4" s="2" t="n">
        <v>20403.13</v>
      </c>
      <c r="BC4" s="2">
        <f>F4+L4+R4+X4+AD4+AJ4+AP4+AV4+IF(BE4="",0,BE4)</f>
        <v/>
      </c>
      <c r="BD4" s="2" t="n">
        <v>314.208202</v>
      </c>
      <c r="BE4" s="2" t="n"/>
      <c r="BF4" s="2" t="n">
        <v>18891.78703703704</v>
      </c>
      <c r="BG4" s="2" t="n">
        <v>0</v>
      </c>
      <c r="BH4" s="2" t="n">
        <v>0</v>
      </c>
      <c r="BI4" s="2" t="n">
        <v>29778.37</v>
      </c>
      <c r="BJ4" s="2" t="n">
        <v>50.22840336134454</v>
      </c>
      <c r="BK4" s="2" t="n">
        <v>0</v>
      </c>
      <c r="BL4" s="2" t="n">
        <v>20</v>
      </c>
      <c r="BM4" s="2" t="n">
        <v>0</v>
      </c>
      <c r="BN4" s="2" t="n">
        <v>5</v>
      </c>
      <c r="BO4" s="2" t="n">
        <v>0</v>
      </c>
      <c r="BP4" s="2" t="n">
        <v>275.442255</v>
      </c>
      <c r="BQ4" s="2" t="n">
        <v>0</v>
      </c>
      <c r="BR4" s="2" t="n">
        <v>30129.04065836134</v>
      </c>
      <c r="BS4" s="2" t="n">
        <v>761.1080672268907</v>
      </c>
      <c r="BT4" s="2" t="n">
        <v>201.6806722689076</v>
      </c>
      <c r="BU4" s="2" t="n">
        <v>6163.277428571429</v>
      </c>
      <c r="BV4" s="2" t="n">
        <v>7126.066168067226</v>
      </c>
      <c r="BW4" s="2" t="n">
        <v>37255.10682642857</v>
      </c>
      <c r="BX4" s="2" t="n">
        <v>19014.22</v>
      </c>
      <c r="BY4" s="2" t="n">
        <v>1388.91</v>
      </c>
      <c r="BZ4" s="2" t="n">
        <v>0</v>
      </c>
      <c r="CA4" s="2" t="n">
        <v>20403.13</v>
      </c>
      <c r="CB4" s="2">
        <f>(BC4+IF(BD4="",0,BD4))-BW4</f>
        <v/>
      </c>
      <c r="CC4" t="inlineStr">
        <is>
          <t>ALERT: profit/loss &lt;= -5000</t>
        </is>
      </c>
    </row>
    <row r="5">
      <c r="A5" t="n">
        <v>1104</v>
      </c>
      <c r="B5" t="inlineStr">
        <is>
          <t>Dworcowa 2, 61-801 Poznań</t>
        </is>
      </c>
      <c r="C5" t="inlineStr">
        <is>
          <t>Poznań Główny</t>
        </is>
      </c>
      <c r="D5" t="inlineStr">
        <is>
          <t>BB8</t>
        </is>
      </c>
      <c r="E5" s="2" t="n">
        <v>1.08</v>
      </c>
      <c r="F5" s="2" t="n">
        <v>0.07000000000000001</v>
      </c>
      <c r="G5" s="2" t="n">
        <v>1</v>
      </c>
      <c r="H5" s="2" t="n">
        <v>0</v>
      </c>
      <c r="I5" s="2" t="n">
        <v>1.08</v>
      </c>
      <c r="J5" s="2" t="n">
        <v>0</v>
      </c>
      <c r="K5" s="2" t="n">
        <v>11578.68</v>
      </c>
      <c r="L5" s="2" t="n">
        <v>963.8179000000001</v>
      </c>
      <c r="M5" s="2" t="n">
        <v>10721</v>
      </c>
      <c r="N5" s="2" t="n">
        <v>0</v>
      </c>
      <c r="O5" s="2" t="n">
        <v>10442.82</v>
      </c>
      <c r="P5" s="2" t="n">
        <v>1135.86</v>
      </c>
      <c r="Q5" s="2" t="n">
        <v>33.7</v>
      </c>
      <c r="R5" s="2" t="n">
        <v>2.340277777777778</v>
      </c>
      <c r="S5" s="2" t="n">
        <v>31.20370370370371</v>
      </c>
      <c r="T5" s="2" t="n">
        <v>0</v>
      </c>
      <c r="U5" s="2" t="n">
        <v>33.7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18738.11</v>
      </c>
      <c r="AD5" s="2" t="n">
        <v>1214.50712962963</v>
      </c>
      <c r="AE5" s="2" t="n">
        <v>17350.10185185185</v>
      </c>
      <c r="AF5" s="2" t="n">
        <v>0</v>
      </c>
      <c r="AG5" s="2" t="n">
        <v>17240.22</v>
      </c>
      <c r="AH5" s="2" t="n">
        <v>1497.89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6728.059999999999</v>
      </c>
      <c r="AP5" s="2" t="n">
        <v>311.4842592592593</v>
      </c>
      <c r="AQ5" s="2" t="n">
        <v>6229.685185185184</v>
      </c>
      <c r="AR5" s="2" t="n">
        <v>0</v>
      </c>
      <c r="AS5" s="2" t="n">
        <v>6021.08</v>
      </c>
      <c r="AT5" s="2" t="n">
        <v>706.98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37079.63</v>
      </c>
      <c r="BB5" s="2" t="n">
        <v>37079.63</v>
      </c>
      <c r="BC5" s="2">
        <f>F5+L5+R5+X5+AD5+AJ5+AP5+AV5+IF(BE5="",0,BE5)</f>
        <v/>
      </c>
      <c r="BD5" s="2" t="n">
        <v>571.026302</v>
      </c>
      <c r="BE5" s="2" t="n"/>
      <c r="BF5" s="2" t="n">
        <v>34332.99074074074</v>
      </c>
      <c r="BG5" s="2" t="n">
        <v>0</v>
      </c>
      <c r="BH5" s="2" t="n">
        <v>0</v>
      </c>
      <c r="BI5" s="2" t="n">
        <v>29778.37</v>
      </c>
      <c r="BJ5" s="2" t="n">
        <v>50.22840336134454</v>
      </c>
      <c r="BK5" s="2" t="n">
        <v>0</v>
      </c>
      <c r="BL5" s="2" t="n">
        <v>20</v>
      </c>
      <c r="BM5" s="2" t="n">
        <v>0</v>
      </c>
      <c r="BN5" s="2" t="n">
        <v>5</v>
      </c>
      <c r="BO5" s="2" t="n">
        <v>0</v>
      </c>
      <c r="BP5" s="2" t="n">
        <v>500.575005</v>
      </c>
      <c r="BQ5" s="2" t="n">
        <v>0</v>
      </c>
      <c r="BR5" s="2" t="n">
        <v>30354.17340836134</v>
      </c>
      <c r="BS5" s="2" t="n">
        <v>761.1080672268907</v>
      </c>
      <c r="BT5" s="2" t="n">
        <v>201.6806722689076</v>
      </c>
      <c r="BU5" s="2" t="n">
        <v>6163.277428571429</v>
      </c>
      <c r="BV5" s="2" t="n">
        <v>7126.066168067226</v>
      </c>
      <c r="BW5" s="2" t="n">
        <v>37480.23957642857</v>
      </c>
      <c r="BX5" s="2" t="n">
        <v>33738.9</v>
      </c>
      <c r="BY5" s="2" t="n">
        <v>3340.73</v>
      </c>
      <c r="BZ5" s="2" t="n">
        <v>0</v>
      </c>
      <c r="CA5" s="2" t="n">
        <v>37079.63</v>
      </c>
      <c r="CB5" s="2">
        <f>(BC5+IF(BD5="",0,BD5))-BW5</f>
        <v/>
      </c>
      <c r="CC5" t="inlineStr">
        <is>
          <t>ALERT: profit/loss &lt;= -5000</t>
        </is>
      </c>
    </row>
    <row r="6">
      <c r="A6" t="n">
        <v>1105</v>
      </c>
      <c r="B6" t="inlineStr">
        <is>
          <t>Dworcowa 1, 72-602 Świnoujście</t>
        </is>
      </c>
      <c r="C6" t="inlineStr">
        <is>
          <t>Świnoujście</t>
        </is>
      </c>
      <c r="D6" t="inlineStr">
        <is>
          <t>BB8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1336.45</v>
      </c>
      <c r="L6" s="2" t="n">
        <v>111.247087962963</v>
      </c>
      <c r="M6" s="2" t="n">
        <v>1237.453703703704</v>
      </c>
      <c r="N6" s="2" t="n">
        <v>0</v>
      </c>
      <c r="O6" s="2" t="n">
        <v>1194.45</v>
      </c>
      <c r="P6" s="2" t="n">
        <v>142</v>
      </c>
      <c r="Q6" s="2" t="n">
        <v>45.48</v>
      </c>
      <c r="R6" s="2" t="n">
        <v>3.158333333333333</v>
      </c>
      <c r="S6" s="2" t="n">
        <v>42.11111111111111</v>
      </c>
      <c r="T6" s="2" t="n">
        <v>0</v>
      </c>
      <c r="U6" s="2" t="n">
        <v>45.48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6703.030000000001</v>
      </c>
      <c r="AP6" s="2" t="n">
        <v>310.325462962963</v>
      </c>
      <c r="AQ6" s="2" t="n">
        <v>6206.509259259259</v>
      </c>
      <c r="AR6" s="2" t="n">
        <v>0</v>
      </c>
      <c r="AS6" s="2" t="n">
        <v>6198.93</v>
      </c>
      <c r="AT6" s="2" t="n">
        <v>504.1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8084.960000000001</v>
      </c>
      <c r="BB6" s="2" t="n">
        <v>8084.960000000001</v>
      </c>
      <c r="BC6" s="2">
        <f>F6+L6+R6+X6+AD6+AJ6+AP6+AV6+IF(BE6="",0,BE6)</f>
        <v/>
      </c>
      <c r="BD6" s="2" t="n">
        <v>124.508384</v>
      </c>
      <c r="BE6" s="2" t="n"/>
      <c r="BF6" s="2" t="n">
        <v>7486.074074074074</v>
      </c>
      <c r="BG6" s="2" t="n">
        <v>0</v>
      </c>
      <c r="BH6" s="2" t="n">
        <v>0</v>
      </c>
      <c r="BI6" s="2" t="n">
        <v>29778.37</v>
      </c>
      <c r="BJ6" s="2" t="n">
        <v>50.22840336134454</v>
      </c>
      <c r="BK6" s="2" t="n">
        <v>0</v>
      </c>
      <c r="BL6" s="2" t="n">
        <v>20</v>
      </c>
      <c r="BM6" s="2" t="n">
        <v>0</v>
      </c>
      <c r="BN6" s="2" t="n">
        <v>5</v>
      </c>
      <c r="BO6" s="2" t="n">
        <v>0</v>
      </c>
      <c r="BP6" s="2" t="n">
        <v>109.14696</v>
      </c>
      <c r="BQ6" s="2" t="n">
        <v>0</v>
      </c>
      <c r="BR6" s="2" t="n">
        <v>29962.74536336134</v>
      </c>
      <c r="BS6" s="2" t="n">
        <v>761.1080672268907</v>
      </c>
      <c r="BT6" s="2" t="n">
        <v>201.6806722689076</v>
      </c>
      <c r="BU6" s="2" t="n">
        <v>6163.277428571429</v>
      </c>
      <c r="BV6" s="2" t="n">
        <v>7126.066168067226</v>
      </c>
      <c r="BW6" s="2" t="n">
        <v>37088.81153142857</v>
      </c>
      <c r="BX6" s="2" t="n">
        <v>7438.860000000001</v>
      </c>
      <c r="BY6" s="2" t="n">
        <v>646.1</v>
      </c>
      <c r="BZ6" s="2" t="n">
        <v>0</v>
      </c>
      <c r="CA6" s="2" t="n">
        <v>8084.960000000001</v>
      </c>
      <c r="CB6" s="2">
        <f>(BC6+IF(BD6="",0,BD6))-BW6</f>
        <v/>
      </c>
      <c r="CC6" t="inlineStr">
        <is>
          <t>ALERT: profit/loss &lt;= -5000</t>
        </is>
      </c>
    </row>
    <row r="7">
      <c r="A7" t="n">
        <v>1106</v>
      </c>
      <c r="B7" t="inlineStr">
        <is>
          <t>Kolumba 2, 70-035 Szczecin</t>
        </is>
      </c>
      <c r="C7" t="inlineStr">
        <is>
          <t>Szczecin Główny</t>
        </is>
      </c>
      <c r="D7" t="inlineStr">
        <is>
          <t>BB8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9270.540000000001</v>
      </c>
      <c r="L7" s="2" t="n">
        <v>771.6866166666667</v>
      </c>
      <c r="M7" s="2" t="n">
        <v>8583.833333333334</v>
      </c>
      <c r="N7" s="2" t="n">
        <v>0</v>
      </c>
      <c r="O7" s="2" t="n">
        <v>7887.68</v>
      </c>
      <c r="P7" s="2" t="n">
        <v>1382.86</v>
      </c>
      <c r="Q7" s="2" t="n">
        <v>36.4</v>
      </c>
      <c r="R7" s="2" t="n">
        <v>2.527777777777778</v>
      </c>
      <c r="S7" s="2" t="n">
        <v>33.7037037037037</v>
      </c>
      <c r="T7" s="2" t="n">
        <v>0</v>
      </c>
      <c r="U7" s="2" t="n">
        <v>36.4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64.65000000000001</v>
      </c>
      <c r="AD7" s="2" t="n">
        <v>4.190277777777778</v>
      </c>
      <c r="AE7" s="2" t="n">
        <v>59.86111111111111</v>
      </c>
      <c r="AF7" s="2" t="n">
        <v>0</v>
      </c>
      <c r="AG7" s="2" t="n">
        <v>20.65</v>
      </c>
      <c r="AH7" s="2" t="n">
        <v>44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27050.12</v>
      </c>
      <c r="AP7" s="2" t="n">
        <v>1252.32037037037</v>
      </c>
      <c r="AQ7" s="2" t="n">
        <v>25046.40740740741</v>
      </c>
      <c r="AR7" s="2" t="n">
        <v>0</v>
      </c>
      <c r="AS7" s="2" t="n">
        <v>24733.5</v>
      </c>
      <c r="AT7" s="2" t="n">
        <v>2316.62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36421.71</v>
      </c>
      <c r="BB7" s="2" t="n">
        <v>36421.71</v>
      </c>
      <c r="BC7" s="2">
        <f>F7+L7+R7+X7+AD7+AJ7+AP7+AV7+IF(BE7="",0,BE7)</f>
        <v/>
      </c>
      <c r="BD7" s="2" t="n">
        <v>560.8943340000001</v>
      </c>
      <c r="BE7" s="2" t="n"/>
      <c r="BF7" s="2" t="n">
        <v>33723.80555555555</v>
      </c>
      <c r="BG7" s="2" t="n">
        <v>0</v>
      </c>
      <c r="BH7" s="2" t="n">
        <v>0</v>
      </c>
      <c r="BI7" s="2" t="n">
        <v>29778.37</v>
      </c>
      <c r="BJ7" s="2" t="n">
        <v>50.22840336134454</v>
      </c>
      <c r="BK7" s="2" t="n">
        <v>0</v>
      </c>
      <c r="BL7" s="2" t="n">
        <v>20</v>
      </c>
      <c r="BM7" s="2" t="n">
        <v>0</v>
      </c>
      <c r="BN7" s="2" t="n">
        <v>5</v>
      </c>
      <c r="BO7" s="2" t="n">
        <v>0</v>
      </c>
      <c r="BP7" s="2" t="n">
        <v>491.693085</v>
      </c>
      <c r="BQ7" s="2" t="n">
        <v>0</v>
      </c>
      <c r="BR7" s="2" t="n">
        <v>30345.29148836134</v>
      </c>
      <c r="BS7" s="2" t="n">
        <v>761.1080672268907</v>
      </c>
      <c r="BT7" s="2" t="n">
        <v>201.6806722689076</v>
      </c>
      <c r="BU7" s="2" t="n">
        <v>6163.277428571429</v>
      </c>
      <c r="BV7" s="2" t="n">
        <v>7126.066168067226</v>
      </c>
      <c r="BW7" s="2" t="n">
        <v>37471.35765642857</v>
      </c>
      <c r="BX7" s="2" t="n">
        <v>32678.23</v>
      </c>
      <c r="BY7" s="2" t="n">
        <v>3743.48</v>
      </c>
      <c r="BZ7" s="2" t="n">
        <v>0</v>
      </c>
      <c r="CA7" s="2" t="n">
        <v>36421.71</v>
      </c>
      <c r="CB7" s="2">
        <f>(BC7+IF(BD7="",0,BD7))-BW7</f>
        <v/>
      </c>
      <c r="CC7" t="inlineStr">
        <is>
          <t>ALERT: profit/loss &lt;= -5000</t>
        </is>
      </c>
    </row>
    <row r="8">
      <c r="A8" t="n">
        <v>1107</v>
      </c>
      <c r="B8" t="inlineStr">
        <is>
          <t>Krakowska 48, 46-020 Opole</t>
        </is>
      </c>
      <c r="C8" t="inlineStr">
        <is>
          <t>Opole Główne</t>
        </is>
      </c>
      <c r="D8" t="inlineStr">
        <is>
          <t>BB8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9891.380000000001</v>
      </c>
      <c r="L8" s="2" t="n">
        <v>823.3657981481483</v>
      </c>
      <c r="M8" s="2" t="n">
        <v>9158.685185185186</v>
      </c>
      <c r="N8" s="2" t="n">
        <v>0</v>
      </c>
      <c r="O8" s="2" t="n">
        <v>9103.43</v>
      </c>
      <c r="P8" s="2" t="n">
        <v>787.95</v>
      </c>
      <c r="Q8" s="2" t="n">
        <v>29.08</v>
      </c>
      <c r="R8" s="2" t="n">
        <v>2.019444444444444</v>
      </c>
      <c r="S8" s="2" t="n">
        <v>26.92592592592592</v>
      </c>
      <c r="T8" s="2" t="n">
        <v>0</v>
      </c>
      <c r="U8" s="2" t="n">
        <v>29.08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17762.89</v>
      </c>
      <c r="AP8" s="2" t="n">
        <v>822.3560185185185</v>
      </c>
      <c r="AQ8" s="2" t="n">
        <v>16447.12037037037</v>
      </c>
      <c r="AR8" s="2" t="n">
        <v>0</v>
      </c>
      <c r="AS8" s="2" t="n">
        <v>16947.66</v>
      </c>
      <c r="AT8" s="2" t="n">
        <v>815.23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27683.35</v>
      </c>
      <c r="BB8" s="2" t="n">
        <v>27683.35</v>
      </c>
      <c r="BC8" s="2">
        <f>F8+L8+R8+X8+AD8+AJ8+AP8+AV8+IF(BE8="",0,BE8)</f>
        <v/>
      </c>
      <c r="BD8" s="2" t="n">
        <v>426.32359</v>
      </c>
      <c r="BE8" s="2" t="n"/>
      <c r="BF8" s="2" t="n">
        <v>25632.73148148148</v>
      </c>
      <c r="BG8" s="2" t="n">
        <v>0</v>
      </c>
      <c r="BH8" s="2" t="n">
        <v>0</v>
      </c>
      <c r="BI8" s="2" t="n">
        <v>29778.37</v>
      </c>
      <c r="BJ8" s="2" t="n">
        <v>50.22840336134454</v>
      </c>
      <c r="BK8" s="2" t="n">
        <v>0</v>
      </c>
      <c r="BL8" s="2" t="n">
        <v>20</v>
      </c>
      <c r="BM8" s="2" t="n">
        <v>0</v>
      </c>
      <c r="BN8" s="2" t="n">
        <v>5</v>
      </c>
      <c r="BO8" s="2" t="n">
        <v>0</v>
      </c>
      <c r="BP8" s="2" t="n">
        <v>373.725225</v>
      </c>
      <c r="BQ8" s="2" t="n">
        <v>0</v>
      </c>
      <c r="BR8" s="2" t="n">
        <v>30227.32362836134</v>
      </c>
      <c r="BS8" s="2" t="n">
        <v>761.1080672268907</v>
      </c>
      <c r="BT8" s="2" t="n">
        <v>201.6806722689076</v>
      </c>
      <c r="BU8" s="2" t="n">
        <v>6163.277428571429</v>
      </c>
      <c r="BV8" s="2" t="n">
        <v>7126.066168067226</v>
      </c>
      <c r="BW8" s="2" t="n">
        <v>37353.38979642856</v>
      </c>
      <c r="BX8" s="2" t="n">
        <v>26080.17</v>
      </c>
      <c r="BY8" s="2" t="n">
        <v>1603.18</v>
      </c>
      <c r="BZ8" s="2" t="n">
        <v>0</v>
      </c>
      <c r="CA8" s="2" t="n">
        <v>27683.35</v>
      </c>
      <c r="CB8" s="2">
        <f>(BC8+IF(BD8="",0,BD8))-BW8</f>
        <v/>
      </c>
      <c r="CC8" t="inlineStr">
        <is>
          <t>ALERT: profit/loss &lt;= -5000</t>
        </is>
      </c>
    </row>
    <row r="9">
      <c r="A9" t="n">
        <v>1108</v>
      </c>
      <c r="B9" t="inlineStr">
        <is>
          <t>Pomorska 18, 83-110 Tczew</t>
        </is>
      </c>
      <c r="C9" t="inlineStr">
        <is>
          <t>Tczew</t>
        </is>
      </c>
      <c r="D9" t="inlineStr">
        <is>
          <t>BB8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6162.700000000001</v>
      </c>
      <c r="L9" s="2" t="n">
        <v>512.9877129629631</v>
      </c>
      <c r="M9" s="2" t="n">
        <v>5706.203703703704</v>
      </c>
      <c r="N9" s="2" t="n">
        <v>0</v>
      </c>
      <c r="O9" s="2" t="n">
        <v>5500.72</v>
      </c>
      <c r="P9" s="2" t="n">
        <v>661.98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14596.32</v>
      </c>
      <c r="AP9" s="2" t="n">
        <v>675.7555555555555</v>
      </c>
      <c r="AQ9" s="2" t="n">
        <v>13515.11111111111</v>
      </c>
      <c r="AR9" s="2" t="n">
        <v>0</v>
      </c>
      <c r="AS9" s="2" t="n">
        <v>14090.08</v>
      </c>
      <c r="AT9" s="2" t="n">
        <v>506.24</v>
      </c>
      <c r="AU9" s="2" t="n">
        <v>260.95</v>
      </c>
      <c r="AV9" s="2" t="n">
        <v>10.38967592592592</v>
      </c>
      <c r="AW9" s="2" t="n">
        <v>241.6203703703704</v>
      </c>
      <c r="AX9" s="2" t="n">
        <v>0</v>
      </c>
      <c r="AY9" s="2" t="n">
        <v>260.95</v>
      </c>
      <c r="AZ9" s="2" t="n">
        <v>0</v>
      </c>
      <c r="BA9" s="2" t="n">
        <v>21019.97</v>
      </c>
      <c r="BB9" s="2" t="n">
        <v>21019.97</v>
      </c>
      <c r="BC9" s="2">
        <f>F9+L9+R9+X9+AD9+AJ9+AP9+AV9+IF(BE9="",0,BE9)</f>
        <v/>
      </c>
      <c r="BD9" s="2" t="n">
        <v>323.707538</v>
      </c>
      <c r="BE9" s="2" t="n"/>
      <c r="BF9" s="2" t="n">
        <v>19462.93518518518</v>
      </c>
      <c r="BG9" s="2" t="n">
        <v>0</v>
      </c>
      <c r="BH9" s="2" t="n">
        <v>0</v>
      </c>
      <c r="BI9" s="2" t="n">
        <v>29778.37</v>
      </c>
      <c r="BJ9" s="2" t="n">
        <v>50.22840336134454</v>
      </c>
      <c r="BK9" s="2" t="n">
        <v>0</v>
      </c>
      <c r="BL9" s="2" t="n">
        <v>20</v>
      </c>
      <c r="BM9" s="2" t="n">
        <v>0</v>
      </c>
      <c r="BN9" s="2" t="n">
        <v>5</v>
      </c>
      <c r="BO9" s="2" t="n">
        <v>0</v>
      </c>
      <c r="BP9" s="2" t="n">
        <v>283.769595</v>
      </c>
      <c r="BQ9" s="2" t="n">
        <v>0</v>
      </c>
      <c r="BR9" s="2" t="n">
        <v>30137.36799836134</v>
      </c>
      <c r="BS9" s="2" t="n">
        <v>761.1080672268907</v>
      </c>
      <c r="BT9" s="2" t="n">
        <v>201.6806722689076</v>
      </c>
      <c r="BU9" s="2" t="n">
        <v>6163.277428571429</v>
      </c>
      <c r="BV9" s="2" t="n">
        <v>7126.066168067226</v>
      </c>
      <c r="BW9" s="2" t="n">
        <v>37263.43416642857</v>
      </c>
      <c r="BX9" s="2" t="n">
        <v>19851.75</v>
      </c>
      <c r="BY9" s="2" t="n">
        <v>1168.22</v>
      </c>
      <c r="BZ9" s="2" t="n">
        <v>0</v>
      </c>
      <c r="CA9" s="2" t="n">
        <v>21019.97</v>
      </c>
      <c r="CB9" s="2">
        <f>(BC9+IF(BD9="",0,BD9))-BW9</f>
        <v/>
      </c>
      <c r="CC9" t="inlineStr">
        <is>
          <t>ALERT: profit/loss &lt;= -5000</t>
        </is>
      </c>
    </row>
    <row r="10">
      <c r="A10" t="n">
        <v>1109</v>
      </c>
      <c r="B10" t="inlineStr">
        <is>
          <t>Słowackiego 34, 37-500 Jarosław</t>
        </is>
      </c>
      <c r="C10" t="inlineStr">
        <is>
          <t>Jarosław</t>
        </is>
      </c>
      <c r="D10" t="inlineStr">
        <is>
          <t>BB8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3209.83</v>
      </c>
      <c r="L10" s="2" t="n">
        <v>267.1886268518518</v>
      </c>
      <c r="M10" s="2" t="n">
        <v>2972.064814814814</v>
      </c>
      <c r="N10" s="2" t="n">
        <v>0</v>
      </c>
      <c r="O10" s="2" t="n">
        <v>2933.95</v>
      </c>
      <c r="P10" s="2" t="n">
        <v>275.88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3741.82</v>
      </c>
      <c r="AP10" s="2" t="n">
        <v>173.2324074074074</v>
      </c>
      <c r="AQ10" s="2" t="n">
        <v>3464.648148148148</v>
      </c>
      <c r="AR10" s="2" t="n">
        <v>0</v>
      </c>
      <c r="AS10" s="2" t="n">
        <v>3647.03</v>
      </c>
      <c r="AT10" s="2" t="n">
        <v>94.79000000000001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6951.65</v>
      </c>
      <c r="BB10" s="2" t="n">
        <v>6951.65</v>
      </c>
      <c r="BC10" s="2">
        <f>F10+L10+R10+X10+AD10+AJ10+AP10+AV10+IF(BE10="",0,BE10)</f>
        <v/>
      </c>
      <c r="BD10" s="2" t="n">
        <v>107.05541</v>
      </c>
      <c r="BE10" s="2" t="n"/>
      <c r="BF10" s="2" t="n">
        <v>6436.712962962963</v>
      </c>
      <c r="BG10" s="2" t="n">
        <v>0</v>
      </c>
      <c r="BH10" s="2" t="n">
        <v>0</v>
      </c>
      <c r="BI10" s="2" t="n">
        <v>29778.37</v>
      </c>
      <c r="BJ10" s="2" t="n">
        <v>50.22840336134454</v>
      </c>
      <c r="BK10" s="2" t="n">
        <v>0</v>
      </c>
      <c r="BL10" s="2" t="n">
        <v>20</v>
      </c>
      <c r="BM10" s="2" t="n">
        <v>0</v>
      </c>
      <c r="BN10" s="2" t="n">
        <v>5</v>
      </c>
      <c r="BO10" s="2" t="n">
        <v>0</v>
      </c>
      <c r="BP10" s="2" t="n">
        <v>93.847275</v>
      </c>
      <c r="BQ10" s="2" t="n">
        <v>0</v>
      </c>
      <c r="BR10" s="2" t="n">
        <v>29947.44567836134</v>
      </c>
      <c r="BS10" s="2" t="n">
        <v>761.1080672268907</v>
      </c>
      <c r="BT10" s="2" t="n">
        <v>201.6806722689076</v>
      </c>
      <c r="BU10" s="2" t="n">
        <v>6163.277428571429</v>
      </c>
      <c r="BV10" s="2" t="n">
        <v>7126.066168067226</v>
      </c>
      <c r="BW10" s="2" t="n">
        <v>37073.51184642857</v>
      </c>
      <c r="BX10" s="2" t="n">
        <v>6580.98</v>
      </c>
      <c r="BY10" s="2" t="n">
        <v>370.67</v>
      </c>
      <c r="BZ10" s="2" t="n">
        <v>0</v>
      </c>
      <c r="CA10" s="2" t="n">
        <v>6951.65</v>
      </c>
      <c r="CB10" s="2">
        <f>(BC10+IF(BD10="",0,BD10))-BW10</f>
        <v/>
      </c>
      <c r="CC10" t="inlineStr">
        <is>
          <t>ALERT: profit/loss &lt;= -5000</t>
        </is>
      </c>
    </row>
    <row r="11">
      <c r="A11" t="n">
        <v>1110</v>
      </c>
      <c r="B11" t="inlineStr">
        <is>
          <t>Kolejowa 11, 15-701 Białystok</t>
        </is>
      </c>
      <c r="C11" t="inlineStr">
        <is>
          <t>Białystok</t>
        </is>
      </c>
      <c r="D11" t="inlineStr">
        <is>
          <t>BB8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2250.54</v>
      </c>
      <c r="L11" s="2" t="n">
        <v>187.3366166666667</v>
      </c>
      <c r="M11" s="2" t="n">
        <v>2083.833333333333</v>
      </c>
      <c r="N11" s="2" t="n">
        <v>0</v>
      </c>
      <c r="O11" s="2" t="n">
        <v>2179.65</v>
      </c>
      <c r="P11" s="2" t="n">
        <v>70.89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4690.95</v>
      </c>
      <c r="AP11" s="2" t="n">
        <v>217.1736111111111</v>
      </c>
      <c r="AQ11" s="2" t="n">
        <v>4343.472222222222</v>
      </c>
      <c r="AR11" s="2" t="n">
        <v>0</v>
      </c>
      <c r="AS11" s="2" t="n">
        <v>4068.78</v>
      </c>
      <c r="AT11" s="2" t="n">
        <v>622.17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6941.49</v>
      </c>
      <c r="BB11" s="2" t="n">
        <v>6941.49</v>
      </c>
      <c r="BC11" s="2">
        <f>F11+L11+R11+X11+AD11+AJ11+AP11+AV11+IF(BE11="",0,BE11)</f>
        <v/>
      </c>
      <c r="BD11" s="2" t="n">
        <v>106.898946</v>
      </c>
      <c r="BE11" s="2" t="n"/>
      <c r="BF11" s="2" t="n">
        <v>6427.305555555555</v>
      </c>
      <c r="BG11" s="2" t="n">
        <v>0</v>
      </c>
      <c r="BH11" s="2" t="n">
        <v>0</v>
      </c>
      <c r="BI11" s="2" t="n">
        <v>29778.37</v>
      </c>
      <c r="BJ11" s="2" t="n">
        <v>50.22840336134454</v>
      </c>
      <c r="BK11" s="2" t="n">
        <v>0</v>
      </c>
      <c r="BL11" s="2" t="n">
        <v>20</v>
      </c>
      <c r="BM11" s="2" t="n">
        <v>0</v>
      </c>
      <c r="BN11" s="2" t="n">
        <v>5</v>
      </c>
      <c r="BO11" s="2" t="n">
        <v>0</v>
      </c>
      <c r="BP11" s="2" t="n">
        <v>93.710115</v>
      </c>
      <c r="BQ11" s="2" t="n">
        <v>0</v>
      </c>
      <c r="BR11" s="2" t="n">
        <v>29947.30851836134</v>
      </c>
      <c r="BS11" s="2" t="n">
        <v>761.1080672268907</v>
      </c>
      <c r="BT11" s="2" t="n">
        <v>201.6806722689076</v>
      </c>
      <c r="BU11" s="2" t="n">
        <v>6163.277428571429</v>
      </c>
      <c r="BV11" s="2" t="n">
        <v>7126.066168067226</v>
      </c>
      <c r="BW11" s="2" t="n">
        <v>37073.37468642857</v>
      </c>
      <c r="BX11" s="2" t="n">
        <v>6248.43</v>
      </c>
      <c r="BY11" s="2" t="n">
        <v>693.0599999999999</v>
      </c>
      <c r="BZ11" s="2" t="n">
        <v>0</v>
      </c>
      <c r="CA11" s="2" t="n">
        <v>6941.49</v>
      </c>
      <c r="CB11" s="2">
        <f>(BC11+IF(BD11="",0,BD11))-BW11</f>
        <v/>
      </c>
      <c r="CC11" t="inlineStr">
        <is>
          <t>ALERT: profit/loss &lt;= -5000</t>
        </is>
      </c>
    </row>
    <row r="12">
      <c r="A12" t="n">
        <v>1111</v>
      </c>
      <c r="B12" t="inlineStr">
        <is>
          <t>Dworcowa 10, 84-100 Puck</t>
        </is>
      </c>
      <c r="C12" t="inlineStr">
        <is>
          <t>Puck</t>
        </is>
      </c>
      <c r="D12" t="inlineStr">
        <is>
          <t>BB8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280.29</v>
      </c>
      <c r="L12" s="2" t="n">
        <v>23.33154722222222</v>
      </c>
      <c r="M12" s="2" t="n">
        <v>259.5277777777778</v>
      </c>
      <c r="N12" s="2" t="n">
        <v>0</v>
      </c>
      <c r="O12" s="2" t="n">
        <v>280.29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5755.76</v>
      </c>
      <c r="AP12" s="2" t="n">
        <v>2950</v>
      </c>
      <c r="AQ12" s="2" t="n">
        <v>5329.407407407407</v>
      </c>
      <c r="AR12" s="2" t="n">
        <v>0</v>
      </c>
      <c r="AS12" s="2" t="n">
        <v>5291.58</v>
      </c>
      <c r="AT12" s="2" t="n">
        <v>464.18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6036.05</v>
      </c>
      <c r="BB12" s="2" t="n">
        <v>6036.05</v>
      </c>
      <c r="BC12" s="2">
        <f>F12+L12+R12+X12+AD12+AJ12+AP12+AV12+IF(BE12="",0,BE12)</f>
        <v/>
      </c>
      <c r="BD12" s="2" t="n">
        <v>92.95517000000001</v>
      </c>
      <c r="BE12" s="2" t="n"/>
      <c r="BF12" s="2" t="n">
        <v>5588.935185185184</v>
      </c>
      <c r="BG12" s="2" t="n">
        <v>0</v>
      </c>
      <c r="BH12" s="2" t="n">
        <v>0</v>
      </c>
      <c r="BI12" s="2" t="n">
        <v>29778.37</v>
      </c>
      <c r="BJ12" s="2" t="n">
        <v>50.22840336134454</v>
      </c>
      <c r="BK12" s="2" t="n">
        <v>0</v>
      </c>
      <c r="BL12" s="2" t="n">
        <v>20</v>
      </c>
      <c r="BM12" s="2" t="n">
        <v>0</v>
      </c>
      <c r="BN12" s="2" t="n">
        <v>5</v>
      </c>
      <c r="BO12" s="2" t="n">
        <v>0</v>
      </c>
      <c r="BP12" s="2" t="n">
        <v>81.48667499999999</v>
      </c>
      <c r="BQ12" s="2" t="n">
        <v>0</v>
      </c>
      <c r="BR12" s="2" t="n">
        <v>29935.08507836134</v>
      </c>
      <c r="BS12" s="2" t="n">
        <v>761.1080672268907</v>
      </c>
      <c r="BT12" s="2" t="n">
        <v>201.6806722689076</v>
      </c>
      <c r="BU12" s="2" t="n">
        <v>6163.277428571429</v>
      </c>
      <c r="BV12" s="2" t="n">
        <v>7126.066168067226</v>
      </c>
      <c r="BW12" s="2" t="n">
        <v>37061.15124642857</v>
      </c>
      <c r="BX12" s="2" t="n">
        <v>5571.87</v>
      </c>
      <c r="BY12" s="2" t="n">
        <v>464.18</v>
      </c>
      <c r="BZ12" s="2" t="n">
        <v>0</v>
      </c>
      <c r="CA12" s="2" t="n">
        <v>6036.05</v>
      </c>
      <c r="CB12" s="2">
        <f>(BC12+IF(BD12="",0,BD12))-BW12</f>
        <v/>
      </c>
      <c r="CC12" t="inlineStr">
        <is>
          <t>ALERT: profit/loss &lt;= -5000</t>
        </is>
      </c>
    </row>
    <row r="13">
      <c r="A13" t="n">
        <v>1112</v>
      </c>
      <c r="B13" t="inlineStr">
        <is>
          <t>Dworcowa 27, 89-600 Chojnice</t>
        </is>
      </c>
      <c r="C13" t="inlineStr">
        <is>
          <t>Chojnice</t>
        </is>
      </c>
      <c r="D13" t="inlineStr">
        <is>
          <t>BB8</t>
        </is>
      </c>
      <c r="E13" s="2" t="n">
        <v>1748.36</v>
      </c>
      <c r="F13" s="2" t="n">
        <v>113.3196296296296</v>
      </c>
      <c r="G13" s="2" t="n">
        <v>1618.851851851852</v>
      </c>
      <c r="H13" s="2" t="n">
        <v>0</v>
      </c>
      <c r="I13" s="2" t="n">
        <v>1689.01</v>
      </c>
      <c r="J13" s="2" t="n">
        <v>59.35</v>
      </c>
      <c r="K13" s="2" t="n">
        <v>523.36</v>
      </c>
      <c r="L13" s="2" t="n">
        <v>43.56487407407408</v>
      </c>
      <c r="M13" s="2" t="n">
        <v>484.5925925925926</v>
      </c>
      <c r="N13" s="2" t="n">
        <v>0</v>
      </c>
      <c r="O13" s="2" t="n">
        <v>406.89</v>
      </c>
      <c r="P13" s="2" t="n">
        <v>116.47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7.43</v>
      </c>
      <c r="AD13" s="2" t="n">
        <v>0.481574074074074</v>
      </c>
      <c r="AE13" s="2" t="n">
        <v>6.879629629629629</v>
      </c>
      <c r="AF13" s="2" t="n">
        <v>0</v>
      </c>
      <c r="AG13" s="2" t="n">
        <v>7.43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4427.43</v>
      </c>
      <c r="AP13" s="2" t="n">
        <v>3200</v>
      </c>
      <c r="AQ13" s="2" t="n">
        <v>4099.472222222223</v>
      </c>
      <c r="AR13" s="2" t="n">
        <v>0</v>
      </c>
      <c r="AS13" s="2" t="n">
        <v>4046.96</v>
      </c>
      <c r="AT13" s="2" t="n">
        <v>380.47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6706.58</v>
      </c>
      <c r="BB13" s="2" t="n">
        <v>6706.58</v>
      </c>
      <c r="BC13" s="2">
        <f>F13+L13+R13+X13+AD13+AJ13+AP13+AV13+IF(BE13="",0,BE13)</f>
        <v/>
      </c>
      <c r="BD13" s="2" t="n">
        <v>103.281332</v>
      </c>
      <c r="BE13" s="2" t="n"/>
      <c r="BF13" s="2" t="n">
        <v>6209.796296296297</v>
      </c>
      <c r="BG13" s="2" t="n">
        <v>0</v>
      </c>
      <c r="BH13" s="2" t="n">
        <v>0</v>
      </c>
      <c r="BI13" s="2" t="n">
        <v>29778.37</v>
      </c>
      <c r="BJ13" s="2" t="n">
        <v>50.22840336134454</v>
      </c>
      <c r="BK13" s="2" t="n">
        <v>0</v>
      </c>
      <c r="BL13" s="2" t="n">
        <v>20</v>
      </c>
      <c r="BM13" s="2" t="n">
        <v>0</v>
      </c>
      <c r="BN13" s="2" t="n">
        <v>5</v>
      </c>
      <c r="BO13" s="2" t="n">
        <v>0</v>
      </c>
      <c r="BP13" s="2" t="n">
        <v>90.53882999999999</v>
      </c>
      <c r="BQ13" s="2" t="n">
        <v>0</v>
      </c>
      <c r="BR13" s="2" t="n">
        <v>29944.13723336134</v>
      </c>
      <c r="BS13" s="2" t="n">
        <v>761.1080672268907</v>
      </c>
      <c r="BT13" s="2" t="n">
        <v>201.6806722689076</v>
      </c>
      <c r="BU13" s="2" t="n">
        <v>6163.277428571429</v>
      </c>
      <c r="BV13" s="2" t="n">
        <v>7126.066168067226</v>
      </c>
      <c r="BW13" s="2" t="n">
        <v>37070.20340142857</v>
      </c>
      <c r="BX13" s="2" t="n">
        <v>6150.29</v>
      </c>
      <c r="BY13" s="2" t="n">
        <v>556.29</v>
      </c>
      <c r="BZ13" s="2" t="n">
        <v>0</v>
      </c>
      <c r="CA13" s="2" t="n">
        <v>6706.58</v>
      </c>
      <c r="CB13" s="2">
        <f>(BC13+IF(BD13="",0,BD13))-BW13</f>
        <v/>
      </c>
      <c r="CC13" t="inlineStr">
        <is>
          <t>ALERT: profit/loss &lt;= -5000</t>
        </is>
      </c>
    </row>
    <row r="14">
      <c r="A14" t="n">
        <v>1113</v>
      </c>
      <c r="B14" t="inlineStr">
        <is>
          <t>Olawa</t>
        </is>
      </c>
      <c r="C14" t="inlineStr">
        <is>
          <t>Oława</t>
        </is>
      </c>
      <c r="D14" t="inlineStr">
        <is>
          <t>BB8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3639.29</v>
      </c>
      <c r="L14" s="2" t="n">
        <v>302.9371953703704</v>
      </c>
      <c r="M14" s="2" t="n">
        <v>3369.712962962963</v>
      </c>
      <c r="N14" s="2" t="n">
        <v>0</v>
      </c>
      <c r="O14" s="2" t="n">
        <v>3505.94</v>
      </c>
      <c r="P14" s="2" t="n">
        <v>133.35</v>
      </c>
      <c r="Q14" s="2" t="n">
        <v>3111.38</v>
      </c>
      <c r="R14" s="2" t="n">
        <v>216.0680555555555</v>
      </c>
      <c r="S14" s="2" t="n">
        <v>2880.907407407407</v>
      </c>
      <c r="T14" s="2" t="n">
        <v>0</v>
      </c>
      <c r="U14" s="2" t="n">
        <v>2757.49</v>
      </c>
      <c r="V14" s="2" t="n">
        <v>353.89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5335.360000000001</v>
      </c>
      <c r="AP14" s="2" t="n">
        <v>3550</v>
      </c>
      <c r="AQ14" s="2" t="n">
        <v>4940.148148148149</v>
      </c>
      <c r="AR14" s="2" t="n">
        <v>0</v>
      </c>
      <c r="AS14" s="2" t="n">
        <v>5204.18</v>
      </c>
      <c r="AT14" s="2" t="n">
        <v>131.18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12086.03</v>
      </c>
      <c r="BB14" s="2" t="n">
        <v>12086.03</v>
      </c>
      <c r="BC14" s="2">
        <f>F14+L14+R14+X14+AD14+AJ14+AP14+AV14+IF(BE14="",0,BE14)</f>
        <v/>
      </c>
      <c r="BD14" s="2" t="n">
        <v>186.124862</v>
      </c>
      <c r="BE14" s="2" t="n"/>
      <c r="BF14" s="2" t="n">
        <v>11190.76851851852</v>
      </c>
      <c r="BG14" s="2" t="n">
        <v>0</v>
      </c>
      <c r="BH14" s="2" t="n">
        <v>0</v>
      </c>
      <c r="BI14" s="2" t="n">
        <v>29778.37</v>
      </c>
      <c r="BJ14" s="2" t="n">
        <v>50.22840336134454</v>
      </c>
      <c r="BK14" s="2" t="n">
        <v>0</v>
      </c>
      <c r="BL14" s="2" t="n">
        <v>20</v>
      </c>
      <c r="BM14" s="2" t="n">
        <v>0</v>
      </c>
      <c r="BN14" s="2" t="n">
        <v>5</v>
      </c>
      <c r="BO14" s="2" t="n">
        <v>0</v>
      </c>
      <c r="BP14" s="2" t="n">
        <v>163.161405</v>
      </c>
      <c r="BQ14" s="2" t="n">
        <v>0</v>
      </c>
      <c r="BR14" s="2" t="n">
        <v>30016.75980836134</v>
      </c>
      <c r="BS14" s="2" t="n">
        <v>761.1080672268907</v>
      </c>
      <c r="BT14" s="2" t="n">
        <v>201.6806722689076</v>
      </c>
      <c r="BU14" s="2" t="n">
        <v>6163.277428571429</v>
      </c>
      <c r="BV14" s="2" t="n">
        <v>7126.066168067226</v>
      </c>
      <c r="BW14" s="2" t="n">
        <v>37142.82597642857</v>
      </c>
      <c r="BX14" s="2" t="n">
        <v>11467.61</v>
      </c>
      <c r="BY14" s="2" t="n">
        <v>618.4200000000001</v>
      </c>
      <c r="BZ14" s="2" t="n">
        <v>0</v>
      </c>
      <c r="CA14" s="2" t="n">
        <v>12086.03</v>
      </c>
      <c r="CB14" s="2">
        <f>(BC14+IF(BD14="",0,BD14))-BW14</f>
        <v/>
      </c>
      <c r="CC14" t="inlineStr">
        <is>
          <t>ALERT: profit/loss &lt;= -5000</t>
        </is>
      </c>
    </row>
    <row r="15">
      <c r="A15" t="n">
        <v>1114</v>
      </c>
      <c r="B15" t="inlineStr">
        <is>
          <t>Kraszewskiego 4, 77-300 Człuchów</t>
        </is>
      </c>
      <c r="C15" t="inlineStr">
        <is>
          <t>Człuchów</t>
        </is>
      </c>
      <c r="D15" t="inlineStr">
        <is>
          <t>BB8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109.5</v>
      </c>
      <c r="L15" s="2" t="n">
        <v>9.114861111111111</v>
      </c>
      <c r="M15" s="2" t="n">
        <v>101.3888888888889</v>
      </c>
      <c r="N15" s="2" t="n">
        <v>0</v>
      </c>
      <c r="O15" s="2" t="n">
        <v>109.5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1799.61</v>
      </c>
      <c r="AP15" s="2" t="n">
        <v>2950</v>
      </c>
      <c r="AQ15" s="2" t="n">
        <v>1666.305555555556</v>
      </c>
      <c r="AR15" s="2" t="n">
        <v>0</v>
      </c>
      <c r="AS15" s="2" t="n">
        <v>1342.24</v>
      </c>
      <c r="AT15" s="2" t="n">
        <v>457.37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1909.11</v>
      </c>
      <c r="BB15" s="2" t="n">
        <v>1909.11</v>
      </c>
      <c r="BC15" s="2">
        <f>F15+L15+R15+X15+AD15+AJ15+AP15+AV15+IF(BE15="",0,BE15)</f>
        <v/>
      </c>
      <c r="BD15" s="2" t="n">
        <v>29.400294</v>
      </c>
      <c r="BE15" s="2" t="n"/>
      <c r="BF15" s="2" t="n">
        <v>1767.694444444445</v>
      </c>
      <c r="BG15" s="2" t="n">
        <v>0</v>
      </c>
      <c r="BH15" s="2" t="n">
        <v>0</v>
      </c>
      <c r="BI15" s="2" t="n">
        <v>29778.37</v>
      </c>
      <c r="BJ15" s="2" t="n">
        <v>50.22840336134454</v>
      </c>
      <c r="BK15" s="2" t="n">
        <v>0</v>
      </c>
      <c r="BL15" s="2" t="n">
        <v>20</v>
      </c>
      <c r="BM15" s="2" t="n">
        <v>0</v>
      </c>
      <c r="BN15" s="2" t="n">
        <v>5</v>
      </c>
      <c r="BO15" s="2" t="n">
        <v>0</v>
      </c>
      <c r="BP15" s="2" t="n">
        <v>25.772985</v>
      </c>
      <c r="BQ15" s="2" t="n">
        <v>0</v>
      </c>
      <c r="BR15" s="2" t="n">
        <v>29879.37138836134</v>
      </c>
      <c r="BS15" s="2" t="n">
        <v>761.1080672268907</v>
      </c>
      <c r="BT15" s="2" t="n">
        <v>201.6806722689076</v>
      </c>
      <c r="BU15" s="2" t="n">
        <v>6163.277428571429</v>
      </c>
      <c r="BV15" s="2" t="n">
        <v>7126.066168067226</v>
      </c>
      <c r="BW15" s="2" t="n">
        <v>37005.43755642857</v>
      </c>
      <c r="BX15" s="2" t="n">
        <v>1451.74</v>
      </c>
      <c r="BY15" s="2" t="n">
        <v>457.37</v>
      </c>
      <c r="BZ15" s="2" t="n">
        <v>0</v>
      </c>
      <c r="CA15" s="2" t="n">
        <v>1909.11</v>
      </c>
      <c r="CB15" s="2">
        <f>(BC15+IF(BD15="",0,BD15))-BW15</f>
        <v/>
      </c>
      <c r="CC15" t="inlineStr">
        <is>
          <t>ALERT: profit/loss &lt;= -5000</t>
        </is>
      </c>
    </row>
    <row r="16">
      <c r="A16" t="n">
        <v>1115</v>
      </c>
      <c r="B16" t="inlineStr">
        <is>
          <t>Pawia 5a, 31-154 Kraków</t>
        </is>
      </c>
      <c r="C16" t="inlineStr">
        <is>
          <t>Kraków Główny</t>
        </is>
      </c>
      <c r="D16" t="inlineStr">
        <is>
          <t>BB8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10584.43</v>
      </c>
      <c r="L16" s="2" t="n">
        <v>881.0557935185186</v>
      </c>
      <c r="M16" s="2" t="n">
        <v>9800.398148148148</v>
      </c>
      <c r="N16" s="2" t="n">
        <v>0</v>
      </c>
      <c r="O16" s="2" t="n">
        <v>10032.28</v>
      </c>
      <c r="P16" s="2" t="n">
        <v>552.15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36347.48</v>
      </c>
      <c r="X16" s="2" t="n">
        <v>880</v>
      </c>
      <c r="Y16" s="2" t="n">
        <v>33655.07407407407</v>
      </c>
      <c r="Z16" s="2" t="n">
        <v>0</v>
      </c>
      <c r="AA16" s="2" t="n">
        <v>35731.72</v>
      </c>
      <c r="AB16" s="2" t="n">
        <v>615.76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10</v>
      </c>
      <c r="AJ16" s="2" t="n">
        <v>0.6944444444444444</v>
      </c>
      <c r="AK16" s="2" t="n">
        <v>9.25925925925926</v>
      </c>
      <c r="AL16" s="2" t="n">
        <v>0</v>
      </c>
      <c r="AM16" s="2" t="n">
        <v>10</v>
      </c>
      <c r="AN16" s="2" t="n">
        <v>0</v>
      </c>
      <c r="AO16" s="2" t="n">
        <v>4771.099999999999</v>
      </c>
      <c r="AP16" s="2" t="n">
        <v>3600</v>
      </c>
      <c r="AQ16" s="2" t="n">
        <v>4417.685185185184</v>
      </c>
      <c r="AR16" s="2" t="n">
        <v>0</v>
      </c>
      <c r="AS16" s="2" t="n">
        <v>4503.15</v>
      </c>
      <c r="AT16" s="2" t="n">
        <v>267.95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51713.01</v>
      </c>
      <c r="BB16" s="2" t="n">
        <v>51713.01</v>
      </c>
      <c r="BC16" s="2">
        <f>F16+L16+R16+X16+AD16+AJ16+AP16+AV16+IF(BE16="",0,BE16)</f>
        <v/>
      </c>
      <c r="BD16" s="2" t="n">
        <v>727.3201419999999</v>
      </c>
      <c r="BE16" s="2" t="n"/>
      <c r="BF16" s="2" t="n">
        <v>47882.41666666666</v>
      </c>
      <c r="BG16" s="2" t="n">
        <v>0</v>
      </c>
      <c r="BH16" s="2" t="n">
        <v>0</v>
      </c>
      <c r="BI16" s="2" t="n">
        <v>29778.37</v>
      </c>
      <c r="BJ16" s="2" t="n">
        <v>50.22840336134454</v>
      </c>
      <c r="BK16" s="2" t="n">
        <v>0</v>
      </c>
      <c r="BL16" s="2" t="n">
        <v>20</v>
      </c>
      <c r="BM16" s="2" t="n">
        <v>0</v>
      </c>
      <c r="BN16" s="2" t="n">
        <v>5</v>
      </c>
      <c r="BO16" s="2" t="n">
        <v>0</v>
      </c>
      <c r="BP16" s="2" t="n">
        <v>698.125635</v>
      </c>
      <c r="BQ16" s="2" t="n">
        <v>0</v>
      </c>
      <c r="BR16" s="2" t="n">
        <v>30551.72403836134</v>
      </c>
      <c r="BS16" s="2" t="n">
        <v>761.1080672268907</v>
      </c>
      <c r="BT16" s="2" t="n">
        <v>201.6806722689076</v>
      </c>
      <c r="BU16" s="2" t="n">
        <v>6163.277428571429</v>
      </c>
      <c r="BV16" s="2" t="n">
        <v>7126.066168067226</v>
      </c>
      <c r="BW16" s="2" t="n">
        <v>37677.79020642857</v>
      </c>
      <c r="BX16" s="2" t="n">
        <v>50277.15</v>
      </c>
      <c r="BY16" s="2" t="n">
        <v>1435.86</v>
      </c>
      <c r="BZ16" s="2" t="n">
        <v>0</v>
      </c>
      <c r="CA16" s="2" t="n">
        <v>51713.01</v>
      </c>
      <c r="CB16" s="2">
        <f>(BC16+IF(BD16="",0,BD16))-BW16</f>
        <v/>
      </c>
      <c r="CC16" t="inlineStr">
        <is>
          <t>ALERT: profit/loss &lt;= -5000</t>
        </is>
      </c>
    </row>
    <row r="17">
      <c r="A17" t="n">
        <v>1116</v>
      </c>
      <c r="B17" t="inlineStr">
        <is>
          <t>Dworcowa 4, 83-032 Pszczółki</t>
        </is>
      </c>
      <c r="C17" t="inlineStr">
        <is>
          <t>Pszczółki</t>
        </is>
      </c>
      <c r="D17" t="inlineStr">
        <is>
          <t>BB8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95.98999999999999</v>
      </c>
      <c r="L17" s="2" t="n">
        <v>7.990278703703703</v>
      </c>
      <c r="M17" s="2" t="n">
        <v>88.87962962962962</v>
      </c>
      <c r="N17" s="2" t="n">
        <v>0</v>
      </c>
      <c r="O17" s="2" t="n">
        <v>95.98999999999999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1060.96</v>
      </c>
      <c r="AP17" s="2" t="n">
        <v>2950</v>
      </c>
      <c r="AQ17" s="2" t="n">
        <v>982.3703703703703</v>
      </c>
      <c r="AR17" s="2" t="n">
        <v>0</v>
      </c>
      <c r="AS17" s="2" t="n">
        <v>983.48</v>
      </c>
      <c r="AT17" s="2" t="n">
        <v>77.48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1156.95</v>
      </c>
      <c r="BB17" s="2" t="n">
        <v>1156.95</v>
      </c>
      <c r="BC17" s="2">
        <f>F17+L17+R17+X17+AD17+AJ17+AP17+AV17+IF(BE17="",0,BE17)</f>
        <v/>
      </c>
      <c r="BD17" s="2" t="n">
        <v>17.81703</v>
      </c>
      <c r="BE17" s="2" t="n"/>
      <c r="BF17" s="2" t="n">
        <v>1071.25</v>
      </c>
      <c r="BG17" s="2" t="n">
        <v>0</v>
      </c>
      <c r="BH17" s="2" t="n">
        <v>0</v>
      </c>
      <c r="BI17" s="2" t="n">
        <v>29778.37</v>
      </c>
      <c r="BJ17" s="2" t="n">
        <v>50.22840336134454</v>
      </c>
      <c r="BK17" s="2" t="n">
        <v>0</v>
      </c>
      <c r="BL17" s="2" t="n">
        <v>20</v>
      </c>
      <c r="BM17" s="2" t="n">
        <v>0</v>
      </c>
      <c r="BN17" s="2" t="n">
        <v>5</v>
      </c>
      <c r="BO17" s="2" t="n">
        <v>0</v>
      </c>
      <c r="BP17" s="2" t="n">
        <v>15.618825</v>
      </c>
      <c r="BQ17" s="2" t="n">
        <v>0</v>
      </c>
      <c r="BR17" s="2" t="n">
        <v>29869.21722836134</v>
      </c>
      <c r="BS17" s="2" t="n">
        <v>761.1080672268907</v>
      </c>
      <c r="BT17" s="2" t="n">
        <v>201.6806722689076</v>
      </c>
      <c r="BU17" s="2" t="n">
        <v>6163.277428571429</v>
      </c>
      <c r="BV17" s="2" t="n">
        <v>7126.066168067226</v>
      </c>
      <c r="BW17" s="2" t="n">
        <v>36995.28339642857</v>
      </c>
      <c r="BX17" s="2" t="n">
        <v>1079.47</v>
      </c>
      <c r="BY17" s="2" t="n">
        <v>77.48</v>
      </c>
      <c r="BZ17" s="2" t="n">
        <v>0</v>
      </c>
      <c r="CA17" s="2" t="n">
        <v>1156.95</v>
      </c>
      <c r="CB17" s="2">
        <f>(BC17+IF(BD17="",0,BD17))-BW17</f>
        <v/>
      </c>
      <c r="CC17" t="inlineStr">
        <is>
          <t>ALERT: profit/loss &lt;= -5000</t>
        </is>
      </c>
    </row>
    <row r="18">
      <c r="A18" t="n">
        <v>1117</v>
      </c>
      <c r="B18" t="inlineStr">
        <is>
          <t>Chramcówki 35, 34-500 Zakopane</t>
        </is>
      </c>
      <c r="C18" t="inlineStr">
        <is>
          <t>Zakopane</t>
        </is>
      </c>
      <c r="D18" t="inlineStr">
        <is>
          <t>BB8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10467.83</v>
      </c>
      <c r="L18" s="2" t="n">
        <v>871.3499231481482</v>
      </c>
      <c r="M18" s="2" t="n">
        <v>9692.435185185184</v>
      </c>
      <c r="N18" s="2" t="n">
        <v>0</v>
      </c>
      <c r="O18" s="2" t="n">
        <v>9848.129999999999</v>
      </c>
      <c r="P18" s="2" t="n">
        <v>619.7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1951.53</v>
      </c>
      <c r="AP18" s="2" t="n">
        <v>3600</v>
      </c>
      <c r="AQ18" s="2" t="n">
        <v>1806.972222222222</v>
      </c>
      <c r="AR18" s="2" t="n">
        <v>0</v>
      </c>
      <c r="AS18" s="2" t="n">
        <v>1734.83</v>
      </c>
      <c r="AT18" s="2" t="n">
        <v>216.7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12419.36</v>
      </c>
      <c r="BB18" s="2" t="n">
        <v>12419.36</v>
      </c>
      <c r="BC18" s="2">
        <f>F18+L18+R18+X18+AD18+AJ18+AP18+AV18+IF(BE18="",0,BE18)</f>
        <v/>
      </c>
      <c r="BD18" s="2" t="n">
        <v>191.258144</v>
      </c>
      <c r="BE18" s="2" t="n"/>
      <c r="BF18" s="2" t="n">
        <v>11499.40740740741</v>
      </c>
      <c r="BG18" s="2" t="n">
        <v>0</v>
      </c>
      <c r="BH18" s="2" t="n">
        <v>0</v>
      </c>
      <c r="BI18" s="2" t="n">
        <v>29778.37</v>
      </c>
      <c r="BJ18" s="2" t="n">
        <v>50.22840336134454</v>
      </c>
      <c r="BK18" s="2" t="n">
        <v>0</v>
      </c>
      <c r="BL18" s="2" t="n">
        <v>20</v>
      </c>
      <c r="BM18" s="2" t="n">
        <v>0</v>
      </c>
      <c r="BN18" s="2" t="n">
        <v>5</v>
      </c>
      <c r="BO18" s="2" t="n">
        <v>0</v>
      </c>
      <c r="BP18" s="2" t="n">
        <v>167.66136</v>
      </c>
      <c r="BQ18" s="2" t="n">
        <v>0</v>
      </c>
      <c r="BR18" s="2" t="n">
        <v>30021.25976336134</v>
      </c>
      <c r="BS18" s="2" t="n">
        <v>761.1080672268907</v>
      </c>
      <c r="BT18" s="2" t="n">
        <v>201.6806722689076</v>
      </c>
      <c r="BU18" s="2" t="n">
        <v>6163.277428571429</v>
      </c>
      <c r="BV18" s="2" t="n">
        <v>7126.066168067226</v>
      </c>
      <c r="BW18" s="2" t="n">
        <v>37147.32593142857</v>
      </c>
      <c r="BX18" s="2" t="n">
        <v>11582.96</v>
      </c>
      <c r="BY18" s="2" t="n">
        <v>836.4000000000001</v>
      </c>
      <c r="BZ18" s="2" t="n">
        <v>0</v>
      </c>
      <c r="CA18" s="2" t="n">
        <v>12419.36</v>
      </c>
      <c r="CB18" s="2">
        <f>(BC18+IF(BD18="",0,BD18))-BW18</f>
        <v/>
      </c>
      <c r="CC18" t="inlineStr">
        <is>
          <t>ALERT: profit/loss &lt;= -5000</t>
        </is>
      </c>
    </row>
    <row r="19">
      <c r="A19" t="n">
        <v>1118</v>
      </c>
      <c r="B19" t="inlineStr">
        <is>
          <t>Wroclaw Glowny</t>
        </is>
      </c>
      <c r="C19" t="inlineStr">
        <is>
          <t>Wrocław Główny</t>
        </is>
      </c>
      <c r="D19" t="inlineStr">
        <is>
          <t>BB8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8621.719999999999</v>
      </c>
      <c r="L19" s="2" t="n">
        <v>717.6783592592592</v>
      </c>
      <c r="M19" s="2" t="n">
        <v>7983.074074074073</v>
      </c>
      <c r="N19" s="2" t="n">
        <v>0</v>
      </c>
      <c r="O19" s="2" t="n">
        <v>8097.91</v>
      </c>
      <c r="P19" s="2" t="n">
        <v>523.8099999999999</v>
      </c>
      <c r="Q19" s="2" t="n">
        <v>20934.72</v>
      </c>
      <c r="R19" s="2" t="n">
        <v>1453.8</v>
      </c>
      <c r="S19" s="2" t="n">
        <v>19384</v>
      </c>
      <c r="T19" s="2" t="n">
        <v>0</v>
      </c>
      <c r="U19" s="2" t="n">
        <v>20270.47</v>
      </c>
      <c r="V19" s="2" t="n">
        <v>664.25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5717.459999999999</v>
      </c>
      <c r="AP19" s="2" t="n">
        <v>3600</v>
      </c>
      <c r="AQ19" s="2" t="n">
        <v>5293.944444444443</v>
      </c>
      <c r="AR19" s="2" t="n">
        <v>0</v>
      </c>
      <c r="AS19" s="2" t="n">
        <v>5409.23</v>
      </c>
      <c r="AT19" s="2" t="n">
        <v>308.23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35273.9</v>
      </c>
      <c r="BB19" s="2" t="n">
        <v>35273.9</v>
      </c>
      <c r="BC19" s="2">
        <f>F19+L19+R19+X19+AD19+AJ19+AP19+AV19+IF(BE19="",0,BE19)</f>
        <v/>
      </c>
      <c r="BD19" s="2" t="n">
        <v>543.2180599999999</v>
      </c>
      <c r="BE19" s="2" t="n"/>
      <c r="BF19" s="2" t="n">
        <v>32661.01851851852</v>
      </c>
      <c r="BG19" s="2" t="n">
        <v>0</v>
      </c>
      <c r="BH19" s="2" t="n">
        <v>0</v>
      </c>
      <c r="BI19" s="2" t="n">
        <v>29778.37</v>
      </c>
      <c r="BJ19" s="2" t="n">
        <v>50.22840336134454</v>
      </c>
      <c r="BK19" s="2" t="n">
        <v>0</v>
      </c>
      <c r="BL19" s="2" t="n">
        <v>20</v>
      </c>
      <c r="BM19" s="2" t="n">
        <v>0</v>
      </c>
      <c r="BN19" s="2" t="n">
        <v>5</v>
      </c>
      <c r="BO19" s="2" t="n">
        <v>0</v>
      </c>
      <c r="BP19" s="2" t="n">
        <v>476.19765</v>
      </c>
      <c r="BQ19" s="2" t="n">
        <v>0</v>
      </c>
      <c r="BR19" s="2" t="n">
        <v>30329.79605336134</v>
      </c>
      <c r="BS19" s="2" t="n">
        <v>761.1080672268907</v>
      </c>
      <c r="BT19" s="2" t="n">
        <v>201.6806722689076</v>
      </c>
      <c r="BU19" s="2" t="n">
        <v>6163.277428571429</v>
      </c>
      <c r="BV19" s="2" t="n">
        <v>7126.066168067226</v>
      </c>
      <c r="BW19" s="2" t="n">
        <v>37455.86222142856</v>
      </c>
      <c r="BX19" s="2" t="n">
        <v>33777.61</v>
      </c>
      <c r="BY19" s="2" t="n">
        <v>1496.29</v>
      </c>
      <c r="BZ19" s="2" t="n">
        <v>0</v>
      </c>
      <c r="CA19" s="2" t="n">
        <v>35273.9</v>
      </c>
      <c r="CB19" s="2">
        <f>(BC19+IF(BD19="",0,BD19))-BW19</f>
        <v/>
      </c>
      <c r="CC19" t="inlineStr">
        <is>
          <t>ALERT: profit/loss &lt;= -5000</t>
        </is>
      </c>
    </row>
    <row r="20">
      <c r="A20" t="n">
        <v>1120</v>
      </c>
      <c r="B20" t="inlineStr">
        <is>
          <t>Dworcowa 1, 47-220 Kędzierzyn-Koźle</t>
        </is>
      </c>
      <c r="C20" t="inlineStr">
        <is>
          <t>Kędzierzyn-Koźle</t>
        </is>
      </c>
      <c r="D20" t="inlineStr">
        <is>
          <t>BB8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6828.84</v>
      </c>
      <c r="L20" s="2" t="n">
        <v>568.4377000000001</v>
      </c>
      <c r="M20" s="2" t="n">
        <v>6323</v>
      </c>
      <c r="N20" s="2" t="n">
        <v>0</v>
      </c>
      <c r="O20" s="2" t="n">
        <v>6068.05</v>
      </c>
      <c r="P20" s="2" t="n">
        <v>760.79</v>
      </c>
      <c r="Q20" s="2" t="n">
        <v>44.4</v>
      </c>
      <c r="R20" s="2" t="n">
        <v>3.083333333333333</v>
      </c>
      <c r="S20" s="2" t="n">
        <v>41.11111111111111</v>
      </c>
      <c r="T20" s="2" t="n">
        <v>0</v>
      </c>
      <c r="U20" s="2" t="n">
        <v>44.4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18.71</v>
      </c>
      <c r="AD20" s="2" t="n">
        <v>1.212685185185185</v>
      </c>
      <c r="AE20" s="2" t="n">
        <v>17.32407407407407</v>
      </c>
      <c r="AF20" s="2" t="n">
        <v>0</v>
      </c>
      <c r="AG20" s="2" t="n">
        <v>18.71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10262.76</v>
      </c>
      <c r="AP20" s="2" t="n">
        <v>3600</v>
      </c>
      <c r="AQ20" s="2" t="n">
        <v>9502.555555555555</v>
      </c>
      <c r="AR20" s="2" t="n">
        <v>0</v>
      </c>
      <c r="AS20" s="2" t="n">
        <v>9299.26</v>
      </c>
      <c r="AT20" s="2" t="n">
        <v>963.5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17154.71</v>
      </c>
      <c r="BB20" s="2" t="n">
        <v>17154.71</v>
      </c>
      <c r="BC20" s="2">
        <f>F20+L20+R20+X20+AD20+AJ20+AP20+AV20+IF(BE20="",0,BE20)</f>
        <v/>
      </c>
      <c r="BD20" s="2" t="n">
        <v>264.182534</v>
      </c>
      <c r="BE20" s="2" t="n"/>
      <c r="BF20" s="2" t="n">
        <v>15883.99074074074</v>
      </c>
      <c r="BG20" s="2" t="n">
        <v>0</v>
      </c>
      <c r="BH20" s="2" t="n">
        <v>0</v>
      </c>
      <c r="BI20" s="2" t="n">
        <v>29778.37</v>
      </c>
      <c r="BJ20" s="2" t="n">
        <v>50.22840336134454</v>
      </c>
      <c r="BK20" s="2" t="n">
        <v>0</v>
      </c>
      <c r="BL20" s="2" t="n">
        <v>20</v>
      </c>
      <c r="BM20" s="2" t="n">
        <v>0</v>
      </c>
      <c r="BN20" s="2" t="n">
        <v>5</v>
      </c>
      <c r="BO20" s="2" t="n">
        <v>0</v>
      </c>
      <c r="BP20" s="2" t="n">
        <v>231.588585</v>
      </c>
      <c r="BQ20" s="2" t="n">
        <v>0</v>
      </c>
      <c r="BR20" s="2" t="n">
        <v>30085.18698836134</v>
      </c>
      <c r="BS20" s="2" t="n">
        <v>761.1080672268907</v>
      </c>
      <c r="BT20" s="2" t="n">
        <v>201.6806722689076</v>
      </c>
      <c r="BU20" s="2" t="n">
        <v>6163.277428571429</v>
      </c>
      <c r="BV20" s="2" t="n">
        <v>7126.066168067226</v>
      </c>
      <c r="BW20" s="2" t="n">
        <v>37211.25315642857</v>
      </c>
      <c r="BX20" s="2" t="n">
        <v>15430.42</v>
      </c>
      <c r="BY20" s="2" t="n">
        <v>1724.29</v>
      </c>
      <c r="BZ20" s="2" t="n">
        <v>0</v>
      </c>
      <c r="CA20" s="2" t="n">
        <v>17154.71</v>
      </c>
      <c r="CB20" s="2">
        <f>(BC20+IF(BD20="",0,BD20))-BW20</f>
        <v/>
      </c>
      <c r="CC20" t="inlineStr">
        <is>
          <t>ALERT: profit/loss &lt;= -5000</t>
        </is>
      </c>
    </row>
    <row r="21">
      <c r="A21" t="n">
        <v>1121</v>
      </c>
      <c r="B21" t="inlineStr">
        <is>
          <t>pl. Dworcowy, 47-320 Gogolin</t>
        </is>
      </c>
      <c r="C21" t="inlineStr">
        <is>
          <t>Gogolin</t>
        </is>
      </c>
      <c r="D21" t="inlineStr">
        <is>
          <t>BB8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1290.17</v>
      </c>
      <c r="L21" s="2" t="n">
        <v>107.3947064814815</v>
      </c>
      <c r="M21" s="2" t="n">
        <v>1194.601851851852</v>
      </c>
      <c r="N21" s="2" t="n">
        <v>0</v>
      </c>
      <c r="O21" s="2" t="n">
        <v>1147.67</v>
      </c>
      <c r="P21" s="2" t="n">
        <v>142.5</v>
      </c>
      <c r="Q21" s="2" t="n">
        <v>71.7</v>
      </c>
      <c r="R21" s="2" t="n">
        <v>4.979166666666666</v>
      </c>
      <c r="S21" s="2" t="n">
        <v>66.38888888888889</v>
      </c>
      <c r="T21" s="2" t="n">
        <v>0</v>
      </c>
      <c r="U21" s="2" t="n">
        <v>71.7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16.2</v>
      </c>
      <c r="AD21" s="2" t="n">
        <v>1.05</v>
      </c>
      <c r="AE21" s="2" t="n">
        <v>15</v>
      </c>
      <c r="AF21" s="2" t="n">
        <v>0</v>
      </c>
      <c r="AG21" s="2" t="n">
        <v>16.2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7151.24</v>
      </c>
      <c r="AP21" s="2" t="n">
        <v>3600</v>
      </c>
      <c r="AQ21" s="2" t="n">
        <v>6621.518518518518</v>
      </c>
      <c r="AR21" s="2" t="n">
        <v>0</v>
      </c>
      <c r="AS21" s="2" t="n">
        <v>6669.94</v>
      </c>
      <c r="AT21" s="2" t="n">
        <v>481.3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8529.309999999999</v>
      </c>
      <c r="BB21" s="2" t="n">
        <v>8529.309999999999</v>
      </c>
      <c r="BC21" s="2">
        <f>F21+L21+R21+X21+AD21+AJ21+AP21+AV21+IF(BE21="",0,BE21)</f>
        <v/>
      </c>
      <c r="BD21" s="2" t="n">
        <v>131.351374</v>
      </c>
      <c r="BE21" s="2" t="n"/>
      <c r="BF21" s="2" t="n">
        <v>7897.509259259259</v>
      </c>
      <c r="BG21" s="2" t="n">
        <v>0</v>
      </c>
      <c r="BH21" s="2" t="n">
        <v>0</v>
      </c>
      <c r="BI21" s="2" t="n">
        <v>29778.37</v>
      </c>
      <c r="BJ21" s="2" t="n">
        <v>50.22840336134454</v>
      </c>
      <c r="BK21" s="2" t="n">
        <v>0</v>
      </c>
      <c r="BL21" s="2" t="n">
        <v>20</v>
      </c>
      <c r="BM21" s="2" t="n">
        <v>0</v>
      </c>
      <c r="BN21" s="2" t="n">
        <v>5</v>
      </c>
      <c r="BO21" s="2" t="n">
        <v>0</v>
      </c>
      <c r="BP21" s="2" t="n">
        <v>115.145685</v>
      </c>
      <c r="BQ21" s="2" t="n">
        <v>0</v>
      </c>
      <c r="BR21" s="2" t="n">
        <v>29968.74408836134</v>
      </c>
      <c r="BS21" s="2" t="n">
        <v>761.1080672268907</v>
      </c>
      <c r="BT21" s="2" t="n">
        <v>201.6806722689076</v>
      </c>
      <c r="BU21" s="2" t="n">
        <v>6163.277428571429</v>
      </c>
      <c r="BV21" s="2" t="n">
        <v>7126.066168067226</v>
      </c>
      <c r="BW21" s="2" t="n">
        <v>37094.81025642857</v>
      </c>
      <c r="BX21" s="2" t="n">
        <v>7905.51</v>
      </c>
      <c r="BY21" s="2" t="n">
        <v>623.8</v>
      </c>
      <c r="BZ21" s="2" t="n">
        <v>0</v>
      </c>
      <c r="CA21" s="2" t="n">
        <v>8529.309999999999</v>
      </c>
      <c r="CB21" s="2">
        <f>(BC21+IF(BD21="",0,BD21))-BW21</f>
        <v/>
      </c>
      <c r="CC21" t="inlineStr">
        <is>
          <t>ALERT: profit/loss &lt;= -5000</t>
        </is>
      </c>
    </row>
    <row r="22">
      <c r="A22" t="n">
        <v>1122</v>
      </c>
      <c r="B22" t="inlineStr">
        <is>
          <t>Gdansk Glowny</t>
        </is>
      </c>
      <c r="C22" t="inlineStr">
        <is>
          <t>Gdańsk Główny</t>
        </is>
      </c>
      <c r="D22" t="inlineStr">
        <is>
          <t>BB8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8.25</v>
      </c>
      <c r="L22" s="2" t="n">
        <v>0.6867361111111111</v>
      </c>
      <c r="M22" s="2" t="n">
        <v>7.638888888888888</v>
      </c>
      <c r="N22" s="2" t="n">
        <v>0</v>
      </c>
      <c r="O22" s="2" t="n">
        <v>8.25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313.15</v>
      </c>
      <c r="AP22" s="2" t="n">
        <v>2950</v>
      </c>
      <c r="AQ22" s="2" t="n">
        <v>289.9537037037036</v>
      </c>
      <c r="AR22" s="2" t="n">
        <v>0</v>
      </c>
      <c r="AS22" s="2" t="n">
        <v>313.15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321.4</v>
      </c>
      <c r="BB22" s="2" t="n">
        <v>321.4</v>
      </c>
      <c r="BC22" s="2">
        <f>F22+L22+R22+X22+AD22+AJ22+AP22+AV22+IF(BE22="",0,BE22)</f>
        <v/>
      </c>
      <c r="BD22" s="2" t="n">
        <v>4.949559999999999</v>
      </c>
      <c r="BE22" s="2" t="n"/>
      <c r="BF22" s="2" t="n">
        <v>297.5925925925926</v>
      </c>
      <c r="BG22" s="2" t="n">
        <v>0</v>
      </c>
      <c r="BH22" s="2" t="n">
        <v>0</v>
      </c>
      <c r="BI22" s="2" t="n">
        <v>29778.37</v>
      </c>
      <c r="BJ22" s="2" t="n">
        <v>50.22840336134454</v>
      </c>
      <c r="BK22" s="2" t="n">
        <v>0</v>
      </c>
      <c r="BL22" s="2" t="n">
        <v>20</v>
      </c>
      <c r="BM22" s="2" t="n">
        <v>0</v>
      </c>
      <c r="BN22" s="2" t="n">
        <v>5</v>
      </c>
      <c r="BO22" s="2" t="n">
        <v>0</v>
      </c>
      <c r="BP22" s="2" t="n">
        <v>4.3389</v>
      </c>
      <c r="BQ22" s="2" t="n">
        <v>0</v>
      </c>
      <c r="BR22" s="2" t="n">
        <v>29857.93730336134</v>
      </c>
      <c r="BS22" s="2" t="n">
        <v>761.1080672268907</v>
      </c>
      <c r="BT22" s="2" t="n">
        <v>201.6806722689076</v>
      </c>
      <c r="BU22" s="2" t="n">
        <v>6163.277428571429</v>
      </c>
      <c r="BV22" s="2" t="n">
        <v>7126.066168067226</v>
      </c>
      <c r="BW22" s="2" t="n">
        <v>36984.00347142856</v>
      </c>
      <c r="BX22" s="2" t="n">
        <v>321.4</v>
      </c>
      <c r="BY22" s="2" t="n">
        <v>0</v>
      </c>
      <c r="BZ22" s="2" t="n">
        <v>0</v>
      </c>
      <c r="CA22" s="2" t="n">
        <v>321.4</v>
      </c>
      <c r="CB22" s="2">
        <f>(BC22+IF(BD22="",0,BD22))-BW22</f>
        <v/>
      </c>
      <c r="CC22" t="inlineStr">
        <is>
          <t>ALERT: profit/loss &lt;= -5000</t>
        </is>
      </c>
    </row>
    <row r="23">
      <c r="A23" t="n">
        <v>1123</v>
      </c>
      <c r="B23" t="inlineStr">
        <is>
          <t>Dmowskiego 1, 80-264 Gdańsk</t>
        </is>
      </c>
      <c r="C23" t="inlineStr">
        <is>
          <t>Gdańsk Wrzeszcz</t>
        </is>
      </c>
      <c r="D23" t="inlineStr">
        <is>
          <t>BB8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8410.23</v>
      </c>
      <c r="L23" s="2" t="n">
        <v>700.073775</v>
      </c>
      <c r="M23" s="2" t="n">
        <v>7787.249999999999</v>
      </c>
      <c r="N23" s="2" t="n">
        <v>0</v>
      </c>
      <c r="O23" s="2" t="n">
        <v>8049.33</v>
      </c>
      <c r="P23" s="2" t="n">
        <v>360.9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13802.48</v>
      </c>
      <c r="AP23" s="2" t="n">
        <v>2950</v>
      </c>
      <c r="AQ23" s="2" t="n">
        <v>12780.07407407407</v>
      </c>
      <c r="AR23" s="2" t="n">
        <v>0</v>
      </c>
      <c r="AS23" s="2" t="n">
        <v>13246.2</v>
      </c>
      <c r="AT23" s="2" t="n">
        <v>556.28</v>
      </c>
      <c r="AU23" s="2" t="n">
        <v>6119</v>
      </c>
      <c r="AV23" s="2" t="n">
        <v>487.2537037037036</v>
      </c>
      <c r="AW23" s="2" t="n">
        <v>5665.74074074074</v>
      </c>
      <c r="AX23" s="2" t="n">
        <v>0</v>
      </c>
      <c r="AY23" s="2" t="n">
        <v>5994.35</v>
      </c>
      <c r="AZ23" s="2" t="n">
        <v>124.65</v>
      </c>
      <c r="BA23" s="2" t="n">
        <v>28331.71</v>
      </c>
      <c r="BB23" s="2" t="n">
        <v>28331.71</v>
      </c>
      <c r="BC23" s="2">
        <f>F23+L23+R23+X23+AD23+AJ23+AP23+AV23+IF(BE23="",0,BE23)</f>
        <v/>
      </c>
      <c r="BD23" s="2" t="n">
        <v>436.308334</v>
      </c>
      <c r="BE23" s="2" t="n"/>
      <c r="BF23" s="2" t="n">
        <v>26233.06481481481</v>
      </c>
      <c r="BG23" s="2" t="n">
        <v>0</v>
      </c>
      <c r="BH23" s="2" t="n">
        <v>0</v>
      </c>
      <c r="BI23" s="2" t="n">
        <v>29778.37</v>
      </c>
      <c r="BJ23" s="2" t="n">
        <v>50.22840336134454</v>
      </c>
      <c r="BK23" s="2" t="n">
        <v>0</v>
      </c>
      <c r="BL23" s="2" t="n">
        <v>20</v>
      </c>
      <c r="BM23" s="2" t="n">
        <v>0</v>
      </c>
      <c r="BN23" s="2" t="n">
        <v>5</v>
      </c>
      <c r="BO23" s="2" t="n">
        <v>0</v>
      </c>
      <c r="BP23" s="2" t="n">
        <v>382.478085</v>
      </c>
      <c r="BQ23" s="2" t="n">
        <v>0</v>
      </c>
      <c r="BR23" s="2" t="n">
        <v>30236.07648836134</v>
      </c>
      <c r="BS23" s="2" t="n">
        <v>761.1080672268907</v>
      </c>
      <c r="BT23" s="2" t="n">
        <v>201.6806722689076</v>
      </c>
      <c r="BU23" s="2" t="n">
        <v>6163.277428571429</v>
      </c>
      <c r="BV23" s="2" t="n">
        <v>7126.066168067226</v>
      </c>
      <c r="BW23" s="2" t="n">
        <v>37362.14265642856</v>
      </c>
      <c r="BX23" s="2" t="n">
        <v>27289.88</v>
      </c>
      <c r="BY23" s="2" t="n">
        <v>1041.83</v>
      </c>
      <c r="BZ23" s="2" t="n">
        <v>0</v>
      </c>
      <c r="CA23" s="2" t="n">
        <v>28331.71</v>
      </c>
      <c r="CB23" s="2">
        <f>(BC23+IF(BD23="",0,BD23))-BW23</f>
        <v/>
      </c>
      <c r="CC23" t="inlineStr">
        <is>
          <t>ALERT: profit/loss &lt;= -5000</t>
        </is>
      </c>
    </row>
    <row r="24">
      <c r="A24" t="n">
        <v>1125</v>
      </c>
      <c r="B24" t="inlineStr">
        <is>
          <t>Koluszki</t>
        </is>
      </c>
      <c r="C24" t="inlineStr">
        <is>
          <t>Koluszki</t>
        </is>
      </c>
      <c r="D24" t="inlineStr">
        <is>
          <t>BB8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3575.14</v>
      </c>
      <c r="L24" s="2" t="n">
        <v>297.5973018518519</v>
      </c>
      <c r="M24" s="2" t="n">
        <v>3310.314814814814</v>
      </c>
      <c r="N24" s="2" t="n">
        <v>0</v>
      </c>
      <c r="O24" s="2" t="n">
        <v>3162.02</v>
      </c>
      <c r="P24" s="2" t="n">
        <v>413.12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5833.8</v>
      </c>
      <c r="AJ24" s="2" t="n">
        <v>405.1249999999999</v>
      </c>
      <c r="AK24" s="2" t="n">
        <v>5401.666666666666</v>
      </c>
      <c r="AL24" s="2" t="n">
        <v>0</v>
      </c>
      <c r="AM24" s="2" t="n">
        <v>4715.72</v>
      </c>
      <c r="AN24" s="2" t="n">
        <v>1118.08</v>
      </c>
      <c r="AO24" s="2" t="n">
        <v>1668.22</v>
      </c>
      <c r="AP24" s="2" t="n">
        <v>3650</v>
      </c>
      <c r="AQ24" s="2" t="n">
        <v>1544.648148148148</v>
      </c>
      <c r="AR24" s="2" t="n">
        <v>0</v>
      </c>
      <c r="AS24" s="2" t="n">
        <v>1446.6</v>
      </c>
      <c r="AT24" s="2" t="n">
        <v>221.62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11077.16</v>
      </c>
      <c r="BB24" s="2" t="n">
        <v>11077.16</v>
      </c>
      <c r="BC24" s="2">
        <f>F24+L24+R24+X24+AD24+AJ24+AP24+AV24+IF(BE24="",0,BE24)</f>
        <v/>
      </c>
      <c r="BD24" s="2" t="n">
        <v>170.588264</v>
      </c>
      <c r="BE24" s="2" t="n"/>
      <c r="BF24" s="2" t="n">
        <v>10256.62962962963</v>
      </c>
      <c r="BG24" s="2" t="n">
        <v>0</v>
      </c>
      <c r="BH24" s="2" t="n">
        <v>0</v>
      </c>
      <c r="BI24" s="2" t="n">
        <v>29778.37</v>
      </c>
      <c r="BJ24" s="2" t="n">
        <v>50.22840336134454</v>
      </c>
      <c r="BK24" s="2" t="n">
        <v>0</v>
      </c>
      <c r="BL24" s="2" t="n">
        <v>20</v>
      </c>
      <c r="BM24" s="2" t="n">
        <v>0</v>
      </c>
      <c r="BN24" s="2" t="n">
        <v>5</v>
      </c>
      <c r="BO24" s="2" t="n">
        <v>0</v>
      </c>
      <c r="BP24" s="2" t="n">
        <v>149.54166</v>
      </c>
      <c r="BQ24" s="2" t="n">
        <v>0</v>
      </c>
      <c r="BR24" s="2" t="n">
        <v>30003.14006336134</v>
      </c>
      <c r="BS24" s="2" t="n">
        <v>761.1080672268907</v>
      </c>
      <c r="BT24" s="2" t="n">
        <v>201.6806722689076</v>
      </c>
      <c r="BU24" s="2" t="n">
        <v>6163.277428571429</v>
      </c>
      <c r="BV24" s="2" t="n">
        <v>7126.066168067226</v>
      </c>
      <c r="BW24" s="2" t="n">
        <v>37129.20623142856</v>
      </c>
      <c r="BX24" s="2" t="n">
        <v>9324.34</v>
      </c>
      <c r="BY24" s="2" t="n">
        <v>1752.82</v>
      </c>
      <c r="BZ24" s="2" t="n">
        <v>0</v>
      </c>
      <c r="CA24" s="2" t="n">
        <v>11077.16</v>
      </c>
      <c r="CB24" s="2">
        <f>(BC24+IF(BD24="",0,BD24))-BW24</f>
        <v/>
      </c>
      <c r="CC24" t="inlineStr">
        <is>
          <t>ALERT: profit/loss &lt;= -5000</t>
        </is>
      </c>
    </row>
    <row r="25">
      <c r="A25" t="n">
        <v>1126</v>
      </c>
      <c r="B25" t="inlineStr">
        <is>
          <t>Warszawa Centralna</t>
        </is>
      </c>
      <c r="C25" t="inlineStr">
        <is>
          <t>Warszawa Centralna</t>
        </is>
      </c>
      <c r="D25" t="inlineStr">
        <is>
          <t>BB8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29296.34</v>
      </c>
      <c r="L25" s="2" t="n">
        <v>2438.649042592593</v>
      </c>
      <c r="M25" s="2" t="n">
        <v>27126.24074074074</v>
      </c>
      <c r="N25" s="2" t="n">
        <v>0</v>
      </c>
      <c r="O25" s="2" t="n">
        <v>27165.05</v>
      </c>
      <c r="P25" s="2" t="n">
        <v>2131.29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626.77</v>
      </c>
      <c r="AJ25" s="2" t="n">
        <v>43.52569444444443</v>
      </c>
      <c r="AK25" s="2" t="n">
        <v>580.3425925925925</v>
      </c>
      <c r="AL25" s="2" t="n">
        <v>0</v>
      </c>
      <c r="AM25" s="2" t="n">
        <v>554.77</v>
      </c>
      <c r="AN25" s="2" t="n">
        <v>72</v>
      </c>
      <c r="AO25" s="2" t="n">
        <v>1326.04</v>
      </c>
      <c r="AP25" s="2" t="n">
        <v>103.1364444444445</v>
      </c>
      <c r="AQ25" s="2" t="n">
        <v>1227.814814814815</v>
      </c>
      <c r="AR25" s="2" t="n">
        <v>0</v>
      </c>
      <c r="AS25" s="2" t="n">
        <v>1237.74</v>
      </c>
      <c r="AT25" s="2" t="n">
        <v>88.3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31249.15</v>
      </c>
      <c r="BB25" s="2" t="n">
        <v>31249.15</v>
      </c>
      <c r="BC25" s="2">
        <f>F25+L25+R25+X25+AD25+AJ25+AP25+AV25+IF(BE25="",0,BE25)</f>
        <v/>
      </c>
      <c r="BD25" s="2" t="n">
        <v>481.23691</v>
      </c>
      <c r="BE25" s="2" t="n"/>
      <c r="BF25" s="2" t="n">
        <v>28934.39814814815</v>
      </c>
      <c r="BG25" s="2" t="n">
        <v>0</v>
      </c>
      <c r="BH25" s="2" t="n">
        <v>0</v>
      </c>
      <c r="BI25" s="2" t="n">
        <v>29778.37</v>
      </c>
      <c r="BJ25" s="2" t="n">
        <v>50.22840336134454</v>
      </c>
      <c r="BK25" s="2" t="n">
        <v>0</v>
      </c>
      <c r="BL25" s="2" t="n">
        <v>20</v>
      </c>
      <c r="BM25" s="2" t="n">
        <v>0</v>
      </c>
      <c r="BN25" s="2" t="n">
        <v>5</v>
      </c>
      <c r="BO25" s="2" t="n">
        <v>0</v>
      </c>
      <c r="BP25" s="2" t="n">
        <v>421.863525</v>
      </c>
      <c r="BQ25" s="2" t="n">
        <v>0</v>
      </c>
      <c r="BR25" s="2" t="n">
        <v>30275.46192836134</v>
      </c>
      <c r="BS25" s="2" t="n">
        <v>761.1080672268907</v>
      </c>
      <c r="BT25" s="2" t="n">
        <v>201.6806722689076</v>
      </c>
      <c r="BU25" s="2" t="n">
        <v>6163.277428571429</v>
      </c>
      <c r="BV25" s="2" t="n">
        <v>7126.066168067226</v>
      </c>
      <c r="BW25" s="2" t="n">
        <v>37401.52809642857</v>
      </c>
      <c r="BX25" s="2" t="n">
        <v>28957.56</v>
      </c>
      <c r="BY25" s="2" t="n">
        <v>2291.59</v>
      </c>
      <c r="BZ25" s="2" t="n">
        <v>0</v>
      </c>
      <c r="CA25" s="2" t="n">
        <v>31249.15</v>
      </c>
      <c r="CB25" s="2">
        <f>(BC25+IF(BD25="",0,BD25))-BW25</f>
        <v/>
      </c>
      <c r="CC25" t="inlineStr">
        <is>
          <t>ALERT: profit/loss &lt;= -5000</t>
        </is>
      </c>
    </row>
    <row r="26">
      <c r="A26" t="n">
        <v>1127</v>
      </c>
      <c r="B26" t="inlineStr">
        <is>
          <t>Warszawa Centralna</t>
        </is>
      </c>
      <c r="C26" t="inlineStr">
        <is>
          <t>Warszawa Centralna</t>
        </is>
      </c>
      <c r="D26" t="inlineStr">
        <is>
          <t>BB8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21187.1</v>
      </c>
      <c r="L26" s="2" t="n">
        <v>1763.629898148148</v>
      </c>
      <c r="M26" s="2" t="n">
        <v>19617.68518518519</v>
      </c>
      <c r="N26" s="2" t="n">
        <v>0</v>
      </c>
      <c r="O26" s="2" t="n">
        <v>19702.74</v>
      </c>
      <c r="P26" s="2" t="n">
        <v>1484.36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681.91</v>
      </c>
      <c r="AJ26" s="2" t="n">
        <v>47.3548611111111</v>
      </c>
      <c r="AK26" s="2" t="n">
        <v>631.398148148148</v>
      </c>
      <c r="AL26" s="2" t="n">
        <v>0</v>
      </c>
      <c r="AM26" s="2" t="n">
        <v>681.91</v>
      </c>
      <c r="AN26" s="2" t="n">
        <v>0</v>
      </c>
      <c r="AO26" s="2" t="n">
        <v>1031.92</v>
      </c>
      <c r="AP26" s="2" t="n">
        <v>80.26044444444446</v>
      </c>
      <c r="AQ26" s="2" t="n">
        <v>955.4814814814815</v>
      </c>
      <c r="AR26" s="2" t="n">
        <v>0</v>
      </c>
      <c r="AS26" s="2" t="n">
        <v>1022.54</v>
      </c>
      <c r="AT26" s="2" t="n">
        <v>9.380000000000001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22900.93</v>
      </c>
      <c r="BB26" s="2" t="n">
        <v>22900.93</v>
      </c>
      <c r="BC26" s="2">
        <f>F26+L26+R26+X26+AD26+AJ26+AP26+AV26+IF(BE26="",0,BE26)</f>
        <v/>
      </c>
      <c r="BD26" s="2" t="n">
        <v>352.6743220000001</v>
      </c>
      <c r="BE26" s="2" t="n"/>
      <c r="BF26" s="2" t="n">
        <v>21204.56481481482</v>
      </c>
      <c r="BG26" s="2" t="n">
        <v>0</v>
      </c>
      <c r="BH26" s="2" t="n">
        <v>0</v>
      </c>
      <c r="BI26" s="2" t="n">
        <v>29778.37</v>
      </c>
      <c r="BJ26" s="2" t="n">
        <v>50.22840336134454</v>
      </c>
      <c r="BK26" s="2" t="n">
        <v>0</v>
      </c>
      <c r="BL26" s="2" t="n">
        <v>20</v>
      </c>
      <c r="BM26" s="2" t="n">
        <v>0</v>
      </c>
      <c r="BN26" s="2" t="n">
        <v>5</v>
      </c>
      <c r="BO26" s="2" t="n">
        <v>0</v>
      </c>
      <c r="BP26" s="2" t="n">
        <v>309.1625550000001</v>
      </c>
      <c r="BQ26" s="2" t="n">
        <v>0</v>
      </c>
      <c r="BR26" s="2" t="n">
        <v>30162.76095836134</v>
      </c>
      <c r="BS26" s="2" t="n">
        <v>761.1080672268907</v>
      </c>
      <c r="BT26" s="2" t="n">
        <v>201.6806722689076</v>
      </c>
      <c r="BU26" s="2" t="n">
        <v>6163.277428571429</v>
      </c>
      <c r="BV26" s="2" t="n">
        <v>7126.066168067226</v>
      </c>
      <c r="BW26" s="2" t="n">
        <v>37288.82712642856</v>
      </c>
      <c r="BX26" s="2" t="n">
        <v>21407.19</v>
      </c>
      <c r="BY26" s="2" t="n">
        <v>1493.74</v>
      </c>
      <c r="BZ26" s="2" t="n">
        <v>0</v>
      </c>
      <c r="CA26" s="2" t="n">
        <v>22900.93</v>
      </c>
      <c r="CB26" s="2">
        <f>(BC26+IF(BD26="",0,BD26))-BW26</f>
        <v/>
      </c>
      <c r="CC26" t="inlineStr">
        <is>
          <t>ALERT: profit/loss &lt;= -5000</t>
        </is>
      </c>
    </row>
    <row r="27">
      <c r="A27" t="n">
        <v>1128</v>
      </c>
      <c r="B27" t="inlineStr">
        <is>
          <t>Wojska Polskiego 109, 64-761 Krzyż Wielkopolski</t>
        </is>
      </c>
      <c r="C27" t="inlineStr">
        <is>
          <t>Krzyż Wielkopolski</t>
        </is>
      </c>
      <c r="D27" t="inlineStr">
        <is>
          <t>BB8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2175.96</v>
      </c>
      <c r="L27" s="2" t="n">
        <v>181.1285222222222</v>
      </c>
      <c r="M27" s="2" t="n">
        <v>2014.777777777778</v>
      </c>
      <c r="N27" s="2" t="n">
        <v>0</v>
      </c>
      <c r="O27" s="2" t="n">
        <v>1812.2</v>
      </c>
      <c r="P27" s="2" t="n">
        <v>363.76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576.97</v>
      </c>
      <c r="AD27" s="2" t="n">
        <v>37.39620370370371</v>
      </c>
      <c r="AE27" s="2" t="n">
        <v>534.2314814814815</v>
      </c>
      <c r="AF27" s="2" t="n">
        <v>0</v>
      </c>
      <c r="AG27" s="2" t="n">
        <v>488.31</v>
      </c>
      <c r="AH27" s="2" t="n">
        <v>88.66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2851.79</v>
      </c>
      <c r="AP27" s="2" t="n">
        <v>221.8058888888889</v>
      </c>
      <c r="AQ27" s="2" t="n">
        <v>2640.546296296296</v>
      </c>
      <c r="AR27" s="2" t="n">
        <v>0</v>
      </c>
      <c r="AS27" s="2" t="n">
        <v>2525.13</v>
      </c>
      <c r="AT27" s="2" t="n">
        <v>326.66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5604.72</v>
      </c>
      <c r="BB27" s="2" t="n">
        <v>5604.72</v>
      </c>
      <c r="BC27" s="2">
        <f>F27+L27+R27+X27+AD27+AJ27+AP27+AV27+IF(BE27="",0,BE27)</f>
        <v/>
      </c>
      <c r="BD27" s="2" t="n">
        <v>86.31268800000001</v>
      </c>
      <c r="BE27" s="2" t="n"/>
      <c r="BF27" s="2" t="n">
        <v>5189.555555555555</v>
      </c>
      <c r="BG27" s="2" t="n">
        <v>0</v>
      </c>
      <c r="BH27" s="2" t="n">
        <v>0</v>
      </c>
      <c r="BI27" s="2" t="n">
        <v>29778.37</v>
      </c>
      <c r="BJ27" s="2" t="n">
        <v>50.22840336134454</v>
      </c>
      <c r="BK27" s="2" t="n">
        <v>0</v>
      </c>
      <c r="BL27" s="2" t="n">
        <v>20</v>
      </c>
      <c r="BM27" s="2" t="n">
        <v>0</v>
      </c>
      <c r="BN27" s="2" t="n">
        <v>5</v>
      </c>
      <c r="BO27" s="2" t="n">
        <v>0</v>
      </c>
      <c r="BP27" s="2" t="n">
        <v>75.66372</v>
      </c>
      <c r="BQ27" s="2" t="n">
        <v>0</v>
      </c>
      <c r="BR27" s="2" t="n">
        <v>29929.26212336134</v>
      </c>
      <c r="BS27" s="2" t="n">
        <v>761.1080672268907</v>
      </c>
      <c r="BT27" s="2" t="n">
        <v>201.6806722689076</v>
      </c>
      <c r="BU27" s="2" t="n">
        <v>6163.277428571429</v>
      </c>
      <c r="BV27" s="2" t="n">
        <v>7126.066168067226</v>
      </c>
      <c r="BW27" s="2" t="n">
        <v>37055.32829142857</v>
      </c>
      <c r="BX27" s="2" t="n">
        <v>4825.64</v>
      </c>
      <c r="BY27" s="2" t="n">
        <v>779.0799999999999</v>
      </c>
      <c r="BZ27" s="2" t="n">
        <v>0</v>
      </c>
      <c r="CA27" s="2" t="n">
        <v>5604.72</v>
      </c>
      <c r="CB27" s="2">
        <f>(BC27+IF(BD27="",0,BD27))-BW27</f>
        <v/>
      </c>
      <c r="CC27" t="inlineStr">
        <is>
          <t>ALERT: profit/loss &lt;= -5000</t>
        </is>
      </c>
    </row>
    <row r="28">
      <c r="A28" t="n">
        <v>1129</v>
      </c>
      <c r="B28" t="inlineStr">
        <is>
          <t>Dworcowa 1, 62-300 Września</t>
        </is>
      </c>
      <c r="C28" t="inlineStr">
        <is>
          <t>Września</t>
        </is>
      </c>
      <c r="D28" t="inlineStr">
        <is>
          <t>BB8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1374.45</v>
      </c>
      <c r="L28" s="2" t="n">
        <v>114.4102361111111</v>
      </c>
      <c r="M28" s="2" t="n">
        <v>1272.638888888889</v>
      </c>
      <c r="N28" s="2" t="n">
        <v>0</v>
      </c>
      <c r="O28" s="2" t="n">
        <v>1306.94</v>
      </c>
      <c r="P28" s="2" t="n">
        <v>67.51000000000001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7600.84</v>
      </c>
      <c r="AD28" s="2" t="n">
        <v>492.6470370370371</v>
      </c>
      <c r="AE28" s="2" t="n">
        <v>7037.814814814815</v>
      </c>
      <c r="AF28" s="2" t="n">
        <v>0</v>
      </c>
      <c r="AG28" s="2" t="n">
        <v>7053.61</v>
      </c>
      <c r="AH28" s="2" t="n">
        <v>547.23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152</v>
      </c>
      <c r="AP28" s="2" t="n">
        <v>11.82222222222222</v>
      </c>
      <c r="AQ28" s="2" t="n">
        <v>140.7407407407407</v>
      </c>
      <c r="AR28" s="2" t="n">
        <v>0</v>
      </c>
      <c r="AS28" s="2" t="n">
        <v>152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9127.290000000001</v>
      </c>
      <c r="BB28" s="2" t="n">
        <v>9127.290000000001</v>
      </c>
      <c r="BC28" s="2">
        <f>F28+L28+R28+X28+AD28+AJ28+AP28+AV28+IF(BE28="",0,BE28)</f>
        <v/>
      </c>
      <c r="BD28" s="2" t="n">
        <v>140.560266</v>
      </c>
      <c r="BE28" s="2" t="n"/>
      <c r="BF28" s="2" t="n">
        <v>8451.194444444445</v>
      </c>
      <c r="BG28" s="2" t="n">
        <v>0</v>
      </c>
      <c r="BH28" s="2" t="n">
        <v>0</v>
      </c>
      <c r="BI28" s="2" t="n">
        <v>29778.37</v>
      </c>
      <c r="BJ28" s="2" t="n">
        <v>50.22840336134454</v>
      </c>
      <c r="BK28" s="2" t="n">
        <v>0</v>
      </c>
      <c r="BL28" s="2" t="n">
        <v>20</v>
      </c>
      <c r="BM28" s="2" t="n">
        <v>0</v>
      </c>
      <c r="BN28" s="2" t="n">
        <v>5</v>
      </c>
      <c r="BO28" s="2" t="n">
        <v>0</v>
      </c>
      <c r="BP28" s="2" t="n">
        <v>123.218415</v>
      </c>
      <c r="BQ28" s="2" t="n">
        <v>0</v>
      </c>
      <c r="BR28" s="2" t="n">
        <v>29976.81681836134</v>
      </c>
      <c r="BS28" s="2" t="n">
        <v>761.1080672268907</v>
      </c>
      <c r="BT28" s="2" t="n">
        <v>201.6806722689076</v>
      </c>
      <c r="BU28" s="2" t="n">
        <v>6163.277428571429</v>
      </c>
      <c r="BV28" s="2" t="n">
        <v>7126.066168067226</v>
      </c>
      <c r="BW28" s="2" t="n">
        <v>37102.88298642857</v>
      </c>
      <c r="BX28" s="2" t="n">
        <v>8512.549999999999</v>
      </c>
      <c r="BY28" s="2" t="n">
        <v>614.74</v>
      </c>
      <c r="BZ28" s="2" t="n">
        <v>0</v>
      </c>
      <c r="CA28" s="2" t="n">
        <v>9127.289999999999</v>
      </c>
      <c r="CB28" s="2">
        <f>(BC28+IF(BD28="",0,BD28))-BW28</f>
        <v/>
      </c>
      <c r="CC28" t="inlineStr">
        <is>
          <t>ALERT: profit/loss &lt;= -5000</t>
        </is>
      </c>
    </row>
    <row r="29">
      <c r="A29" t="n">
        <v>1130</v>
      </c>
      <c r="B29" t="inlineStr">
        <is>
          <t>Plac Dworcowy 2, 64-300 Nowy Tomyśl</t>
        </is>
      </c>
      <c r="C29" t="inlineStr">
        <is>
          <t>Nowy Tomyśl</t>
        </is>
      </c>
      <c r="D29" t="inlineStr">
        <is>
          <t>BB8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1779.46</v>
      </c>
      <c r="L29" s="2" t="n">
        <v>148.1235685185185</v>
      </c>
      <c r="M29" s="2" t="n">
        <v>1647.648148148148</v>
      </c>
      <c r="N29" s="2" t="n">
        <v>0</v>
      </c>
      <c r="O29" s="2" t="n">
        <v>1357.44</v>
      </c>
      <c r="P29" s="2" t="n">
        <v>422.02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3652.09</v>
      </c>
      <c r="AD29" s="2" t="n">
        <v>236.7095370370371</v>
      </c>
      <c r="AE29" s="2" t="n">
        <v>3381.564814814815</v>
      </c>
      <c r="AF29" s="2" t="n">
        <v>0</v>
      </c>
      <c r="AG29" s="2" t="n">
        <v>3158.75</v>
      </c>
      <c r="AH29" s="2" t="n">
        <v>493.34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1515.35</v>
      </c>
      <c r="AP29" s="2" t="n">
        <v>117.8605555555555</v>
      </c>
      <c r="AQ29" s="2" t="n">
        <v>1403.101851851852</v>
      </c>
      <c r="AR29" s="2" t="n">
        <v>0</v>
      </c>
      <c r="AS29" s="2" t="n">
        <v>1417.29</v>
      </c>
      <c r="AT29" s="2" t="n">
        <v>98.06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6946.9</v>
      </c>
      <c r="BB29" s="2" t="n">
        <v>6946.9</v>
      </c>
      <c r="BC29" s="2">
        <f>F29+L29+R29+X29+AD29+AJ29+AP29+AV29+IF(BE29="",0,BE29)</f>
        <v/>
      </c>
      <c r="BD29" s="2" t="n">
        <v>106.98226</v>
      </c>
      <c r="BE29" s="2" t="n"/>
      <c r="BF29" s="2" t="n">
        <v>6432.314814814814</v>
      </c>
      <c r="BG29" s="2" t="n">
        <v>0</v>
      </c>
      <c r="BH29" s="2" t="n">
        <v>0</v>
      </c>
      <c r="BI29" s="2" t="n">
        <v>29778.37</v>
      </c>
      <c r="BJ29" s="2" t="n">
        <v>50.22840336134454</v>
      </c>
      <c r="BK29" s="2" t="n">
        <v>0</v>
      </c>
      <c r="BL29" s="2" t="n">
        <v>20</v>
      </c>
      <c r="BM29" s="2" t="n">
        <v>0</v>
      </c>
      <c r="BN29" s="2" t="n">
        <v>5</v>
      </c>
      <c r="BO29" s="2" t="n">
        <v>0</v>
      </c>
      <c r="BP29" s="2" t="n">
        <v>93.78314999999999</v>
      </c>
      <c r="BQ29" s="2" t="n">
        <v>0</v>
      </c>
      <c r="BR29" s="2" t="n">
        <v>29947.38155336134</v>
      </c>
      <c r="BS29" s="2" t="n">
        <v>761.1080672268907</v>
      </c>
      <c r="BT29" s="2" t="n">
        <v>201.6806722689076</v>
      </c>
      <c r="BU29" s="2" t="n">
        <v>6163.277428571429</v>
      </c>
      <c r="BV29" s="2" t="n">
        <v>7126.066168067226</v>
      </c>
      <c r="BW29" s="2" t="n">
        <v>37073.44772142857</v>
      </c>
      <c r="BX29" s="2" t="n">
        <v>5933.48</v>
      </c>
      <c r="BY29" s="2" t="n">
        <v>1013.42</v>
      </c>
      <c r="BZ29" s="2" t="n">
        <v>0</v>
      </c>
      <c r="CA29" s="2" t="n">
        <v>6946.900000000001</v>
      </c>
      <c r="CB29" s="2">
        <f>(BC29+IF(BD29="",0,BD29))-BW29</f>
        <v/>
      </c>
      <c r="CC29" t="inlineStr">
        <is>
          <t>ALERT: profit/loss &lt;= -5000</t>
        </is>
      </c>
    </row>
    <row r="30">
      <c r="A30" t="n">
        <v>1131</v>
      </c>
      <c r="B30" t="inlineStr">
        <is>
          <t>Dworcowa 1, 64-000 Kościan</t>
        </is>
      </c>
      <c r="C30" t="inlineStr">
        <is>
          <t>Kościan</t>
        </is>
      </c>
      <c r="D30" t="inlineStr">
        <is>
          <t>BB8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3612.12</v>
      </c>
      <c r="L30" s="2" t="n">
        <v>300.6755444444444</v>
      </c>
      <c r="M30" s="2" t="n">
        <v>3344.555555555555</v>
      </c>
      <c r="N30" s="2" t="n">
        <v>0</v>
      </c>
      <c r="O30" s="2" t="n">
        <v>3218.24</v>
      </c>
      <c r="P30" s="2" t="n">
        <v>393.88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2891.41</v>
      </c>
      <c r="AD30" s="2" t="n">
        <v>187.4062037037037</v>
      </c>
      <c r="AE30" s="2" t="n">
        <v>2677.231481481481</v>
      </c>
      <c r="AF30" s="2" t="n">
        <v>0</v>
      </c>
      <c r="AG30" s="2" t="n">
        <v>2635.31</v>
      </c>
      <c r="AH30" s="2" t="n">
        <v>256.1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1824.08</v>
      </c>
      <c r="AP30" s="2" t="n">
        <v>141.8728888888889</v>
      </c>
      <c r="AQ30" s="2" t="n">
        <v>1688.962962962963</v>
      </c>
      <c r="AR30" s="2" t="n">
        <v>0</v>
      </c>
      <c r="AS30" s="2" t="n">
        <v>1583.65</v>
      </c>
      <c r="AT30" s="2" t="n">
        <v>240.43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8327.610000000001</v>
      </c>
      <c r="BB30" s="2" t="n">
        <v>8327.610000000001</v>
      </c>
      <c r="BC30" s="2">
        <f>F30+L30+R30+X30+AD30+AJ30+AP30+AV30+IF(BE30="",0,BE30)</f>
        <v/>
      </c>
      <c r="BD30" s="2" t="n">
        <v>128.245194</v>
      </c>
      <c r="BE30" s="2" t="n"/>
      <c r="BF30" s="2" t="n">
        <v>7710.75</v>
      </c>
      <c r="BG30" s="2" t="n">
        <v>0</v>
      </c>
      <c r="BH30" s="2" t="n">
        <v>0</v>
      </c>
      <c r="BI30" s="2" t="n">
        <v>29778.37</v>
      </c>
      <c r="BJ30" s="2" t="n">
        <v>50.22840336134454</v>
      </c>
      <c r="BK30" s="2" t="n">
        <v>0</v>
      </c>
      <c r="BL30" s="2" t="n">
        <v>20</v>
      </c>
      <c r="BM30" s="2" t="n">
        <v>0</v>
      </c>
      <c r="BN30" s="2" t="n">
        <v>5</v>
      </c>
      <c r="BO30" s="2" t="n">
        <v>0</v>
      </c>
      <c r="BP30" s="2" t="n">
        <v>112.422735</v>
      </c>
      <c r="BQ30" s="2" t="n">
        <v>0</v>
      </c>
      <c r="BR30" s="2" t="n">
        <v>29966.02113836134</v>
      </c>
      <c r="BS30" s="2" t="n">
        <v>761.1080672268907</v>
      </c>
      <c r="BT30" s="2" t="n">
        <v>201.6806722689076</v>
      </c>
      <c r="BU30" s="2" t="n">
        <v>6163.277428571429</v>
      </c>
      <c r="BV30" s="2" t="n">
        <v>7126.066168067226</v>
      </c>
      <c r="BW30" s="2" t="n">
        <v>37092.08730642857</v>
      </c>
      <c r="BX30" s="2" t="n">
        <v>7437.199999999999</v>
      </c>
      <c r="BY30" s="2" t="n">
        <v>890.4100000000001</v>
      </c>
      <c r="BZ30" s="2" t="n">
        <v>0</v>
      </c>
      <c r="CA30" s="2" t="n">
        <v>8327.609999999999</v>
      </c>
      <c r="CB30" s="2">
        <f>(BC30+IF(BD30="",0,BD30))-BW30</f>
        <v/>
      </c>
      <c r="CC30" t="inlineStr">
        <is>
          <t>ALERT: profit/loss &lt;= -5000</t>
        </is>
      </c>
    </row>
    <row r="31">
      <c r="A31" t="n">
        <v>1132</v>
      </c>
      <c r="B31" t="inlineStr">
        <is>
          <t>Dworcowa 1, 63-900 Rawicz</t>
        </is>
      </c>
      <c r="C31" t="inlineStr">
        <is>
          <t>Rawicz</t>
        </is>
      </c>
      <c r="D31" t="inlineStr">
        <is>
          <t>BB8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2855.05</v>
      </c>
      <c r="L31" s="2" t="n">
        <v>237.6564768518519</v>
      </c>
      <c r="M31" s="2" t="n">
        <v>2643.564814814815</v>
      </c>
      <c r="N31" s="2" t="n">
        <v>0</v>
      </c>
      <c r="O31" s="2" t="n">
        <v>2702.09</v>
      </c>
      <c r="P31" s="2" t="n">
        <v>152.96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212.5</v>
      </c>
      <c r="AD31" s="2" t="n">
        <v>13.77314814814815</v>
      </c>
      <c r="AE31" s="2" t="n">
        <v>196.7592592592592</v>
      </c>
      <c r="AF31" s="2" t="n">
        <v>0</v>
      </c>
      <c r="AG31" s="2" t="n">
        <v>212.5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1527.01</v>
      </c>
      <c r="AP31" s="2" t="n">
        <v>118.7674444444444</v>
      </c>
      <c r="AQ31" s="2" t="n">
        <v>1413.898148148148</v>
      </c>
      <c r="AR31" s="2" t="n">
        <v>0</v>
      </c>
      <c r="AS31" s="2" t="n">
        <v>1369.33</v>
      </c>
      <c r="AT31" s="2" t="n">
        <v>157.68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4594.56</v>
      </c>
      <c r="BB31" s="2" t="n">
        <v>4594.56</v>
      </c>
      <c r="BC31" s="2">
        <f>F31+L31+R31+X31+AD31+AJ31+AP31+AV31+IF(BE31="",0,BE31)</f>
        <v/>
      </c>
      <c r="BD31" s="2" t="n">
        <v>70.756224</v>
      </c>
      <c r="BE31" s="2" t="n"/>
      <c r="BF31" s="2" t="n">
        <v>4254.222222222222</v>
      </c>
      <c r="BG31" s="2" t="n">
        <v>0</v>
      </c>
      <c r="BH31" s="2" t="n">
        <v>0</v>
      </c>
      <c r="BI31" s="2" t="n">
        <v>29778.37</v>
      </c>
      <c r="BJ31" s="2" t="n">
        <v>50.22840336134454</v>
      </c>
      <c r="BK31" s="2" t="n">
        <v>0</v>
      </c>
      <c r="BL31" s="2" t="n">
        <v>20</v>
      </c>
      <c r="BM31" s="2" t="n">
        <v>0</v>
      </c>
      <c r="BN31" s="2" t="n">
        <v>5</v>
      </c>
      <c r="BO31" s="2" t="n">
        <v>0</v>
      </c>
      <c r="BP31" s="2" t="n">
        <v>62.02656</v>
      </c>
      <c r="BQ31" s="2" t="n">
        <v>0</v>
      </c>
      <c r="BR31" s="2" t="n">
        <v>29915.62496336134</v>
      </c>
      <c r="BS31" s="2" t="n">
        <v>761.1080672268907</v>
      </c>
      <c r="BT31" s="2" t="n">
        <v>201.6806722689076</v>
      </c>
      <c r="BU31" s="2" t="n">
        <v>6163.277428571429</v>
      </c>
      <c r="BV31" s="2" t="n">
        <v>7126.066168067226</v>
      </c>
      <c r="BW31" s="2" t="n">
        <v>37041.69113142857</v>
      </c>
      <c r="BX31" s="2" t="n">
        <v>4283.92</v>
      </c>
      <c r="BY31" s="2" t="n">
        <v>310.64</v>
      </c>
      <c r="BZ31" s="2" t="n">
        <v>0</v>
      </c>
      <c r="CA31" s="2" t="n">
        <v>4594.56</v>
      </c>
      <c r="CB31" s="2">
        <f>(BC31+IF(BD31="",0,BD31))-BW31</f>
        <v/>
      </c>
      <c r="CC31" t="inlineStr">
        <is>
          <t>ALERT: profit/loss &lt;= -5000</t>
        </is>
      </c>
    </row>
    <row r="32">
      <c r="A32" t="n">
        <v>1133</v>
      </c>
      <c r="B32" t="inlineStr">
        <is>
          <t>Kolejowa 1, 62-069 Palędzie</t>
        </is>
      </c>
      <c r="C32" t="inlineStr">
        <is>
          <t>Palędzie</t>
        </is>
      </c>
      <c r="D32" t="inlineStr">
        <is>
          <t>BB8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5876.06</v>
      </c>
      <c r="AD32" s="2" t="n">
        <v>380.8557407407408</v>
      </c>
      <c r="AE32" s="2" t="n">
        <v>5440.796296296297</v>
      </c>
      <c r="AF32" s="2" t="n">
        <v>0</v>
      </c>
      <c r="AG32" s="2" t="n">
        <v>5135.56</v>
      </c>
      <c r="AH32" s="2" t="n">
        <v>740.5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1231.69</v>
      </c>
      <c r="AP32" s="2" t="n">
        <v>95.79811111111111</v>
      </c>
      <c r="AQ32" s="2" t="n">
        <v>1140.453703703704</v>
      </c>
      <c r="AR32" s="2" t="n">
        <v>0</v>
      </c>
      <c r="AS32" s="2" t="n">
        <v>1158.53</v>
      </c>
      <c r="AT32" s="2" t="n">
        <v>73.16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7107.75</v>
      </c>
      <c r="BB32" s="2" t="n">
        <v>7107.75</v>
      </c>
      <c r="BC32" s="2">
        <f>F32+L32+R32+X32+AD32+AJ32+AP32+AV32+IF(BE32="",0,BE32)</f>
        <v/>
      </c>
      <c r="BD32" s="2" t="n">
        <v>109.45935</v>
      </c>
      <c r="BE32" s="2" t="n"/>
      <c r="BF32" s="2" t="n">
        <v>6581.25</v>
      </c>
      <c r="BG32" s="2" t="n">
        <v>0</v>
      </c>
      <c r="BH32" s="2" t="n">
        <v>0</v>
      </c>
      <c r="BI32" s="2" t="n">
        <v>29778.37</v>
      </c>
      <c r="BJ32" s="2" t="n">
        <v>50.22840336134454</v>
      </c>
      <c r="BK32" s="2" t="n">
        <v>0</v>
      </c>
      <c r="BL32" s="2" t="n">
        <v>20</v>
      </c>
      <c r="BM32" s="2" t="n">
        <v>0</v>
      </c>
      <c r="BN32" s="2" t="n">
        <v>5</v>
      </c>
      <c r="BO32" s="2" t="n">
        <v>0</v>
      </c>
      <c r="BP32" s="2" t="n">
        <v>95.95462500000001</v>
      </c>
      <c r="BQ32" s="2" t="n">
        <v>0</v>
      </c>
      <c r="BR32" s="2" t="n">
        <v>29949.55302836134</v>
      </c>
      <c r="BS32" s="2" t="n">
        <v>761.1080672268907</v>
      </c>
      <c r="BT32" s="2" t="n">
        <v>201.6806722689076</v>
      </c>
      <c r="BU32" s="2" t="n">
        <v>6163.277428571429</v>
      </c>
      <c r="BV32" s="2" t="n">
        <v>7126.066168067226</v>
      </c>
      <c r="BW32" s="2" t="n">
        <v>37075.61919642857</v>
      </c>
      <c r="BX32" s="2" t="n">
        <v>6294.09</v>
      </c>
      <c r="BY32" s="2" t="n">
        <v>813.66</v>
      </c>
      <c r="BZ32" s="2" t="n">
        <v>0</v>
      </c>
      <c r="CA32" s="2" t="n">
        <v>7107.75</v>
      </c>
      <c r="CB32" s="2">
        <f>(BC32+IF(BD32="",0,BD32))-BW32</f>
        <v/>
      </c>
      <c r="CC32" t="inlineStr">
        <is>
          <t>ALERT: profit/loss &lt;= -5000</t>
        </is>
      </c>
    </row>
    <row r="33">
      <c r="A33" t="n">
        <v>1134</v>
      </c>
      <c r="B33" t="inlineStr">
        <is>
          <t>Dworcowa 1, 64-800 Chodzież</t>
        </is>
      </c>
      <c r="C33" t="inlineStr">
        <is>
          <t>Chodzież</t>
        </is>
      </c>
      <c r="D33" t="inlineStr">
        <is>
          <t>BB8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1523.49</v>
      </c>
      <c r="L33" s="2" t="n">
        <v>126.8164361111111</v>
      </c>
      <c r="M33" s="2" t="n">
        <v>1410.638888888889</v>
      </c>
      <c r="N33" s="2" t="n">
        <v>0</v>
      </c>
      <c r="O33" s="2" t="n">
        <v>1456.56</v>
      </c>
      <c r="P33" s="2" t="n">
        <v>66.93000000000001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3052.35</v>
      </c>
      <c r="AD33" s="2" t="n">
        <v>197.8375</v>
      </c>
      <c r="AE33" s="2" t="n">
        <v>2826.25</v>
      </c>
      <c r="AF33" s="2" t="n">
        <v>0</v>
      </c>
      <c r="AG33" s="2" t="n">
        <v>2854.58</v>
      </c>
      <c r="AH33" s="2" t="n">
        <v>197.77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2078.92</v>
      </c>
      <c r="AP33" s="2" t="n">
        <v>161.6937777777778</v>
      </c>
      <c r="AQ33" s="2" t="n">
        <v>1924.925925925926</v>
      </c>
      <c r="AR33" s="2" t="n">
        <v>0</v>
      </c>
      <c r="AS33" s="2" t="n">
        <v>1848.32</v>
      </c>
      <c r="AT33" s="2" t="n">
        <v>230.6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6654.76</v>
      </c>
      <c r="BB33" s="2" t="n">
        <v>6654.76</v>
      </c>
      <c r="BC33" s="2">
        <f>F33+L33+R33+X33+AD33+AJ33+AP33+AV33+IF(BE33="",0,BE33)</f>
        <v/>
      </c>
      <c r="BD33" s="2" t="n">
        <v>102.483304</v>
      </c>
      <c r="BE33" s="2" t="n"/>
      <c r="BF33" s="2" t="n">
        <v>6161.814814814815</v>
      </c>
      <c r="BG33" s="2" t="n">
        <v>0</v>
      </c>
      <c r="BH33" s="2" t="n">
        <v>0</v>
      </c>
      <c r="BI33" s="2" t="n">
        <v>29778.37</v>
      </c>
      <c r="BJ33" s="2" t="n">
        <v>50.22840336134454</v>
      </c>
      <c r="BK33" s="2" t="n">
        <v>0</v>
      </c>
      <c r="BL33" s="2" t="n">
        <v>20</v>
      </c>
      <c r="BM33" s="2" t="n">
        <v>0</v>
      </c>
      <c r="BN33" s="2" t="n">
        <v>5</v>
      </c>
      <c r="BO33" s="2" t="n">
        <v>0</v>
      </c>
      <c r="BP33" s="2" t="n">
        <v>89.83926</v>
      </c>
      <c r="BQ33" s="2" t="n">
        <v>0</v>
      </c>
      <c r="BR33" s="2" t="n">
        <v>29943.43766336134</v>
      </c>
      <c r="BS33" s="2" t="n">
        <v>761.1080672268907</v>
      </c>
      <c r="BT33" s="2" t="n">
        <v>201.6806722689076</v>
      </c>
      <c r="BU33" s="2" t="n">
        <v>6163.277428571429</v>
      </c>
      <c r="BV33" s="2" t="n">
        <v>7126.066168067226</v>
      </c>
      <c r="BW33" s="2" t="n">
        <v>37069.50383142857</v>
      </c>
      <c r="BX33" s="2" t="n">
        <v>6159.459999999999</v>
      </c>
      <c r="BY33" s="2" t="n">
        <v>495.3000000000001</v>
      </c>
      <c r="BZ33" s="2" t="n">
        <v>0</v>
      </c>
      <c r="CA33" s="2" t="n">
        <v>6654.759999999999</v>
      </c>
      <c r="CB33" s="2">
        <f>(BC33+IF(BD33="",0,BD33))-BW33</f>
        <v/>
      </c>
      <c r="CC33" t="inlineStr">
        <is>
          <t>ALERT: profit/loss &lt;= -5000</t>
        </is>
      </c>
    </row>
    <row r="34">
      <c r="A34" t="n">
        <v>1135</v>
      </c>
      <c r="B34" t="inlineStr">
        <is>
          <t>Kielce</t>
        </is>
      </c>
      <c r="C34" t="inlineStr">
        <is>
          <t>Kielce Główne</t>
        </is>
      </c>
      <c r="D34" t="inlineStr">
        <is>
          <t>BB8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4595.53</v>
      </c>
      <c r="L34" s="2" t="n">
        <v>382.5353212962963</v>
      </c>
      <c r="M34" s="2" t="n">
        <v>4255.12037037037</v>
      </c>
      <c r="N34" s="2" t="n">
        <v>0</v>
      </c>
      <c r="O34" s="2" t="n">
        <v>4091.58</v>
      </c>
      <c r="P34" s="2" t="n">
        <v>503.95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5922.96</v>
      </c>
      <c r="AP34" s="2" t="n">
        <v>460.6746666666667</v>
      </c>
      <c r="AQ34" s="2" t="n">
        <v>5484.222222222222</v>
      </c>
      <c r="AR34" s="2" t="n">
        <v>0</v>
      </c>
      <c r="AS34" s="2" t="n">
        <v>5484.16</v>
      </c>
      <c r="AT34" s="2" t="n">
        <v>438.8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10518.49</v>
      </c>
      <c r="BB34" s="2" t="n">
        <v>10518.49</v>
      </c>
      <c r="BC34" s="2">
        <f>F34+L34+R34+X34+AD34+AJ34+AP34+AV34+IF(BE34="",0,BE34)</f>
        <v/>
      </c>
      <c r="BD34" s="2" t="n">
        <v>161.984746</v>
      </c>
      <c r="BE34" s="2" t="n"/>
      <c r="BF34" s="2" t="n">
        <v>9739.342592592591</v>
      </c>
      <c r="BG34" s="2" t="n">
        <v>0</v>
      </c>
      <c r="BH34" s="2" t="n">
        <v>0</v>
      </c>
      <c r="BI34" s="2" t="n">
        <v>29778.37</v>
      </c>
      <c r="BJ34" s="2" t="n">
        <v>50.22840336134454</v>
      </c>
      <c r="BK34" s="2" t="n">
        <v>0</v>
      </c>
      <c r="BL34" s="2" t="n">
        <v>20</v>
      </c>
      <c r="BM34" s="2" t="n">
        <v>0</v>
      </c>
      <c r="BN34" s="2" t="n">
        <v>5</v>
      </c>
      <c r="BO34" s="2" t="n">
        <v>0</v>
      </c>
      <c r="BP34" s="2" t="n">
        <v>141.999615</v>
      </c>
      <c r="BQ34" s="2" t="n">
        <v>0</v>
      </c>
      <c r="BR34" s="2" t="n">
        <v>29995.59801836134</v>
      </c>
      <c r="BS34" s="2" t="n">
        <v>761.1080672268907</v>
      </c>
      <c r="BT34" s="2" t="n">
        <v>201.6806722689076</v>
      </c>
      <c r="BU34" s="2" t="n">
        <v>6163.277428571429</v>
      </c>
      <c r="BV34" s="2" t="n">
        <v>7126.066168067226</v>
      </c>
      <c r="BW34" s="2" t="n">
        <v>37121.66418642857</v>
      </c>
      <c r="BX34" s="2" t="n">
        <v>9575.74</v>
      </c>
      <c r="BY34" s="2" t="n">
        <v>942.75</v>
      </c>
      <c r="BZ34" s="2" t="n">
        <v>0</v>
      </c>
      <c r="CA34" s="2" t="n">
        <v>10518.49</v>
      </c>
      <c r="CB34" s="2">
        <f>(BC34+IF(BD34="",0,BD34))-BW34</f>
        <v/>
      </c>
      <c r="CC34" t="inlineStr">
        <is>
          <t>ALERT: profit/loss &lt;= -5000</t>
        </is>
      </c>
    </row>
    <row r="35">
      <c r="A35" t="n">
        <v>1136</v>
      </c>
      <c r="B35" t="inlineStr">
        <is>
          <t>Bochnia</t>
        </is>
      </c>
      <c r="C35" t="inlineStr">
        <is>
          <t>Bochnia</t>
        </is>
      </c>
      <c r="D35" t="inlineStr">
        <is>
          <t>BB8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3142.2</v>
      </c>
      <c r="L35" s="2" t="n">
        <v>261.5590555555556</v>
      </c>
      <c r="M35" s="2" t="n">
        <v>2909.444444444444</v>
      </c>
      <c r="N35" s="2" t="n">
        <v>0</v>
      </c>
      <c r="O35" s="2" t="n">
        <v>3076.65</v>
      </c>
      <c r="P35" s="2" t="n">
        <v>65.55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5172.04</v>
      </c>
      <c r="X35" s="2" t="n">
        <v>250</v>
      </c>
      <c r="Y35" s="2" t="n">
        <v>4788.925925925925</v>
      </c>
      <c r="Z35" s="2" t="n">
        <v>0</v>
      </c>
      <c r="AA35" s="2" t="n">
        <v>4963.87</v>
      </c>
      <c r="AB35" s="2" t="n">
        <v>208.17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2683.95</v>
      </c>
      <c r="AP35" s="2" t="n">
        <v>208.7516666666667</v>
      </c>
      <c r="AQ35" s="2" t="n">
        <v>2485.138888888889</v>
      </c>
      <c r="AR35" s="2" t="n">
        <v>0</v>
      </c>
      <c r="AS35" s="2" t="n">
        <v>2588.42</v>
      </c>
      <c r="AT35" s="2" t="n">
        <v>95.53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10998.19</v>
      </c>
      <c r="BB35" s="2" t="n">
        <v>10998.19</v>
      </c>
      <c r="BC35" s="2">
        <f>F35+L35+R35+X35+AD35+AJ35+AP35+AV35+IF(BE35="",0,BE35)</f>
        <v/>
      </c>
      <c r="BD35" s="2" t="n">
        <v>159.54525</v>
      </c>
      <c r="BE35" s="2" t="n"/>
      <c r="BF35" s="2" t="n">
        <v>10183.50925925926</v>
      </c>
      <c r="BG35" s="2" t="n">
        <v>0</v>
      </c>
      <c r="BH35" s="2" t="n">
        <v>0</v>
      </c>
      <c r="BI35" s="2" t="n">
        <v>29778.37</v>
      </c>
      <c r="BJ35" s="2" t="n">
        <v>50.22840336134454</v>
      </c>
      <c r="BK35" s="2" t="n">
        <v>0</v>
      </c>
      <c r="BL35" s="2" t="n">
        <v>20</v>
      </c>
      <c r="BM35" s="2" t="n">
        <v>0</v>
      </c>
      <c r="BN35" s="2" t="n">
        <v>5</v>
      </c>
      <c r="BO35" s="2" t="n">
        <v>0</v>
      </c>
      <c r="BP35" s="2" t="n">
        <v>148.475565</v>
      </c>
      <c r="BQ35" s="2" t="n">
        <v>0</v>
      </c>
      <c r="BR35" s="2" t="n">
        <v>30002.07396836134</v>
      </c>
      <c r="BS35" s="2" t="n">
        <v>761.1080672268907</v>
      </c>
      <c r="BT35" s="2" t="n">
        <v>201.6806722689076</v>
      </c>
      <c r="BU35" s="2" t="n">
        <v>6163.277428571429</v>
      </c>
      <c r="BV35" s="2" t="n">
        <v>7126.066168067226</v>
      </c>
      <c r="BW35" s="2" t="n">
        <v>37128.14013642857</v>
      </c>
      <c r="BX35" s="2" t="n">
        <v>10628.94</v>
      </c>
      <c r="BY35" s="2" t="n">
        <v>369.25</v>
      </c>
      <c r="BZ35" s="2" t="n">
        <v>0</v>
      </c>
      <c r="CA35" s="2" t="n">
        <v>10998.19</v>
      </c>
      <c r="CB35" s="2">
        <f>(BC35+IF(BD35="",0,BD35))-BW35</f>
        <v/>
      </c>
      <c r="CC35" t="inlineStr">
        <is>
          <t>ALERT: profit/loss &lt;= -5000</t>
        </is>
      </c>
    </row>
    <row r="36">
      <c r="A36" t="n">
        <v>1137</v>
      </c>
      <c r="B36" t="inlineStr">
        <is>
          <t>Poznan Politechnika</t>
        </is>
      </c>
      <c r="C36" t="inlineStr">
        <is>
          <t>Politechnika Poznańska</t>
        </is>
      </c>
      <c r="D36" t="inlineStr">
        <is>
          <t>BB8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0.88</v>
      </c>
      <c r="L36" s="2" t="n">
        <v>0.07325185185185186</v>
      </c>
      <c r="M36" s="2" t="n">
        <v>0.8148148148148148</v>
      </c>
      <c r="N36" s="2" t="n">
        <v>0</v>
      </c>
      <c r="O36" s="2" t="n">
        <v>0.88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77.41</v>
      </c>
      <c r="AD36" s="2" t="n">
        <v>5.017314814814815</v>
      </c>
      <c r="AE36" s="2" t="n">
        <v>71.67592592592592</v>
      </c>
      <c r="AF36" s="2" t="n">
        <v>0</v>
      </c>
      <c r="AG36" s="2" t="n">
        <v>62.71</v>
      </c>
      <c r="AH36" s="2" t="n">
        <v>14.7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11.71</v>
      </c>
      <c r="AP36" s="2" t="n">
        <v>0.9107777777777779</v>
      </c>
      <c r="AQ36" s="2" t="n">
        <v>10.84259259259259</v>
      </c>
      <c r="AR36" s="2" t="n">
        <v>0</v>
      </c>
      <c r="AS36" s="2" t="n">
        <v>11.71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90</v>
      </c>
      <c r="BB36" s="2" t="n">
        <v>90</v>
      </c>
      <c r="BC36" s="2">
        <f>F36+L36+R36+X36+AD36+AJ36+AP36+AV36+IF(BE36="",0,BE36)</f>
        <v/>
      </c>
      <c r="BD36" s="2" t="n">
        <v>1.386</v>
      </c>
      <c r="BE36" s="2" t="n"/>
      <c r="BF36" s="2" t="n">
        <v>83.33333333333333</v>
      </c>
      <c r="BG36" s="2" t="n">
        <v>0</v>
      </c>
      <c r="BH36" s="2" t="n">
        <v>0</v>
      </c>
      <c r="BI36" s="2" t="n">
        <v>29778.37</v>
      </c>
      <c r="BJ36" s="2" t="n">
        <v>50.22840336134454</v>
      </c>
      <c r="BK36" s="2" t="n">
        <v>0</v>
      </c>
      <c r="BL36" s="2" t="n">
        <v>20</v>
      </c>
      <c r="BM36" s="2" t="n">
        <v>0</v>
      </c>
      <c r="BN36" s="2" t="n">
        <v>5</v>
      </c>
      <c r="BO36" s="2" t="n">
        <v>0</v>
      </c>
      <c r="BP36" s="2" t="n">
        <v>1.215</v>
      </c>
      <c r="BQ36" s="2" t="n">
        <v>0</v>
      </c>
      <c r="BR36" s="2" t="n">
        <v>29854.81340336134</v>
      </c>
      <c r="BS36" s="2" t="n">
        <v>761.1080672268907</v>
      </c>
      <c r="BT36" s="2" t="n">
        <v>201.6806722689076</v>
      </c>
      <c r="BU36" s="2" t="n">
        <v>6163.277428571429</v>
      </c>
      <c r="BV36" s="2" t="n">
        <v>7126.066168067226</v>
      </c>
      <c r="BW36" s="2" t="n">
        <v>36980.87957142857</v>
      </c>
      <c r="BX36" s="2" t="n">
        <v>75.30000000000001</v>
      </c>
      <c r="BY36" s="2" t="n">
        <v>14.7</v>
      </c>
      <c r="BZ36" s="2" t="n">
        <v>0</v>
      </c>
      <c r="CA36" s="2" t="n">
        <v>90.00000000000001</v>
      </c>
      <c r="CB36" s="2">
        <f>(BC36+IF(BD36="",0,BD36))-BW36</f>
        <v/>
      </c>
      <c r="CC36" t="inlineStr">
        <is>
          <t>ALERT: profit/loss &lt;= -5000</t>
        </is>
      </c>
    </row>
    <row r="37">
      <c r="A37" t="n">
        <v>1138</v>
      </c>
      <c r="B37" t="inlineStr">
        <is>
          <t>Rzeszow</t>
        </is>
      </c>
      <c r="C37" t="inlineStr">
        <is>
          <t>Rzeszów</t>
        </is>
      </c>
      <c r="D37" t="inlineStr">
        <is>
          <t>BB8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8134.95</v>
      </c>
      <c r="L37" s="2" t="n">
        <v>677.1592638888889</v>
      </c>
      <c r="M37" s="2" t="n">
        <v>7532.36111111111</v>
      </c>
      <c r="N37" s="2" t="n">
        <v>0</v>
      </c>
      <c r="O37" s="2" t="n">
        <v>7892.51</v>
      </c>
      <c r="P37" s="2" t="n">
        <v>242.44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11845.72</v>
      </c>
      <c r="AP37" s="2" t="n">
        <v>921.3337777777779</v>
      </c>
      <c r="AQ37" s="2" t="n">
        <v>10968.25925925926</v>
      </c>
      <c r="AR37" s="2" t="n">
        <v>0</v>
      </c>
      <c r="AS37" s="2" t="n">
        <v>11560.2</v>
      </c>
      <c r="AT37" s="2" t="n">
        <v>285.52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19980.67</v>
      </c>
      <c r="BB37" s="2" t="n">
        <v>19980.67</v>
      </c>
      <c r="BC37" s="2">
        <f>F37+L37+R37+X37+AD37+AJ37+AP37+AV37+IF(BE37="",0,BE37)</f>
        <v/>
      </c>
      <c r="BD37" s="2" t="n">
        <v>307.702318</v>
      </c>
      <c r="BE37" s="2" t="n"/>
      <c r="BF37" s="2" t="n">
        <v>18500.62037037037</v>
      </c>
      <c r="BG37" s="2" t="n">
        <v>0</v>
      </c>
      <c r="BH37" s="2" t="n">
        <v>0</v>
      </c>
      <c r="BI37" s="2" t="n">
        <v>29778.37</v>
      </c>
      <c r="BJ37" s="2" t="n">
        <v>50.22840336134454</v>
      </c>
      <c r="BK37" s="2" t="n">
        <v>0</v>
      </c>
      <c r="BL37" s="2" t="n">
        <v>20</v>
      </c>
      <c r="BM37" s="2" t="n">
        <v>0</v>
      </c>
      <c r="BN37" s="2" t="n">
        <v>5</v>
      </c>
      <c r="BO37" s="2" t="n">
        <v>0</v>
      </c>
      <c r="BP37" s="2" t="n">
        <v>269.739045</v>
      </c>
      <c r="BQ37" s="2" t="n">
        <v>0</v>
      </c>
      <c r="BR37" s="2" t="n">
        <v>30123.33744836134</v>
      </c>
      <c r="BS37" s="2" t="n">
        <v>761.1080672268907</v>
      </c>
      <c r="BT37" s="2" t="n">
        <v>201.6806722689076</v>
      </c>
      <c r="BU37" s="2" t="n">
        <v>6163.277428571429</v>
      </c>
      <c r="BV37" s="2" t="n">
        <v>7126.066168067226</v>
      </c>
      <c r="BW37" s="2" t="n">
        <v>37249.40361642856</v>
      </c>
      <c r="BX37" s="2" t="n">
        <v>19452.71</v>
      </c>
      <c r="BY37" s="2" t="n">
        <v>527.96</v>
      </c>
      <c r="BZ37" s="2" t="n">
        <v>0</v>
      </c>
      <c r="CA37" s="2" t="n">
        <v>19980.67</v>
      </c>
      <c r="CB37" s="2">
        <f>(BC37+IF(BD37="",0,BD37))-BW37</f>
        <v/>
      </c>
      <c r="CC37" t="inlineStr">
        <is>
          <t>ALERT: profit/loss &lt;= -5000</t>
        </is>
      </c>
    </row>
    <row r="38">
      <c r="A38" t="n">
        <v>1203</v>
      </c>
      <c r="B38" t="inlineStr">
        <is>
          <t>Piłsudskiego 105, 50-085 Wrocław</t>
        </is>
      </c>
      <c r="C38" t="inlineStr">
        <is>
          <t>Wrocław Główny</t>
        </is>
      </c>
      <c r="D38" t="inlineStr">
        <is>
          <t>FAA2000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16655.19</v>
      </c>
      <c r="L38" s="2" t="n">
        <v>1386.390352777778</v>
      </c>
      <c r="M38" s="2" t="n">
        <v>15421.47222222222</v>
      </c>
      <c r="N38" s="2" t="n">
        <v>3637.3</v>
      </c>
      <c r="O38" s="2" t="n">
        <v>11807.03</v>
      </c>
      <c r="P38" s="2" t="n">
        <v>1210.86</v>
      </c>
      <c r="Q38" s="2" t="n">
        <v>24135.4</v>
      </c>
      <c r="R38" s="2" t="n">
        <v>1600</v>
      </c>
      <c r="S38" s="2" t="n">
        <v>22347.59259259259</v>
      </c>
      <c r="T38" s="2" t="n">
        <v>5591.43</v>
      </c>
      <c r="U38" s="2" t="n">
        <v>17510.73</v>
      </c>
      <c r="V38" s="2" t="n">
        <v>1033.24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10681.13</v>
      </c>
      <c r="AP38" s="2" t="n">
        <v>830.7545555555555</v>
      </c>
      <c r="AQ38" s="2" t="n">
        <v>9889.935185185184</v>
      </c>
      <c r="AR38" s="2" t="n">
        <v>1991.42</v>
      </c>
      <c r="AS38" s="2" t="n">
        <v>8249.4</v>
      </c>
      <c r="AT38" s="2" t="n">
        <v>440.31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51471.72</v>
      </c>
      <c r="BB38" s="2" t="n">
        <v>40251.57</v>
      </c>
      <c r="BC38" s="2">
        <f>F38+L38+R38+X38+AD38+AJ38+AP38+AV38+IF(BE38="",0,BE38)</f>
        <v/>
      </c>
      <c r="BD38" s="2" t="n">
        <v>619.874178</v>
      </c>
      <c r="BE38" s="2" t="n"/>
      <c r="BF38" s="2" t="n">
        <v>47659</v>
      </c>
      <c r="BG38" s="2" t="n">
        <v>0</v>
      </c>
      <c r="BH38" s="2" t="n">
        <v>0</v>
      </c>
      <c r="BI38" s="2" t="n">
        <v>29778.37</v>
      </c>
      <c r="BJ38" s="2" t="n">
        <v>50.22840336134454</v>
      </c>
      <c r="BK38" s="2" t="n">
        <v>0</v>
      </c>
      <c r="BL38" s="2" t="n">
        <v>20</v>
      </c>
      <c r="BM38" s="2" t="n">
        <v>0</v>
      </c>
      <c r="BN38" s="2" t="n">
        <v>5</v>
      </c>
      <c r="BO38" s="2" t="n">
        <v>0</v>
      </c>
      <c r="BP38" s="2" t="n">
        <v>543.396195</v>
      </c>
      <c r="BQ38" s="2" t="n">
        <v>0</v>
      </c>
      <c r="BR38" s="2" t="n">
        <v>30396.99459836134</v>
      </c>
      <c r="BS38" s="2" t="n">
        <v>761.1080672268907</v>
      </c>
      <c r="BT38" s="2" t="n">
        <v>201.6806722689076</v>
      </c>
      <c r="BU38" s="2" t="n">
        <v>6163.277428571429</v>
      </c>
      <c r="BV38" s="2" t="n">
        <v>7126.066168067226</v>
      </c>
      <c r="BW38" s="2" t="n">
        <v>37523.06076642857</v>
      </c>
      <c r="BX38" s="2" t="n">
        <v>37567.16</v>
      </c>
      <c r="BY38" s="2" t="n">
        <v>2684.41</v>
      </c>
      <c r="BZ38" s="2" t="n">
        <v>11220.15</v>
      </c>
      <c r="CA38" s="2" t="n">
        <v>40251.57000000001</v>
      </c>
      <c r="CB38" s="2">
        <f>(BC38+IF(BD38="",0,BD38))-BW38</f>
        <v/>
      </c>
      <c r="CC38" t="inlineStr">
        <is>
          <t>ALERT: profit/loss &lt;= -5000</t>
        </is>
      </c>
    </row>
    <row r="39">
      <c r="A39" t="n">
        <v>1204</v>
      </c>
      <c r="B39" t="inlineStr">
        <is>
          <t>Piłsudskiego 105, 50-085 Wrocław</t>
        </is>
      </c>
      <c r="C39" t="inlineStr">
        <is>
          <t>Wrocław Główny</t>
        </is>
      </c>
      <c r="D39" t="inlineStr">
        <is>
          <t>FAA2000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6165.12</v>
      </c>
      <c r="L39" s="2" t="n">
        <v>513.1891555555555</v>
      </c>
      <c r="M39" s="2" t="n">
        <v>5708.444444444444</v>
      </c>
      <c r="N39" s="2" t="n">
        <v>962.95</v>
      </c>
      <c r="O39" s="2" t="n">
        <v>4697.95</v>
      </c>
      <c r="P39" s="2" t="n">
        <v>504.22</v>
      </c>
      <c r="Q39" s="2" t="n">
        <v>17753.83</v>
      </c>
      <c r="R39" s="2" t="n">
        <v>1600</v>
      </c>
      <c r="S39" s="2" t="n">
        <v>16438.73148148148</v>
      </c>
      <c r="T39" s="2" t="n">
        <v>2815.2</v>
      </c>
      <c r="U39" s="2" t="n">
        <v>14281.64</v>
      </c>
      <c r="V39" s="2" t="n">
        <v>656.99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6105.469999999999</v>
      </c>
      <c r="AP39" s="2" t="n">
        <v>474.8698888888888</v>
      </c>
      <c r="AQ39" s="2" t="n">
        <v>5653.212962962962</v>
      </c>
      <c r="AR39" s="2" t="n">
        <v>763.98</v>
      </c>
      <c r="AS39" s="2" t="n">
        <v>5192.41</v>
      </c>
      <c r="AT39" s="2" t="n">
        <v>149.08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30024.42</v>
      </c>
      <c r="BB39" s="2" t="n">
        <v>25482.29</v>
      </c>
      <c r="BC39" s="2">
        <f>F39+L39+R39+X39+AD39+AJ39+AP39+AV39+IF(BE39="",0,BE39)</f>
        <v/>
      </c>
      <c r="BD39" s="2" t="n">
        <v>392.427266</v>
      </c>
      <c r="BE39" s="2" t="n"/>
      <c r="BF39" s="2" t="n">
        <v>27800.38888888889</v>
      </c>
      <c r="BG39" s="2" t="n">
        <v>0</v>
      </c>
      <c r="BH39" s="2" t="n">
        <v>0</v>
      </c>
      <c r="BI39" s="2" t="n">
        <v>29778.37</v>
      </c>
      <c r="BJ39" s="2" t="n">
        <v>50.22840336134454</v>
      </c>
      <c r="BK39" s="2" t="n">
        <v>0</v>
      </c>
      <c r="BL39" s="2" t="n">
        <v>20</v>
      </c>
      <c r="BM39" s="2" t="n">
        <v>0</v>
      </c>
      <c r="BN39" s="2" t="n">
        <v>5</v>
      </c>
      <c r="BO39" s="2" t="n">
        <v>0</v>
      </c>
      <c r="BP39" s="2" t="n">
        <v>344.010915</v>
      </c>
      <c r="BQ39" s="2" t="n">
        <v>0</v>
      </c>
      <c r="BR39" s="2" t="n">
        <v>30197.60931836134</v>
      </c>
      <c r="BS39" s="2" t="n">
        <v>761.1080672268907</v>
      </c>
      <c r="BT39" s="2" t="n">
        <v>201.6806722689076</v>
      </c>
      <c r="BU39" s="2" t="n">
        <v>6163.277428571429</v>
      </c>
      <c r="BV39" s="2" t="n">
        <v>7126.066168067226</v>
      </c>
      <c r="BW39" s="2" t="n">
        <v>37323.67548642857</v>
      </c>
      <c r="BX39" s="2" t="n">
        <v>24172</v>
      </c>
      <c r="BY39" s="2" t="n">
        <v>1310.29</v>
      </c>
      <c r="BZ39" s="2" t="n">
        <v>4542.129999999999</v>
      </c>
      <c r="CA39" s="2" t="n">
        <v>25482.29</v>
      </c>
      <c r="CB39" s="2">
        <f>(BC39+IF(BD39="",0,BD39))-BW39</f>
        <v/>
      </c>
      <c r="CC39" t="inlineStr">
        <is>
          <t>ALERT: profit/loss &lt;= -5000</t>
        </is>
      </c>
    </row>
    <row r="40">
      <c r="A40" t="n">
        <v>1205</v>
      </c>
      <c r="B40" t="inlineStr">
        <is>
          <t>Ciechocinek</t>
        </is>
      </c>
      <c r="C40" t="inlineStr">
        <is>
          <t>Ciechocinek</t>
        </is>
      </c>
      <c r="D40" t="inlineStr">
        <is>
          <t>ST|40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459.49</v>
      </c>
      <c r="L40" s="2" t="n">
        <v>38.24828796296296</v>
      </c>
      <c r="M40" s="2" t="n">
        <v>425.4537037037037</v>
      </c>
      <c r="N40" s="2" t="n">
        <v>66.39</v>
      </c>
      <c r="O40" s="2" t="n">
        <v>393.1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2501.37</v>
      </c>
      <c r="AP40" s="2" t="n">
        <v>4500</v>
      </c>
      <c r="AQ40" s="2" t="n">
        <v>2316.083333333333</v>
      </c>
      <c r="AR40" s="2" t="n">
        <v>1173.72</v>
      </c>
      <c r="AS40" s="2" t="n">
        <v>1216.35</v>
      </c>
      <c r="AT40" s="2" t="n">
        <v>111.3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2960.86</v>
      </c>
      <c r="BB40" s="2" t="n">
        <v>1720.75</v>
      </c>
      <c r="BC40" s="2">
        <f>F40+L40+R40+X40+AD40+AJ40+AP40+AV40+IF(BE40="",0,BE40)</f>
        <v/>
      </c>
      <c r="BD40" s="2" t="n">
        <v>26.49955</v>
      </c>
      <c r="BE40" s="2" t="n"/>
      <c r="BF40" s="2" t="n">
        <v>2741.537037037036</v>
      </c>
      <c r="BG40" s="2" t="n">
        <v>0</v>
      </c>
      <c r="BH40" s="2" t="n">
        <v>0</v>
      </c>
      <c r="BI40" s="2" t="n">
        <v>29778.37</v>
      </c>
      <c r="BJ40" s="2" t="n">
        <v>50.22840336134454</v>
      </c>
      <c r="BK40" s="2" t="n">
        <v>0</v>
      </c>
      <c r="BL40" s="2" t="n">
        <v>20</v>
      </c>
      <c r="BM40" s="2" t="n">
        <v>0</v>
      </c>
      <c r="BN40" s="2" t="n">
        <v>5</v>
      </c>
      <c r="BO40" s="2" t="n">
        <v>0</v>
      </c>
      <c r="BP40" s="2" t="n">
        <v>23.230125</v>
      </c>
      <c r="BQ40" s="2" t="n">
        <v>0</v>
      </c>
      <c r="BR40" s="2" t="n">
        <v>29876.82852836134</v>
      </c>
      <c r="BS40" s="2" t="n">
        <v>761.1080672268907</v>
      </c>
      <c r="BT40" s="2" t="n">
        <v>201.6806722689076</v>
      </c>
      <c r="BU40" s="2" t="n">
        <v>6163.277428571429</v>
      </c>
      <c r="BV40" s="2" t="n">
        <v>7126.066168067226</v>
      </c>
      <c r="BW40" s="2" t="n">
        <v>37002.89469642856</v>
      </c>
      <c r="BX40" s="2" t="n">
        <v>1609.45</v>
      </c>
      <c r="BY40" s="2" t="n">
        <v>111.3</v>
      </c>
      <c r="BZ40" s="2" t="n">
        <v>1240.11</v>
      </c>
      <c r="CA40" s="2" t="n">
        <v>1720.75</v>
      </c>
      <c r="CB40" s="2">
        <f>(BC40+IF(BD40="",0,BD40))-BW40</f>
        <v/>
      </c>
      <c r="CC40" t="inlineStr">
        <is>
          <t>ALERT: profit/loss &lt;= -5000</t>
        </is>
      </c>
    </row>
    <row r="41">
      <c r="A41" t="n">
        <v>1206</v>
      </c>
      <c r="B41" t="inlineStr">
        <is>
          <t>Piłsudskiego 105, 50-085 Wrocław</t>
        </is>
      </c>
      <c r="C41" t="inlineStr">
        <is>
          <t>Wrocław Główny</t>
        </is>
      </c>
      <c r="D41" t="inlineStr">
        <is>
          <t>FAA2000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11561.74</v>
      </c>
      <c r="L41" s="2" t="n">
        <v>962.4078018518519</v>
      </c>
      <c r="M41" s="2" t="n">
        <v>10705.31481481481</v>
      </c>
      <c r="N41" s="2" t="n">
        <v>3502.7</v>
      </c>
      <c r="O41" s="2" t="n">
        <v>7443.23</v>
      </c>
      <c r="P41" s="2" t="n">
        <v>615.8099999999999</v>
      </c>
      <c r="Q41" s="2" t="n">
        <v>31269.76</v>
      </c>
      <c r="R41" s="2" t="n">
        <v>1600</v>
      </c>
      <c r="S41" s="2" t="n">
        <v>28953.48148148148</v>
      </c>
      <c r="T41" s="2" t="n">
        <v>5630.55</v>
      </c>
      <c r="U41" s="2" t="n">
        <v>24559.33</v>
      </c>
      <c r="V41" s="2" t="n">
        <v>1079.88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6240.199999999999</v>
      </c>
      <c r="AP41" s="2" t="n">
        <v>485.3488888888888</v>
      </c>
      <c r="AQ41" s="2" t="n">
        <v>5777.962962962962</v>
      </c>
      <c r="AR41" s="2" t="n">
        <v>1124.73</v>
      </c>
      <c r="AS41" s="2" t="n">
        <v>4852.32</v>
      </c>
      <c r="AT41" s="2" t="n">
        <v>263.15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49071.7</v>
      </c>
      <c r="BB41" s="2" t="n">
        <v>38813.72</v>
      </c>
      <c r="BC41" s="2">
        <f>F41+L41+R41+X41+AD41+AJ41+AP41+AV41+IF(BE41="",0,BE41)</f>
        <v/>
      </c>
      <c r="BD41" s="2" t="n">
        <v>597.7312880000001</v>
      </c>
      <c r="BE41" s="2" t="n"/>
      <c r="BF41" s="2" t="n">
        <v>45436.75925925926</v>
      </c>
      <c r="BG41" s="2" t="n">
        <v>0</v>
      </c>
      <c r="BH41" s="2" t="n">
        <v>0</v>
      </c>
      <c r="BI41" s="2" t="n">
        <v>29778.37</v>
      </c>
      <c r="BJ41" s="2" t="n">
        <v>50.22840336134454</v>
      </c>
      <c r="BK41" s="2" t="n">
        <v>0</v>
      </c>
      <c r="BL41" s="2" t="n">
        <v>20</v>
      </c>
      <c r="BM41" s="2" t="n">
        <v>0</v>
      </c>
      <c r="BN41" s="2" t="n">
        <v>5</v>
      </c>
      <c r="BO41" s="2" t="n">
        <v>0</v>
      </c>
      <c r="BP41" s="2" t="n">
        <v>523.98522</v>
      </c>
      <c r="BQ41" s="2" t="n">
        <v>0</v>
      </c>
      <c r="BR41" s="2" t="n">
        <v>30377.58362336134</v>
      </c>
      <c r="BS41" s="2" t="n">
        <v>761.1080672268907</v>
      </c>
      <c r="BT41" s="2" t="n">
        <v>201.6806722689076</v>
      </c>
      <c r="BU41" s="2" t="n">
        <v>6163.277428571429</v>
      </c>
      <c r="BV41" s="2" t="n">
        <v>7126.066168067226</v>
      </c>
      <c r="BW41" s="2" t="n">
        <v>37503.64979142856</v>
      </c>
      <c r="BX41" s="2" t="n">
        <v>36854.88</v>
      </c>
      <c r="BY41" s="2" t="n">
        <v>1958.84</v>
      </c>
      <c r="BZ41" s="2" t="n">
        <v>10257.98</v>
      </c>
      <c r="CA41" s="2" t="n">
        <v>38813.72</v>
      </c>
      <c r="CB41" s="2">
        <f>(BC41+IF(BD41="",0,BD41))-BW41</f>
        <v/>
      </c>
      <c r="CC41" t="inlineStr">
        <is>
          <t>ALERT: profit/loss &lt;= -5000</t>
        </is>
      </c>
    </row>
    <row r="42">
      <c r="A42" t="n">
        <v>1207</v>
      </c>
      <c r="B42" t="inlineStr">
        <is>
          <t>Piłsudskiego 105, 50-085 Wrocław</t>
        </is>
      </c>
      <c r="C42" t="inlineStr">
        <is>
          <t>Wrocław Główny</t>
        </is>
      </c>
      <c r="D42" t="inlineStr">
        <is>
          <t>FAA2000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9324.230000000001</v>
      </c>
      <c r="L42" s="2" t="n">
        <v>776.1558120370372</v>
      </c>
      <c r="M42" s="2" t="n">
        <v>8633.546296296297</v>
      </c>
      <c r="N42" s="2" t="n">
        <v>2547.91</v>
      </c>
      <c r="O42" s="2" t="n">
        <v>6240.47</v>
      </c>
      <c r="P42" s="2" t="n">
        <v>535.85</v>
      </c>
      <c r="Q42" s="2" t="n">
        <v>21444.94</v>
      </c>
      <c r="R42" s="2" t="n">
        <v>1600</v>
      </c>
      <c r="S42" s="2" t="n">
        <v>19856.42592592593</v>
      </c>
      <c r="T42" s="2" t="n">
        <v>4112.93</v>
      </c>
      <c r="U42" s="2" t="n">
        <v>16814.49</v>
      </c>
      <c r="V42" s="2" t="n">
        <v>517.52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4166.37</v>
      </c>
      <c r="AP42" s="2" t="n">
        <v>324.051</v>
      </c>
      <c r="AQ42" s="2" t="n">
        <v>3857.75</v>
      </c>
      <c r="AR42" s="2" t="n">
        <v>1004.31</v>
      </c>
      <c r="AS42" s="2" t="n">
        <v>2915.34</v>
      </c>
      <c r="AT42" s="2" t="n">
        <v>246.72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34935.54000000001</v>
      </c>
      <c r="BB42" s="2" t="n">
        <v>27270.39</v>
      </c>
      <c r="BC42" s="2">
        <f>F42+L42+R42+X42+AD42+AJ42+AP42+AV42+IF(BE42="",0,BE42)</f>
        <v/>
      </c>
      <c r="BD42" s="2" t="n">
        <v>419.964006</v>
      </c>
      <c r="BE42" s="2" t="n"/>
      <c r="BF42" s="2" t="n">
        <v>32347.72222222223</v>
      </c>
      <c r="BG42" s="2" t="n">
        <v>0</v>
      </c>
      <c r="BH42" s="2" t="n">
        <v>0</v>
      </c>
      <c r="BI42" s="2" t="n">
        <v>29778.37</v>
      </c>
      <c r="BJ42" s="2" t="n">
        <v>50.22840336134454</v>
      </c>
      <c r="BK42" s="2" t="n">
        <v>0</v>
      </c>
      <c r="BL42" s="2" t="n">
        <v>20</v>
      </c>
      <c r="BM42" s="2" t="n">
        <v>0</v>
      </c>
      <c r="BN42" s="2" t="n">
        <v>5</v>
      </c>
      <c r="BO42" s="2" t="n">
        <v>0</v>
      </c>
      <c r="BP42" s="2" t="n">
        <v>368.150265</v>
      </c>
      <c r="BQ42" s="2" t="n">
        <v>0</v>
      </c>
      <c r="BR42" s="2" t="n">
        <v>30221.74866836134</v>
      </c>
      <c r="BS42" s="2" t="n">
        <v>761.1080672268907</v>
      </c>
      <c r="BT42" s="2" t="n">
        <v>201.6806722689076</v>
      </c>
      <c r="BU42" s="2" t="n">
        <v>6163.277428571429</v>
      </c>
      <c r="BV42" s="2" t="n">
        <v>7126.066168067226</v>
      </c>
      <c r="BW42" s="2" t="n">
        <v>37347.81483642857</v>
      </c>
      <c r="BX42" s="2" t="n">
        <v>25970.3</v>
      </c>
      <c r="BY42" s="2" t="n">
        <v>1300.09</v>
      </c>
      <c r="BZ42" s="2" t="n">
        <v>7665.15</v>
      </c>
      <c r="CA42" s="2" t="n">
        <v>27270.39</v>
      </c>
      <c r="CB42" s="2">
        <f>(BC42+IF(BD42="",0,BD42))-BW42</f>
        <v/>
      </c>
      <c r="CC42" t="inlineStr">
        <is>
          <t>ALERT: profit/loss &lt;= -5000</t>
        </is>
      </c>
    </row>
    <row r="43">
      <c r="A43" t="n">
        <v>1208</v>
      </c>
      <c r="B43" t="inlineStr">
        <is>
          <t>Piłsudskiego 105, 50-085 Wrocław</t>
        </is>
      </c>
      <c r="C43" t="inlineStr">
        <is>
          <t>Wrocław Główny</t>
        </is>
      </c>
      <c r="D43" t="inlineStr">
        <is>
          <t>FAA2000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3391.56</v>
      </c>
      <c r="L43" s="2" t="n">
        <v>282.3159666666667</v>
      </c>
      <c r="M43" s="2" t="n">
        <v>3140.333333333333</v>
      </c>
      <c r="N43" s="2" t="n">
        <v>813.03</v>
      </c>
      <c r="O43" s="2" t="n">
        <v>2482.84</v>
      </c>
      <c r="P43" s="2" t="n">
        <v>95.69</v>
      </c>
      <c r="Q43" s="2" t="n">
        <v>11981.71</v>
      </c>
      <c r="R43" s="2" t="n">
        <v>1600</v>
      </c>
      <c r="S43" s="2" t="n">
        <v>11094.17592592593</v>
      </c>
      <c r="T43" s="2" t="n">
        <v>1932.95</v>
      </c>
      <c r="U43" s="2" t="n">
        <v>9318.49</v>
      </c>
      <c r="V43" s="2" t="n">
        <v>730.27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3799.92</v>
      </c>
      <c r="AP43" s="2" t="n">
        <v>295.5493333333333</v>
      </c>
      <c r="AQ43" s="2" t="n">
        <v>3518.444444444444</v>
      </c>
      <c r="AR43" s="2" t="n">
        <v>941.26</v>
      </c>
      <c r="AS43" s="2" t="n">
        <v>2772.17</v>
      </c>
      <c r="AT43" s="2" t="n">
        <v>86.48999999999999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19173.19</v>
      </c>
      <c r="BB43" s="2" t="n">
        <v>15485.95</v>
      </c>
      <c r="BC43" s="2">
        <f>F43+L43+R43+X43+AD43+AJ43+AP43+AV43+IF(BE43="",0,BE43)</f>
        <v/>
      </c>
      <c r="BD43" s="2" t="n">
        <v>238.48363</v>
      </c>
      <c r="BE43" s="2" t="n"/>
      <c r="BF43" s="2" t="n">
        <v>17752.9537037037</v>
      </c>
      <c r="BG43" s="2" t="n">
        <v>0</v>
      </c>
      <c r="BH43" s="2" t="n">
        <v>0</v>
      </c>
      <c r="BI43" s="2" t="n">
        <v>29778.37</v>
      </c>
      <c r="BJ43" s="2" t="n">
        <v>50.22840336134454</v>
      </c>
      <c r="BK43" s="2" t="n">
        <v>0</v>
      </c>
      <c r="BL43" s="2" t="n">
        <v>20</v>
      </c>
      <c r="BM43" s="2" t="n">
        <v>0</v>
      </c>
      <c r="BN43" s="2" t="n">
        <v>5</v>
      </c>
      <c r="BO43" s="2" t="n">
        <v>0</v>
      </c>
      <c r="BP43" s="2" t="n">
        <v>209.060325</v>
      </c>
      <c r="BQ43" s="2" t="n">
        <v>0</v>
      </c>
      <c r="BR43" s="2" t="n">
        <v>30062.65872836134</v>
      </c>
      <c r="BS43" s="2" t="n">
        <v>761.1080672268907</v>
      </c>
      <c r="BT43" s="2" t="n">
        <v>201.6806722689076</v>
      </c>
      <c r="BU43" s="2" t="n">
        <v>6163.277428571429</v>
      </c>
      <c r="BV43" s="2" t="n">
        <v>7126.066168067226</v>
      </c>
      <c r="BW43" s="2" t="n">
        <v>37188.72489642857</v>
      </c>
      <c r="BX43" s="2" t="n">
        <v>14573.5</v>
      </c>
      <c r="BY43" s="2" t="n">
        <v>912.45</v>
      </c>
      <c r="BZ43" s="2" t="n">
        <v>3687.24</v>
      </c>
      <c r="CA43" s="2" t="n">
        <v>15485.95</v>
      </c>
      <c r="CB43" s="2">
        <f>(BC43+IF(BD43="",0,BD43))-BW43</f>
        <v/>
      </c>
      <c r="CC43" t="inlineStr">
        <is>
          <t>ALERT: profit/loss &lt;= -5000</t>
        </is>
      </c>
    </row>
    <row r="44">
      <c r="A44" t="n">
        <v>1210</v>
      </c>
      <c r="B44" t="inlineStr">
        <is>
          <t>Piłsudskiego 105, 50-085 Wrocław</t>
        </is>
      </c>
      <c r="C44" t="inlineStr">
        <is>
          <t>Wrocław Główny</t>
        </is>
      </c>
      <c r="D44" t="inlineStr">
        <is>
          <t>FAA2000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16055.7</v>
      </c>
      <c r="L44" s="2" t="n">
        <v>1336.488361111111</v>
      </c>
      <c r="M44" s="2" t="n">
        <v>14866.38888888889</v>
      </c>
      <c r="N44" s="2" t="n">
        <v>229.37</v>
      </c>
      <c r="O44" s="2" t="n">
        <v>14840.22</v>
      </c>
      <c r="P44" s="2" t="n">
        <v>986.11</v>
      </c>
      <c r="Q44" s="2" t="n">
        <v>18982.69</v>
      </c>
      <c r="R44" s="2" t="n">
        <v>1600</v>
      </c>
      <c r="S44" s="2" t="n">
        <v>17576.56481481481</v>
      </c>
      <c r="T44" s="2" t="n">
        <v>565.91</v>
      </c>
      <c r="U44" s="2" t="n">
        <v>17128.76</v>
      </c>
      <c r="V44" s="2" t="n">
        <v>1288.02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7811.67</v>
      </c>
      <c r="AP44" s="2" t="n">
        <v>607.5743333333334</v>
      </c>
      <c r="AQ44" s="2" t="n">
        <v>7233.027777777777</v>
      </c>
      <c r="AR44" s="2" t="n">
        <v>224.88</v>
      </c>
      <c r="AS44" s="2" t="n">
        <v>7286.37</v>
      </c>
      <c r="AT44" s="2" t="n">
        <v>300.42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42850.06</v>
      </c>
      <c r="BB44" s="2" t="n">
        <v>41829.9</v>
      </c>
      <c r="BC44" s="2">
        <f>F44+L44+R44+X44+AD44+AJ44+AP44+AV44+IF(BE44="",0,BE44)</f>
        <v/>
      </c>
      <c r="BD44" s="2" t="n">
        <v>644.18046</v>
      </c>
      <c r="BE44" s="2" t="n"/>
      <c r="BF44" s="2" t="n">
        <v>39675.98148148147</v>
      </c>
      <c r="BG44" s="2" t="n">
        <v>760.5599999999999</v>
      </c>
      <c r="BH44" s="2" t="n">
        <v>246</v>
      </c>
      <c r="BI44" s="2" t="n">
        <v>29778.37</v>
      </c>
      <c r="BJ44" s="2" t="n">
        <v>50.22840336134454</v>
      </c>
      <c r="BK44" s="2" t="n">
        <v>0</v>
      </c>
      <c r="BL44" s="2" t="n">
        <v>20</v>
      </c>
      <c r="BM44" s="2" t="n">
        <v>0</v>
      </c>
      <c r="BN44" s="2" t="n">
        <v>5</v>
      </c>
      <c r="BO44" s="2" t="n">
        <v>0</v>
      </c>
      <c r="BP44" s="2" t="n">
        <v>564.7036499999999</v>
      </c>
      <c r="BQ44" s="2" t="n">
        <v>0</v>
      </c>
      <c r="BR44" s="2" t="n">
        <v>31424.86205336134</v>
      </c>
      <c r="BS44" s="2" t="n">
        <v>761.1080672268907</v>
      </c>
      <c r="BT44" s="2" t="n">
        <v>201.6806722689076</v>
      </c>
      <c r="BU44" s="2" t="n">
        <v>6364.589428571428</v>
      </c>
      <c r="BV44" s="2" t="n">
        <v>7327.378168067226</v>
      </c>
      <c r="BW44" s="2" t="n">
        <v>38752.24022142857</v>
      </c>
      <c r="BX44" s="2" t="n">
        <v>39255.35</v>
      </c>
      <c r="BY44" s="2" t="n">
        <v>2574.55</v>
      </c>
      <c r="BZ44" s="2" t="n">
        <v>1020.16</v>
      </c>
      <c r="CA44" s="2" t="n">
        <v>41829.9</v>
      </c>
      <c r="CB44" s="2">
        <f>(BC44+IF(BD44="",0,BD44))-BW44</f>
        <v/>
      </c>
      <c r="CC44" t="inlineStr">
        <is>
          <t>ALERT: profit/loss &lt;= -5000</t>
        </is>
      </c>
    </row>
    <row r="45">
      <c r="A45" t="n">
        <v>1211</v>
      </c>
      <c r="B45" t="inlineStr">
        <is>
          <t>Kolejowa, 59-300 Lubin</t>
        </is>
      </c>
      <c r="C45" t="inlineStr">
        <is>
          <t>Lubin</t>
        </is>
      </c>
      <c r="D45" t="inlineStr">
        <is>
          <t>ST|40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16948.1</v>
      </c>
      <c r="R45" s="2" t="n">
        <v>2400</v>
      </c>
      <c r="S45" s="2" t="n">
        <v>15692.68518518518</v>
      </c>
      <c r="T45" s="2" t="n">
        <v>7620.86</v>
      </c>
      <c r="U45" s="2" t="n">
        <v>8750.719999999999</v>
      </c>
      <c r="V45" s="2" t="n">
        <v>576.52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16948.1</v>
      </c>
      <c r="BB45" s="2" t="n">
        <v>9327.24</v>
      </c>
      <c r="BC45" s="2">
        <f>F45+L45+R45+X45+AD45+AJ45+AP45+AV45+IF(BE45="",0,BE45)</f>
        <v/>
      </c>
      <c r="BD45" s="2" t="n">
        <v>143.639496</v>
      </c>
      <c r="BE45" s="2" t="n"/>
      <c r="BF45" s="2" t="n">
        <v>15692.68518518518</v>
      </c>
      <c r="BG45" s="2" t="n">
        <v>0</v>
      </c>
      <c r="BH45" s="2" t="n">
        <v>0</v>
      </c>
      <c r="BI45" s="2" t="n">
        <v>29778.37</v>
      </c>
      <c r="BJ45" s="2" t="n">
        <v>50.22840336134454</v>
      </c>
      <c r="BK45" s="2" t="n">
        <v>0</v>
      </c>
      <c r="BL45" s="2" t="n">
        <v>20</v>
      </c>
      <c r="BM45" s="2" t="n">
        <v>0</v>
      </c>
      <c r="BN45" s="2" t="n">
        <v>5</v>
      </c>
      <c r="BO45" s="2" t="n">
        <v>0</v>
      </c>
      <c r="BP45" s="2" t="n">
        <v>125.91774</v>
      </c>
      <c r="BQ45" s="2" t="n">
        <v>0</v>
      </c>
      <c r="BR45" s="2" t="n">
        <v>29979.51614336134</v>
      </c>
      <c r="BS45" s="2" t="n">
        <v>761.1080672268907</v>
      </c>
      <c r="BT45" s="2" t="n">
        <v>201.6806722689076</v>
      </c>
      <c r="BU45" s="2" t="n">
        <v>6163.277428571429</v>
      </c>
      <c r="BV45" s="2" t="n">
        <v>7126.066168067226</v>
      </c>
      <c r="BW45" s="2" t="n">
        <v>37105.58231142857</v>
      </c>
      <c r="BX45" s="2" t="n">
        <v>8750.719999999999</v>
      </c>
      <c r="BY45" s="2" t="n">
        <v>576.52</v>
      </c>
      <c r="BZ45" s="2" t="n">
        <v>7620.86</v>
      </c>
      <c r="CA45" s="2" t="n">
        <v>9327.24</v>
      </c>
      <c r="CB45" s="2">
        <f>(BC45+IF(BD45="",0,BD45))-BW45</f>
        <v/>
      </c>
      <c r="CC45" t="inlineStr">
        <is>
          <t>ALERT: profit/loss &lt;= -5000</t>
        </is>
      </c>
    </row>
    <row r="46">
      <c r="A46" t="n">
        <v>1212</v>
      </c>
      <c r="B46" t="inlineStr">
        <is>
          <t>Armii Krajowej 26C, 58-302 Wałbrzych</t>
        </is>
      </c>
      <c r="C46" t="inlineStr">
        <is>
          <t>Wałbrzych Miasto</t>
        </is>
      </c>
      <c r="D46" t="inlineStr">
        <is>
          <t>ST|40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1507.24</v>
      </c>
      <c r="L46" s="2" t="n">
        <v>125.4637740740741</v>
      </c>
      <c r="M46" s="2" t="n">
        <v>1395.592592592593</v>
      </c>
      <c r="N46" s="2" t="n">
        <v>419.92</v>
      </c>
      <c r="O46" s="2" t="n">
        <v>935.37</v>
      </c>
      <c r="P46" s="2" t="n">
        <v>151.95</v>
      </c>
      <c r="Q46" s="2" t="n">
        <v>5743.59</v>
      </c>
      <c r="R46" s="2" t="n">
        <v>1600</v>
      </c>
      <c r="S46" s="2" t="n">
        <v>5318.138888888889</v>
      </c>
      <c r="T46" s="2" t="n">
        <v>1101.43</v>
      </c>
      <c r="U46" s="2" t="n">
        <v>4342.93</v>
      </c>
      <c r="V46" s="2" t="n">
        <v>299.23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122.6</v>
      </c>
      <c r="AP46" s="2" t="n">
        <v>9.535555555555556</v>
      </c>
      <c r="AQ46" s="2" t="n">
        <v>113.5185185185185</v>
      </c>
      <c r="AR46" s="2" t="n">
        <v>21.16</v>
      </c>
      <c r="AS46" s="2" t="n">
        <v>101.44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7373.43</v>
      </c>
      <c r="BB46" s="2" t="n">
        <v>5830.919999999999</v>
      </c>
      <c r="BC46" s="2">
        <f>F46+L46+R46+X46+AD46+AJ46+AP46+AV46+IF(BE46="",0,BE46)</f>
        <v/>
      </c>
      <c r="BD46" s="2" t="n">
        <v>89.79616799999999</v>
      </c>
      <c r="BE46" s="2" t="n"/>
      <c r="BF46" s="2" t="n">
        <v>6827.25</v>
      </c>
      <c r="BG46" s="2" t="n">
        <v>0</v>
      </c>
      <c r="BH46" s="2" t="n">
        <v>0</v>
      </c>
      <c r="BI46" s="2" t="n">
        <v>29778.37</v>
      </c>
      <c r="BJ46" s="2" t="n">
        <v>50.22840336134454</v>
      </c>
      <c r="BK46" s="2" t="n">
        <v>0</v>
      </c>
      <c r="BL46" s="2" t="n">
        <v>20</v>
      </c>
      <c r="BM46" s="2" t="n">
        <v>0</v>
      </c>
      <c r="BN46" s="2" t="n">
        <v>5</v>
      </c>
      <c r="BO46" s="2" t="n">
        <v>0</v>
      </c>
      <c r="BP46" s="2" t="n">
        <v>78.71741999999999</v>
      </c>
      <c r="BQ46" s="2" t="n">
        <v>0</v>
      </c>
      <c r="BR46" s="2" t="n">
        <v>29932.31582336134</v>
      </c>
      <c r="BS46" s="2" t="n">
        <v>761.1080672268907</v>
      </c>
      <c r="BT46" s="2" t="n">
        <v>201.6806722689076</v>
      </c>
      <c r="BU46" s="2" t="n">
        <v>6163.277428571429</v>
      </c>
      <c r="BV46" s="2" t="n">
        <v>7126.066168067226</v>
      </c>
      <c r="BW46" s="2" t="n">
        <v>37058.38199142857</v>
      </c>
      <c r="BX46" s="2" t="n">
        <v>5379.74</v>
      </c>
      <c r="BY46" s="2" t="n">
        <v>451.18</v>
      </c>
      <c r="BZ46" s="2" t="n">
        <v>1542.51</v>
      </c>
      <c r="CA46" s="2" t="n">
        <v>5830.92</v>
      </c>
      <c r="CB46" s="2">
        <f>(BC46+IF(BD46="",0,BD46))-BW46</f>
        <v/>
      </c>
      <c r="CC46" t="inlineStr">
        <is>
          <t>ALERT: profit/loss &lt;= -5000</t>
        </is>
      </c>
    </row>
    <row r="47">
      <c r="A47" t="n">
        <v>1213</v>
      </c>
      <c r="B47" t="inlineStr">
        <is>
          <t>Plac 1000-Lecia 1, 67-200 Głogów</t>
        </is>
      </c>
      <c r="C47" t="inlineStr">
        <is>
          <t>Głogów</t>
        </is>
      </c>
      <c r="D47" t="inlineStr">
        <is>
          <t>ST|40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2845.84</v>
      </c>
      <c r="L47" s="2" t="n">
        <v>236.8898296296296</v>
      </c>
      <c r="M47" s="2" t="n">
        <v>2635.037037037037</v>
      </c>
      <c r="N47" s="2" t="n">
        <v>1220.18</v>
      </c>
      <c r="O47" s="2" t="n">
        <v>1474.53</v>
      </c>
      <c r="P47" s="2" t="n">
        <v>151.13</v>
      </c>
      <c r="Q47" s="2" t="n">
        <v>18491.98</v>
      </c>
      <c r="R47" s="2" t="n">
        <v>1600</v>
      </c>
      <c r="S47" s="2" t="n">
        <v>17122.2037037037</v>
      </c>
      <c r="T47" s="2" t="n">
        <v>6140.27</v>
      </c>
      <c r="U47" s="2" t="n">
        <v>11645.38</v>
      </c>
      <c r="V47" s="2" t="n">
        <v>706.33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224.82</v>
      </c>
      <c r="AD47" s="2" t="n">
        <v>14.57166666666667</v>
      </c>
      <c r="AE47" s="2" t="n">
        <v>208.1666666666667</v>
      </c>
      <c r="AF47" s="2" t="n">
        <v>29.25</v>
      </c>
      <c r="AG47" s="2" t="n">
        <v>195.57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1437.79</v>
      </c>
      <c r="AP47" s="2" t="n">
        <v>111.8281111111111</v>
      </c>
      <c r="AQ47" s="2" t="n">
        <v>1331.287037037037</v>
      </c>
      <c r="AR47" s="2" t="n">
        <v>409.38</v>
      </c>
      <c r="AS47" s="2" t="n">
        <v>1028.41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23000.43</v>
      </c>
      <c r="BB47" s="2" t="n">
        <v>15201.35</v>
      </c>
      <c r="BC47" s="2">
        <f>F47+L47+R47+X47+AD47+AJ47+AP47+AV47+IF(BE47="",0,BE47)</f>
        <v/>
      </c>
      <c r="BD47" s="2" t="n">
        <v>234.10079</v>
      </c>
      <c r="BE47" s="2" t="n"/>
      <c r="BF47" s="2" t="n">
        <v>21296.69444444445</v>
      </c>
      <c r="BG47" s="2" t="n">
        <v>0</v>
      </c>
      <c r="BH47" s="2" t="n">
        <v>0</v>
      </c>
      <c r="BI47" s="2" t="n">
        <v>29778.37</v>
      </c>
      <c r="BJ47" s="2" t="n">
        <v>50.22840336134454</v>
      </c>
      <c r="BK47" s="2" t="n">
        <v>0</v>
      </c>
      <c r="BL47" s="2" t="n">
        <v>20</v>
      </c>
      <c r="BM47" s="2" t="n">
        <v>0</v>
      </c>
      <c r="BN47" s="2" t="n">
        <v>5</v>
      </c>
      <c r="BO47" s="2" t="n">
        <v>0</v>
      </c>
      <c r="BP47" s="2" t="n">
        <v>205.218225</v>
      </c>
      <c r="BQ47" s="2" t="n">
        <v>0</v>
      </c>
      <c r="BR47" s="2" t="n">
        <v>30058.81662836134</v>
      </c>
      <c r="BS47" s="2" t="n">
        <v>761.1080672268907</v>
      </c>
      <c r="BT47" s="2" t="n">
        <v>201.6806722689076</v>
      </c>
      <c r="BU47" s="2" t="n">
        <v>6163.277428571429</v>
      </c>
      <c r="BV47" s="2" t="n">
        <v>7126.066168067226</v>
      </c>
      <c r="BW47" s="2" t="n">
        <v>37184.88279642857</v>
      </c>
      <c r="BX47" s="2" t="n">
        <v>14343.89</v>
      </c>
      <c r="BY47" s="2" t="n">
        <v>857.46</v>
      </c>
      <c r="BZ47" s="2" t="n">
        <v>7799.080000000001</v>
      </c>
      <c r="CA47" s="2" t="n">
        <v>15201.35</v>
      </c>
      <c r="CB47" s="2">
        <f>(BC47+IF(BD47="",0,BD47))-BW47</f>
        <v/>
      </c>
      <c r="CC47" t="inlineStr">
        <is>
          <t>ALERT: profit/loss &lt;= -5000</t>
        </is>
      </c>
    </row>
    <row r="48">
      <c r="A48" t="n">
        <v>1214</v>
      </c>
      <c r="B48" t="inlineStr">
        <is>
          <t>Dworcowa 72A, 69-110 Rzepin</t>
        </is>
      </c>
      <c r="C48" t="inlineStr">
        <is>
          <t>Rzepin</t>
        </is>
      </c>
      <c r="D48" t="inlineStr">
        <is>
          <t>ST|40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3006.33</v>
      </c>
      <c r="L48" s="2" t="n">
        <v>250.2491361111111</v>
      </c>
      <c r="M48" s="2" t="n">
        <v>2783.638888888889</v>
      </c>
      <c r="N48" s="2" t="n">
        <v>1173.16</v>
      </c>
      <c r="O48" s="2" t="n">
        <v>1768.23</v>
      </c>
      <c r="P48" s="2" t="n">
        <v>64.94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3006.33</v>
      </c>
      <c r="BB48" s="2" t="n">
        <v>1833.17</v>
      </c>
      <c r="BC48" s="2">
        <f>F48+L48+R48+X48+AD48+AJ48+AP48+AV48+IF(BE48="",0,BE48)</f>
        <v/>
      </c>
      <c r="BD48" s="2" t="n">
        <v>28.230818</v>
      </c>
      <c r="BE48" s="2" t="n"/>
      <c r="BF48" s="2" t="n">
        <v>2783.638888888889</v>
      </c>
      <c r="BG48" s="2" t="n">
        <v>0</v>
      </c>
      <c r="BH48" s="2" t="n">
        <v>0</v>
      </c>
      <c r="BI48" s="2" t="n">
        <v>29778.37</v>
      </c>
      <c r="BJ48" s="2" t="n">
        <v>50.22840336134454</v>
      </c>
      <c r="BK48" s="2" t="n">
        <v>0</v>
      </c>
      <c r="BL48" s="2" t="n">
        <v>20</v>
      </c>
      <c r="BM48" s="2" t="n">
        <v>0</v>
      </c>
      <c r="BN48" s="2" t="n">
        <v>5</v>
      </c>
      <c r="BO48" s="2" t="n">
        <v>0</v>
      </c>
      <c r="BP48" s="2" t="n">
        <v>24.747795</v>
      </c>
      <c r="BQ48" s="2" t="n">
        <v>0</v>
      </c>
      <c r="BR48" s="2" t="n">
        <v>29878.34619836134</v>
      </c>
      <c r="BS48" s="2" t="n">
        <v>761.1080672268907</v>
      </c>
      <c r="BT48" s="2" t="n">
        <v>201.6806722689076</v>
      </c>
      <c r="BU48" s="2" t="n">
        <v>6163.277428571429</v>
      </c>
      <c r="BV48" s="2" t="n">
        <v>7126.066168067226</v>
      </c>
      <c r="BW48" s="2" t="n">
        <v>37004.41236642857</v>
      </c>
      <c r="BX48" s="2" t="n">
        <v>1768.23</v>
      </c>
      <c r="BY48" s="2" t="n">
        <v>64.94</v>
      </c>
      <c r="BZ48" s="2" t="n">
        <v>1173.16</v>
      </c>
      <c r="CA48" s="2" t="n">
        <v>1833.17</v>
      </c>
      <c r="CB48" s="2">
        <f>(BC48+IF(BD48="",0,BD48))-BW48</f>
        <v/>
      </c>
      <c r="CC48" t="inlineStr">
        <is>
          <t>ALERT: profit/loss &lt;= -5000</t>
        </is>
      </c>
    </row>
    <row r="49">
      <c r="A49" t="n">
        <v>1215</v>
      </c>
      <c r="B49" t="inlineStr">
        <is>
          <t>Aleksandrow Kujawski</t>
        </is>
      </c>
      <c r="C49" t="inlineStr">
        <is>
          <t>Aleksandrów Kujawski</t>
        </is>
      </c>
      <c r="D49" t="inlineStr">
        <is>
          <t>ST|40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399.76</v>
      </c>
      <c r="L49" s="2" t="n">
        <v>33.27631851851852</v>
      </c>
      <c r="M49" s="2" t="n">
        <v>370.1481481481481</v>
      </c>
      <c r="N49" s="2" t="n">
        <v>113.75</v>
      </c>
      <c r="O49" s="2" t="n">
        <v>286.01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1641.43</v>
      </c>
      <c r="AP49" s="2" t="n">
        <v>4500</v>
      </c>
      <c r="AQ49" s="2" t="n">
        <v>1519.842592592593</v>
      </c>
      <c r="AR49" s="2" t="n">
        <v>748.9400000000001</v>
      </c>
      <c r="AS49" s="2" t="n">
        <v>736.8</v>
      </c>
      <c r="AT49" s="2" t="n">
        <v>155.69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2041.19</v>
      </c>
      <c r="BB49" s="2" t="n">
        <v>1178.5</v>
      </c>
      <c r="BC49" s="2">
        <f>F49+L49+R49+X49+AD49+AJ49+AP49+AV49+IF(BE49="",0,BE49)</f>
        <v/>
      </c>
      <c r="BD49" s="2" t="n">
        <v>18.1489</v>
      </c>
      <c r="BE49" s="2" t="n"/>
      <c r="BF49" s="2" t="n">
        <v>1889.990740740741</v>
      </c>
      <c r="BG49" s="2" t="n">
        <v>0</v>
      </c>
      <c r="BH49" s="2" t="n">
        <v>0</v>
      </c>
      <c r="BI49" s="2" t="n">
        <v>29778.37</v>
      </c>
      <c r="BJ49" s="2" t="n">
        <v>50.22840336134454</v>
      </c>
      <c r="BK49" s="2" t="n">
        <v>0</v>
      </c>
      <c r="BL49" s="2" t="n">
        <v>20</v>
      </c>
      <c r="BM49" s="2" t="n">
        <v>0</v>
      </c>
      <c r="BN49" s="2" t="n">
        <v>5</v>
      </c>
      <c r="BO49" s="2" t="n">
        <v>0</v>
      </c>
      <c r="BP49" s="2" t="n">
        <v>15.90975</v>
      </c>
      <c r="BQ49" s="2" t="n">
        <v>0</v>
      </c>
      <c r="BR49" s="2" t="n">
        <v>29869.50815336134</v>
      </c>
      <c r="BS49" s="2" t="n">
        <v>761.1080672268907</v>
      </c>
      <c r="BT49" s="2" t="n">
        <v>201.6806722689076</v>
      </c>
      <c r="BU49" s="2" t="n">
        <v>6163.277428571429</v>
      </c>
      <c r="BV49" s="2" t="n">
        <v>7126.066168067226</v>
      </c>
      <c r="BW49" s="2" t="n">
        <v>36995.57432142857</v>
      </c>
      <c r="BX49" s="2" t="n">
        <v>1022.81</v>
      </c>
      <c r="BY49" s="2" t="n">
        <v>155.69</v>
      </c>
      <c r="BZ49" s="2" t="n">
        <v>862.6900000000001</v>
      </c>
      <c r="CA49" s="2" t="n">
        <v>1178.5</v>
      </c>
      <c r="CB49" s="2">
        <f>(BC49+IF(BD49="",0,BD49))-BW49</f>
        <v/>
      </c>
      <c r="CC49" t="inlineStr">
        <is>
          <t>ALERT: profit/loss &lt;= -5000</t>
        </is>
      </c>
    </row>
    <row r="50">
      <c r="A50" t="n">
        <v>1217</v>
      </c>
      <c r="B50" t="inlineStr">
        <is>
          <t>pl. Marii i Lecha Kaczyńskiego 2, 40-098 Katowice</t>
        </is>
      </c>
      <c r="C50" t="inlineStr">
        <is>
          <t>Katowice</t>
        </is>
      </c>
      <c r="D50" t="inlineStr">
        <is>
          <t>ST|40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12339.09</v>
      </c>
      <c r="L50" s="2" t="n">
        <v>1027.114991666667</v>
      </c>
      <c r="M50" s="2" t="n">
        <v>11425.08333333333</v>
      </c>
      <c r="N50" s="2" t="n">
        <v>2193.05</v>
      </c>
      <c r="O50" s="2" t="n">
        <v>9677.75</v>
      </c>
      <c r="P50" s="2" t="n">
        <v>468.29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6017.129999999999</v>
      </c>
      <c r="AP50" s="2" t="n">
        <v>467.9989999999999</v>
      </c>
      <c r="AQ50" s="2" t="n">
        <v>5571.416666666665</v>
      </c>
      <c r="AR50" s="2" t="n">
        <v>781.5700000000001</v>
      </c>
      <c r="AS50" s="2" t="n">
        <v>4924.28</v>
      </c>
      <c r="AT50" s="2" t="n">
        <v>311.28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18356.22</v>
      </c>
      <c r="BB50" s="2" t="n">
        <v>15381.6</v>
      </c>
      <c r="BC50" s="2">
        <f>F50+L50+R50+X50+AD50+AJ50+AP50+AV50+IF(BE50="",0,BE50)</f>
        <v/>
      </c>
      <c r="BD50" s="2" t="n">
        <v>236.87664</v>
      </c>
      <c r="BE50" s="2" t="n"/>
      <c r="BF50" s="2" t="n">
        <v>16996.5</v>
      </c>
      <c r="BG50" s="2" t="n">
        <v>0</v>
      </c>
      <c r="BH50" s="2" t="n">
        <v>0</v>
      </c>
      <c r="BI50" s="2" t="n">
        <v>29778.37</v>
      </c>
      <c r="BJ50" s="2" t="n">
        <v>50.22840336134454</v>
      </c>
      <c r="BK50" s="2" t="n">
        <v>0</v>
      </c>
      <c r="BL50" s="2" t="n">
        <v>20</v>
      </c>
      <c r="BM50" s="2" t="n">
        <v>0</v>
      </c>
      <c r="BN50" s="2" t="n">
        <v>5</v>
      </c>
      <c r="BO50" s="2" t="n">
        <v>0</v>
      </c>
      <c r="BP50" s="2" t="n">
        <v>207.6516</v>
      </c>
      <c r="BQ50" s="2" t="n">
        <v>0</v>
      </c>
      <c r="BR50" s="2" t="n">
        <v>30061.25000336134</v>
      </c>
      <c r="BS50" s="2" t="n">
        <v>761.1080672268907</v>
      </c>
      <c r="BT50" s="2" t="n">
        <v>201.6806722689076</v>
      </c>
      <c r="BU50" s="2" t="n">
        <v>6163.277428571429</v>
      </c>
      <c r="BV50" s="2" t="n">
        <v>7126.066168067226</v>
      </c>
      <c r="BW50" s="2" t="n">
        <v>37187.31617142857</v>
      </c>
      <c r="BX50" s="2" t="n">
        <v>14602.03</v>
      </c>
      <c r="BY50" s="2" t="n">
        <v>779.5699999999999</v>
      </c>
      <c r="BZ50" s="2" t="n">
        <v>2974.62</v>
      </c>
      <c r="CA50" s="2" t="n">
        <v>15381.6</v>
      </c>
      <c r="CB50" s="2">
        <f>(BC50+IF(BD50="",0,BD50))-BW50</f>
        <v/>
      </c>
      <c r="CC50" t="inlineStr">
        <is>
          <t>ALERT: profit/loss &lt;= -5000</t>
        </is>
      </c>
    </row>
    <row r="51">
      <c r="A51" t="n">
        <v>1219</v>
      </c>
      <c r="B51" t="inlineStr">
        <is>
          <t>Armii Krajowej 3, 75-200 Koszalin</t>
        </is>
      </c>
      <c r="C51" t="inlineStr">
        <is>
          <t>Koszalin</t>
        </is>
      </c>
      <c r="D51" t="inlineStr">
        <is>
          <t>FAA2000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3272.99</v>
      </c>
      <c r="L51" s="2" t="n">
        <v>272.4461120370371</v>
      </c>
      <c r="M51" s="2" t="n">
        <v>3030.546296296297</v>
      </c>
      <c r="N51" s="2" t="n">
        <v>1195.03</v>
      </c>
      <c r="O51" s="2" t="n">
        <v>1911.35</v>
      </c>
      <c r="P51" s="2" t="n">
        <v>166.61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4758.15</v>
      </c>
      <c r="AP51" s="2" t="n">
        <v>370.0783333333333</v>
      </c>
      <c r="AQ51" s="2" t="n">
        <v>4405.694444444443</v>
      </c>
      <c r="AR51" s="2" t="n">
        <v>1143.58</v>
      </c>
      <c r="AS51" s="2" t="n">
        <v>2941.22</v>
      </c>
      <c r="AT51" s="2" t="n">
        <v>673.35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8031.139999999999</v>
      </c>
      <c r="BB51" s="2" t="n">
        <v>5692.53</v>
      </c>
      <c r="BC51" s="2">
        <f>F51+L51+R51+X51+AD51+AJ51+AP51+AV51+IF(BE51="",0,BE51)</f>
        <v/>
      </c>
      <c r="BD51" s="2" t="n">
        <v>87.664962</v>
      </c>
      <c r="BE51" s="2" t="n"/>
      <c r="BF51" s="2" t="n">
        <v>7436.24074074074</v>
      </c>
      <c r="BG51" s="2" t="n">
        <v>0</v>
      </c>
      <c r="BH51" s="2" t="n">
        <v>0</v>
      </c>
      <c r="BI51" s="2" t="n">
        <v>29778.37</v>
      </c>
      <c r="BJ51" s="2" t="n">
        <v>50.22840336134454</v>
      </c>
      <c r="BK51" s="2" t="n">
        <v>0</v>
      </c>
      <c r="BL51" s="2" t="n">
        <v>20</v>
      </c>
      <c r="BM51" s="2" t="n">
        <v>0</v>
      </c>
      <c r="BN51" s="2" t="n">
        <v>5</v>
      </c>
      <c r="BO51" s="2" t="n">
        <v>0</v>
      </c>
      <c r="BP51" s="2" t="n">
        <v>76.849155</v>
      </c>
      <c r="BQ51" s="2" t="n">
        <v>0</v>
      </c>
      <c r="BR51" s="2" t="n">
        <v>29930.44755836134</v>
      </c>
      <c r="BS51" s="2" t="n">
        <v>761.1080672268907</v>
      </c>
      <c r="BT51" s="2" t="n">
        <v>201.6806722689076</v>
      </c>
      <c r="BU51" s="2" t="n">
        <v>6163.277428571429</v>
      </c>
      <c r="BV51" s="2" t="n">
        <v>7126.066168067226</v>
      </c>
      <c r="BW51" s="2" t="n">
        <v>37056.51372642857</v>
      </c>
      <c r="BX51" s="2" t="n">
        <v>4852.57</v>
      </c>
      <c r="BY51" s="2" t="n">
        <v>839.96</v>
      </c>
      <c r="BZ51" s="2" t="n">
        <v>2338.61</v>
      </c>
      <c r="CA51" s="2" t="n">
        <v>5692.53</v>
      </c>
      <c r="CB51" s="2">
        <f>(BC51+IF(BD51="",0,BD51))-BW51</f>
        <v/>
      </c>
      <c r="CC51" t="inlineStr">
        <is>
          <t>ALERT: profit/loss &lt;= -5000</t>
        </is>
      </c>
    </row>
    <row r="52">
      <c r="A52" t="n">
        <v>1220</v>
      </c>
      <c r="B52" t="inlineStr">
        <is>
          <t>Kotłątaja 32, 76-200 Słupsk</t>
        </is>
      </c>
      <c r="C52" t="inlineStr">
        <is>
          <t>Słupsk</t>
        </is>
      </c>
      <c r="D52" t="inlineStr">
        <is>
          <t>FAA2000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1912.58</v>
      </c>
      <c r="L52" s="2" t="n">
        <v>159.2045759259259</v>
      </c>
      <c r="M52" s="2" t="n">
        <v>1770.907407407407</v>
      </c>
      <c r="N52" s="2" t="n">
        <v>648.5599999999999</v>
      </c>
      <c r="O52" s="2" t="n">
        <v>1163.39</v>
      </c>
      <c r="P52" s="2" t="n">
        <v>100.63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3788.28</v>
      </c>
      <c r="AP52" s="2" t="n">
        <v>4150</v>
      </c>
      <c r="AQ52" s="2" t="n">
        <v>3507.666666666666</v>
      </c>
      <c r="AR52" s="2" t="n">
        <v>2291.29</v>
      </c>
      <c r="AS52" s="2" t="n">
        <v>1337.91</v>
      </c>
      <c r="AT52" s="2" t="n">
        <v>159.08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5700.86</v>
      </c>
      <c r="BB52" s="2" t="n">
        <v>2761.01</v>
      </c>
      <c r="BC52" s="2">
        <f>F52+L52+R52+X52+AD52+AJ52+AP52+AV52+IF(BE52="",0,BE52)</f>
        <v/>
      </c>
      <c r="BD52" s="2" t="n">
        <v>42.519554</v>
      </c>
      <c r="BE52" s="2" t="n"/>
      <c r="BF52" s="2" t="n">
        <v>5278.574074074073</v>
      </c>
      <c r="BG52" s="2" t="n">
        <v>0</v>
      </c>
      <c r="BH52" s="2" t="n">
        <v>0</v>
      </c>
      <c r="BI52" s="2" t="n">
        <v>29778.37</v>
      </c>
      <c r="BJ52" s="2" t="n">
        <v>50.22840336134454</v>
      </c>
      <c r="BK52" s="2" t="n">
        <v>0</v>
      </c>
      <c r="BL52" s="2" t="n">
        <v>20</v>
      </c>
      <c r="BM52" s="2" t="n">
        <v>0</v>
      </c>
      <c r="BN52" s="2" t="n">
        <v>5</v>
      </c>
      <c r="BO52" s="2" t="n">
        <v>0</v>
      </c>
      <c r="BP52" s="2" t="n">
        <v>37.273635</v>
      </c>
      <c r="BQ52" s="2" t="n">
        <v>0</v>
      </c>
      <c r="BR52" s="2" t="n">
        <v>29890.87203836134</v>
      </c>
      <c r="BS52" s="2" t="n">
        <v>761.1080672268907</v>
      </c>
      <c r="BT52" s="2" t="n">
        <v>201.6806722689076</v>
      </c>
      <c r="BU52" s="2" t="n">
        <v>6163.277428571429</v>
      </c>
      <c r="BV52" s="2" t="n">
        <v>7126.066168067226</v>
      </c>
      <c r="BW52" s="2" t="n">
        <v>37016.93820642857</v>
      </c>
      <c r="BX52" s="2" t="n">
        <v>2501.3</v>
      </c>
      <c r="BY52" s="2" t="n">
        <v>259.71</v>
      </c>
      <c r="BZ52" s="2" t="n">
        <v>2939.85</v>
      </c>
      <c r="CA52" s="2" t="n">
        <v>2761.01</v>
      </c>
      <c r="CB52" s="2">
        <f>(BC52+IF(BD52="",0,BD52))-BW52</f>
        <v/>
      </c>
      <c r="CC52" t="inlineStr">
        <is>
          <t>ALERT: profit/loss &lt;= -5000</t>
        </is>
      </c>
    </row>
    <row r="53">
      <c r="A53" t="n">
        <v>1221</v>
      </c>
      <c r="B53" t="inlineStr">
        <is>
          <t>Dworcowa 2, 58-100 Świdnica</t>
        </is>
      </c>
      <c r="C53" t="inlineStr">
        <is>
          <t>Świdnica</t>
        </is>
      </c>
      <c r="D53" t="inlineStr">
        <is>
          <t>ST|40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29263.7</v>
      </c>
      <c r="R53" s="2" t="n">
        <v>2400</v>
      </c>
      <c r="S53" s="2" t="n">
        <v>27096.01851851851</v>
      </c>
      <c r="T53" s="2" t="n">
        <v>7866.6</v>
      </c>
      <c r="U53" s="2" t="n">
        <v>20020.75</v>
      </c>
      <c r="V53" s="2" t="n">
        <v>1376.35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29263.7</v>
      </c>
      <c r="BB53" s="2" t="n">
        <v>21397.1</v>
      </c>
      <c r="BC53" s="2">
        <f>F53+L53+R53+X53+AD53+AJ53+AP53+AV53+IF(BE53="",0,BE53)</f>
        <v/>
      </c>
      <c r="BD53" s="2" t="n">
        <v>329.51534</v>
      </c>
      <c r="BE53" s="2" t="n"/>
      <c r="BF53" s="2" t="n">
        <v>27096.01851851851</v>
      </c>
      <c r="BG53" s="2" t="n">
        <v>0</v>
      </c>
      <c r="BH53" s="2" t="n">
        <v>0</v>
      </c>
      <c r="BI53" s="2" t="n">
        <v>29778.37</v>
      </c>
      <c r="BJ53" s="2" t="n">
        <v>50.22840336134454</v>
      </c>
      <c r="BK53" s="2" t="n">
        <v>0</v>
      </c>
      <c r="BL53" s="2" t="n">
        <v>20</v>
      </c>
      <c r="BM53" s="2" t="n">
        <v>0</v>
      </c>
      <c r="BN53" s="2" t="n">
        <v>5</v>
      </c>
      <c r="BO53" s="2" t="n">
        <v>0</v>
      </c>
      <c r="BP53" s="2" t="n">
        <v>288.86085</v>
      </c>
      <c r="BQ53" s="2" t="n">
        <v>0</v>
      </c>
      <c r="BR53" s="2" t="n">
        <v>30142.45925336134</v>
      </c>
      <c r="BS53" s="2" t="n">
        <v>761.1080672268907</v>
      </c>
      <c r="BT53" s="2" t="n">
        <v>201.6806722689076</v>
      </c>
      <c r="BU53" s="2" t="n">
        <v>6163.277428571429</v>
      </c>
      <c r="BV53" s="2" t="n">
        <v>7126.066168067226</v>
      </c>
      <c r="BW53" s="2" t="n">
        <v>37268.52542142857</v>
      </c>
      <c r="BX53" s="2" t="n">
        <v>20020.75</v>
      </c>
      <c r="BY53" s="2" t="n">
        <v>1376.35</v>
      </c>
      <c r="BZ53" s="2" t="n">
        <v>7866.6</v>
      </c>
      <c r="CA53" s="2" t="n">
        <v>21397.1</v>
      </c>
      <c r="CB53" s="2">
        <f>(BC53+IF(BD53="",0,BD53))-BW53</f>
        <v/>
      </c>
      <c r="CC53" t="inlineStr">
        <is>
          <t>ALERT: profit/loss &lt;= -5000</t>
        </is>
      </c>
    </row>
    <row r="54">
      <c r="A54" t="n">
        <v>1222</v>
      </c>
      <c r="B54" t="inlineStr">
        <is>
          <t>Dworcowa 33, 83-400 Kościerzyna</t>
        </is>
      </c>
      <c r="C54" t="inlineStr">
        <is>
          <t>Kościerzyna</t>
        </is>
      </c>
      <c r="D54" t="inlineStr">
        <is>
          <t>FAA2000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301.1</v>
      </c>
      <c r="AP54" s="2" t="n">
        <v>4050</v>
      </c>
      <c r="AQ54" s="2" t="n">
        <v>278.7962962962963</v>
      </c>
      <c r="AR54" s="2" t="n">
        <v>0</v>
      </c>
      <c r="AS54" s="2" t="n">
        <v>252.1</v>
      </c>
      <c r="AT54" s="2" t="n">
        <v>49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301.1</v>
      </c>
      <c r="BB54" s="2" t="n">
        <v>301.1</v>
      </c>
      <c r="BC54" s="2">
        <f>F54+L54+R54+X54+AD54+AJ54+AP54+AV54+IF(BE54="",0,BE54)</f>
        <v/>
      </c>
      <c r="BD54" s="2" t="n">
        <v>4.63694</v>
      </c>
      <c r="BE54" s="2" t="n"/>
      <c r="BF54" s="2" t="n">
        <v>278.7962962962963</v>
      </c>
      <c r="BG54" s="2" t="n">
        <v>0</v>
      </c>
      <c r="BH54" s="2" t="n">
        <v>0</v>
      </c>
      <c r="BI54" s="2" t="n">
        <v>29778.37</v>
      </c>
      <c r="BJ54" s="2" t="n">
        <v>50.22840336134454</v>
      </c>
      <c r="BK54" s="2" t="n">
        <v>0</v>
      </c>
      <c r="BL54" s="2" t="n">
        <v>20</v>
      </c>
      <c r="BM54" s="2" t="n">
        <v>0</v>
      </c>
      <c r="BN54" s="2" t="n">
        <v>5</v>
      </c>
      <c r="BO54" s="2" t="n">
        <v>0</v>
      </c>
      <c r="BP54" s="2" t="n">
        <v>4.06485</v>
      </c>
      <c r="BQ54" s="2" t="n">
        <v>0</v>
      </c>
      <c r="BR54" s="2" t="n">
        <v>29857.66325336134</v>
      </c>
      <c r="BS54" s="2" t="n">
        <v>761.1080672268907</v>
      </c>
      <c r="BT54" s="2" t="n">
        <v>201.6806722689076</v>
      </c>
      <c r="BU54" s="2" t="n">
        <v>6163.277428571429</v>
      </c>
      <c r="BV54" s="2" t="n">
        <v>7126.066168067226</v>
      </c>
      <c r="BW54" s="2" t="n">
        <v>36983.72942142856</v>
      </c>
      <c r="BX54" s="2" t="n">
        <v>252.1</v>
      </c>
      <c r="BY54" s="2" t="n">
        <v>49</v>
      </c>
      <c r="BZ54" s="2" t="n">
        <v>0</v>
      </c>
      <c r="CA54" s="2" t="n">
        <v>301.1</v>
      </c>
      <c r="CB54" s="2">
        <f>(BC54+IF(BD54="",0,BD54))-BW54</f>
        <v/>
      </c>
      <c r="CC54" t="inlineStr">
        <is>
          <t>ALERT: profit/loss &lt;= -5000</t>
        </is>
      </c>
    </row>
    <row r="55">
      <c r="A55" t="n">
        <v>1223</v>
      </c>
      <c r="B55" t="inlineStr">
        <is>
          <t>Dworcowa 17, 82-200 Malbork</t>
        </is>
      </c>
      <c r="C55" t="inlineStr">
        <is>
          <t>Malbork</t>
        </is>
      </c>
      <c r="D55" t="inlineStr">
        <is>
          <t>FAA2000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4238.09</v>
      </c>
      <c r="L55" s="2" t="n">
        <v>352.781750925926</v>
      </c>
      <c r="M55" s="2" t="n">
        <v>3924.157407407407</v>
      </c>
      <c r="N55" s="2" t="n">
        <v>728.09</v>
      </c>
      <c r="O55" s="2" t="n">
        <v>2936.7</v>
      </c>
      <c r="P55" s="2" t="n">
        <v>573.3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12432.27</v>
      </c>
      <c r="AP55" s="2" t="n">
        <v>966.9543333333335</v>
      </c>
      <c r="AQ55" s="2" t="n">
        <v>11511.36111111111</v>
      </c>
      <c r="AR55" s="2" t="n">
        <v>3915.86</v>
      </c>
      <c r="AS55" s="2" t="n">
        <v>7667.54</v>
      </c>
      <c r="AT55" s="2" t="n">
        <v>848.87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16670.36</v>
      </c>
      <c r="BB55" s="2" t="n">
        <v>12026.41</v>
      </c>
      <c r="BC55" s="2">
        <f>F55+L55+R55+X55+AD55+AJ55+AP55+AV55+IF(BE55="",0,BE55)</f>
        <v/>
      </c>
      <c r="BD55" s="2" t="n">
        <v>185.206714</v>
      </c>
      <c r="BE55" s="2" t="n"/>
      <c r="BF55" s="2" t="n">
        <v>15435.51851851852</v>
      </c>
      <c r="BG55" s="2" t="n">
        <v>0</v>
      </c>
      <c r="BH55" s="2" t="n">
        <v>0</v>
      </c>
      <c r="BI55" s="2" t="n">
        <v>14889.185</v>
      </c>
      <c r="BJ55" s="2" t="n">
        <v>50.22840336134454</v>
      </c>
      <c r="BK55" s="2" t="n">
        <v>0</v>
      </c>
      <c r="BL55" s="2" t="n">
        <v>20</v>
      </c>
      <c r="BM55" s="2" t="n">
        <v>0</v>
      </c>
      <c r="BN55" s="2" t="n">
        <v>5</v>
      </c>
      <c r="BO55" s="2" t="n">
        <v>0</v>
      </c>
      <c r="BP55" s="2" t="n">
        <v>162.356535</v>
      </c>
      <c r="BQ55" s="2" t="n">
        <v>0</v>
      </c>
      <c r="BR55" s="2" t="n">
        <v>15126.76993836135</v>
      </c>
      <c r="BS55" s="2" t="n">
        <v>761.1080672268907</v>
      </c>
      <c r="BT55" s="2" t="n">
        <v>201.6806722689076</v>
      </c>
      <c r="BU55" s="2" t="n">
        <v>3185.440428571429</v>
      </c>
      <c r="BV55" s="2" t="n">
        <v>4148.229168067227</v>
      </c>
      <c r="BW55" s="2" t="n">
        <v>19274.99910642857</v>
      </c>
      <c r="BX55" s="2" t="n">
        <v>10604.24</v>
      </c>
      <c r="BY55" s="2" t="n">
        <v>1422.17</v>
      </c>
      <c r="BZ55" s="2" t="n">
        <v>4643.95</v>
      </c>
      <c r="CA55" s="2" t="n">
        <v>12026.41</v>
      </c>
      <c r="CB55" s="2">
        <f>(BC55+IF(BD55="",0,BD55))-BW55</f>
        <v/>
      </c>
      <c r="CC55" t="inlineStr">
        <is>
          <t>ALERT: profit/loss &lt;= -5000</t>
        </is>
      </c>
    </row>
    <row r="56">
      <c r="A56" t="n">
        <v>1224</v>
      </c>
      <c r="B56" t="inlineStr">
        <is>
          <t>Kuznica</t>
        </is>
      </c>
      <c r="C56" t="inlineStr">
        <is>
          <t>Kuźnica</t>
        </is>
      </c>
      <c r="D56" t="inlineStr">
        <is>
          <t>FAA2000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1371.27</v>
      </c>
      <c r="AP56" s="2" t="n">
        <v>4050</v>
      </c>
      <c r="AQ56" s="2" t="n">
        <v>1269.694444444444</v>
      </c>
      <c r="AR56" s="2" t="n">
        <v>0</v>
      </c>
      <c r="AS56" s="2" t="n">
        <v>1206.65</v>
      </c>
      <c r="AT56" s="2" t="n">
        <v>164.62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1371.27</v>
      </c>
      <c r="BB56" s="2" t="n">
        <v>1371.27</v>
      </c>
      <c r="BC56" s="2">
        <f>F56+L56+R56+X56+AD56+AJ56+AP56+AV56+IF(BE56="",0,BE56)</f>
        <v/>
      </c>
      <c r="BD56" s="2" t="n">
        <v>21.117558</v>
      </c>
      <c r="BE56" s="2" t="n"/>
      <c r="BF56" s="2" t="n">
        <v>1269.694444444444</v>
      </c>
      <c r="BG56" s="2" t="n">
        <v>0</v>
      </c>
      <c r="BH56" s="2" t="n">
        <v>0</v>
      </c>
      <c r="BI56" s="2" t="n">
        <v>29778.37</v>
      </c>
      <c r="BJ56" s="2" t="n">
        <v>50.22840336134454</v>
      </c>
      <c r="BK56" s="2" t="n">
        <v>0</v>
      </c>
      <c r="BL56" s="2" t="n">
        <v>20</v>
      </c>
      <c r="BM56" s="2" t="n">
        <v>0</v>
      </c>
      <c r="BN56" s="2" t="n">
        <v>5</v>
      </c>
      <c r="BO56" s="2" t="n">
        <v>0</v>
      </c>
      <c r="BP56" s="2" t="n">
        <v>18.512145</v>
      </c>
      <c r="BQ56" s="2" t="n">
        <v>0</v>
      </c>
      <c r="BR56" s="2" t="n">
        <v>29872.11054836134</v>
      </c>
      <c r="BS56" s="2" t="n">
        <v>761.1080672268907</v>
      </c>
      <c r="BT56" s="2" t="n">
        <v>201.6806722689076</v>
      </c>
      <c r="BU56" s="2" t="n">
        <v>6163.277428571429</v>
      </c>
      <c r="BV56" s="2" t="n">
        <v>7126.066168067226</v>
      </c>
      <c r="BW56" s="2" t="n">
        <v>36998.17671642857</v>
      </c>
      <c r="BX56" s="2" t="n">
        <v>1206.65</v>
      </c>
      <c r="BY56" s="2" t="n">
        <v>164.62</v>
      </c>
      <c r="BZ56" s="2" t="n">
        <v>0</v>
      </c>
      <c r="CA56" s="2" t="n">
        <v>1371.27</v>
      </c>
      <c r="CB56" s="2">
        <f>(BC56+IF(BD56="",0,BD56))-BW56</f>
        <v/>
      </c>
      <c r="CC56" t="inlineStr">
        <is>
          <t>ALERT: profit/loss &lt;= -5000</t>
        </is>
      </c>
    </row>
    <row r="57">
      <c r="A57" t="n">
        <v>1225</v>
      </c>
      <c r="B57" t="inlineStr">
        <is>
          <t>Plac Legionów 2, 37-700 Przemyśl</t>
        </is>
      </c>
      <c r="C57" t="inlineStr">
        <is>
          <t>Przemyśl</t>
        </is>
      </c>
      <c r="D57" t="inlineStr">
        <is>
          <t>FAA2000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12586.45</v>
      </c>
      <c r="L57" s="2" t="n">
        <v>1047.705421296296</v>
      </c>
      <c r="M57" s="2" t="n">
        <v>11654.12037037037</v>
      </c>
      <c r="N57" s="2" t="n">
        <v>1003.96</v>
      </c>
      <c r="O57" s="2" t="n">
        <v>11540.26</v>
      </c>
      <c r="P57" s="2" t="n">
        <v>42.23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3750.15</v>
      </c>
      <c r="AP57" s="2" t="n">
        <v>291.6783333333333</v>
      </c>
      <c r="AQ57" s="2" t="n">
        <v>3472.361111111111</v>
      </c>
      <c r="AR57" s="2" t="n">
        <v>641.89</v>
      </c>
      <c r="AS57" s="2" t="n">
        <v>3071.26</v>
      </c>
      <c r="AT57" s="2" t="n">
        <v>37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16336.6</v>
      </c>
      <c r="BB57" s="2" t="n">
        <v>14690.75</v>
      </c>
      <c r="BC57" s="2">
        <f>F57+L57+R57+X57+AD57+AJ57+AP57+AV57+IF(BE57="",0,BE57)</f>
        <v/>
      </c>
      <c r="BD57" s="2" t="n">
        <v>226.23755</v>
      </c>
      <c r="BE57" s="2" t="n"/>
      <c r="BF57" s="2" t="n">
        <v>15126.48148148148</v>
      </c>
      <c r="BG57" s="2" t="n">
        <v>0</v>
      </c>
      <c r="BH57" s="2" t="n">
        <v>0</v>
      </c>
      <c r="BI57" s="2" t="n">
        <v>29778.37</v>
      </c>
      <c r="BJ57" s="2" t="n">
        <v>50.22840336134454</v>
      </c>
      <c r="BK57" s="2" t="n">
        <v>0</v>
      </c>
      <c r="BL57" s="2" t="n">
        <v>20</v>
      </c>
      <c r="BM57" s="2" t="n">
        <v>0</v>
      </c>
      <c r="BN57" s="2" t="n">
        <v>5</v>
      </c>
      <c r="BO57" s="2" t="n">
        <v>0</v>
      </c>
      <c r="BP57" s="2" t="n">
        <v>198.325125</v>
      </c>
      <c r="BQ57" s="2" t="n">
        <v>0</v>
      </c>
      <c r="BR57" s="2" t="n">
        <v>30051.92352836134</v>
      </c>
      <c r="BS57" s="2" t="n">
        <v>761.1080672268907</v>
      </c>
      <c r="BT57" s="2" t="n">
        <v>201.6806722689076</v>
      </c>
      <c r="BU57" s="2" t="n">
        <v>6163.277428571429</v>
      </c>
      <c r="BV57" s="2" t="n">
        <v>7126.066168067226</v>
      </c>
      <c r="BW57" s="2" t="n">
        <v>37177.98969642857</v>
      </c>
      <c r="BX57" s="2" t="n">
        <v>14611.52</v>
      </c>
      <c r="BY57" s="2" t="n">
        <v>79.22999999999999</v>
      </c>
      <c r="BZ57" s="2" t="n">
        <v>1645.85</v>
      </c>
      <c r="CA57" s="2" t="n">
        <v>14690.75</v>
      </c>
      <c r="CB57" s="2">
        <f>(BC57+IF(BD57="",0,BD57))-BW57</f>
        <v/>
      </c>
      <c r="CC57" t="inlineStr">
        <is>
          <t>ALERT: profit/loss &lt;= -5000</t>
        </is>
      </c>
    </row>
    <row r="58">
      <c r="A58" t="n">
        <v>1226</v>
      </c>
      <c r="B58" t="inlineStr">
        <is>
          <t>Plac Dworcowy 3, 33-100 Tarnów</t>
        </is>
      </c>
      <c r="C58" t="inlineStr">
        <is>
          <t>Tarnów</t>
        </is>
      </c>
      <c r="D58" t="inlineStr">
        <is>
          <t>FAA2000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6937.639999999999</v>
      </c>
      <c r="L58" s="2" t="n">
        <v>577.4942925925926</v>
      </c>
      <c r="M58" s="2" t="n">
        <v>6423.74074074074</v>
      </c>
      <c r="N58" s="2" t="n">
        <v>1307.36</v>
      </c>
      <c r="O58" s="2" t="n">
        <v>5389.95</v>
      </c>
      <c r="P58" s="2" t="n">
        <v>240.33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6388.790000000001</v>
      </c>
      <c r="AP58" s="2" t="n">
        <v>496.905888888889</v>
      </c>
      <c r="AQ58" s="2" t="n">
        <v>5915.546296296297</v>
      </c>
      <c r="AR58" s="2" t="n">
        <v>1246.27</v>
      </c>
      <c r="AS58" s="2" t="n">
        <v>5036.68</v>
      </c>
      <c r="AT58" s="2" t="n">
        <v>105.84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13326.43</v>
      </c>
      <c r="BB58" s="2" t="n">
        <v>10772.8</v>
      </c>
      <c r="BC58" s="2">
        <f>F58+L58+R58+X58+AD58+AJ58+AP58+AV58+IF(BE58="",0,BE58)</f>
        <v/>
      </c>
      <c r="BD58" s="2" t="n">
        <v>165.90112</v>
      </c>
      <c r="BE58" s="2" t="n"/>
      <c r="BF58" s="2" t="n">
        <v>12339.28703703704</v>
      </c>
      <c r="BG58" s="2" t="n">
        <v>0</v>
      </c>
      <c r="BH58" s="2" t="n">
        <v>0</v>
      </c>
      <c r="BI58" s="2" t="n">
        <v>11698.64535714286</v>
      </c>
      <c r="BJ58" s="2" t="n">
        <v>50.22840336134454</v>
      </c>
      <c r="BK58" s="2" t="n">
        <v>0</v>
      </c>
      <c r="BL58" s="2" t="n">
        <v>20</v>
      </c>
      <c r="BM58" s="2" t="n">
        <v>0</v>
      </c>
      <c r="BN58" s="2" t="n">
        <v>5</v>
      </c>
      <c r="BO58" s="2" t="n">
        <v>0</v>
      </c>
      <c r="BP58" s="2" t="n">
        <v>145.4328</v>
      </c>
      <c r="BQ58" s="2" t="n">
        <v>0</v>
      </c>
      <c r="BR58" s="2" t="n">
        <v>11919.3065605042</v>
      </c>
      <c r="BS58" s="2" t="n">
        <v>761.1080672268907</v>
      </c>
      <c r="BT58" s="2" t="n">
        <v>201.6806722689076</v>
      </c>
      <c r="BU58" s="2" t="n">
        <v>2547.3325</v>
      </c>
      <c r="BV58" s="2" t="n">
        <v>3510.121239495799</v>
      </c>
      <c r="BW58" s="2" t="n">
        <v>15429.4278</v>
      </c>
      <c r="BX58" s="2" t="n">
        <v>10426.63</v>
      </c>
      <c r="BY58" s="2" t="n">
        <v>346.17</v>
      </c>
      <c r="BZ58" s="2" t="n">
        <v>2553.63</v>
      </c>
      <c r="CA58" s="2" t="n">
        <v>10772.8</v>
      </c>
      <c r="CB58" s="2">
        <f>(BC58+IF(BD58="",0,BD58))-BW58</f>
        <v/>
      </c>
      <c r="CC58" t="inlineStr">
        <is>
          <t>ALERT: profit/loss &lt;= -5000</t>
        </is>
      </c>
    </row>
    <row r="59">
      <c r="A59" t="n">
        <v>1230</v>
      </c>
      <c r="B59" t="inlineStr">
        <is>
          <t>Bohaterów Getta Warszawskiego 12, 44-100 Gliwice</t>
        </is>
      </c>
      <c r="C59" t="inlineStr">
        <is>
          <t>Gliwice</t>
        </is>
      </c>
      <c r="D59" t="inlineStr">
        <is>
          <t>ST|40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7559.88</v>
      </c>
      <c r="L59" s="2" t="n">
        <v>629.2900111111112</v>
      </c>
      <c r="M59" s="2" t="n">
        <v>6999.888888888889</v>
      </c>
      <c r="N59" s="2" t="n">
        <v>1492.04</v>
      </c>
      <c r="O59" s="2" t="n">
        <v>5365.74</v>
      </c>
      <c r="P59" s="2" t="n">
        <v>702.1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7559.88</v>
      </c>
      <c r="BB59" s="2" t="n">
        <v>6067.84</v>
      </c>
      <c r="BC59" s="2">
        <f>F59+L59+R59+X59+AD59+AJ59+AP59+AV59+IF(BE59="",0,BE59)</f>
        <v/>
      </c>
      <c r="BD59" s="2" t="n">
        <v>93.44473600000001</v>
      </c>
      <c r="BE59" s="2" t="n"/>
      <c r="BF59" s="2" t="n">
        <v>6999.888888888889</v>
      </c>
      <c r="BG59" s="2" t="n">
        <v>0</v>
      </c>
      <c r="BH59" s="2" t="n">
        <v>0</v>
      </c>
      <c r="BI59" s="2" t="n">
        <v>29778.37</v>
      </c>
      <c r="BJ59" s="2" t="n">
        <v>50.22840336134454</v>
      </c>
      <c r="BK59" s="2" t="n">
        <v>0</v>
      </c>
      <c r="BL59" s="2" t="n">
        <v>20</v>
      </c>
      <c r="BM59" s="2" t="n">
        <v>0</v>
      </c>
      <c r="BN59" s="2" t="n">
        <v>5</v>
      </c>
      <c r="BO59" s="2" t="n">
        <v>0</v>
      </c>
      <c r="BP59" s="2" t="n">
        <v>81.91584</v>
      </c>
      <c r="BQ59" s="2" t="n">
        <v>0</v>
      </c>
      <c r="BR59" s="2" t="n">
        <v>29935.51424336134</v>
      </c>
      <c r="BS59" s="2" t="n">
        <v>761.1080672268907</v>
      </c>
      <c r="BT59" s="2" t="n">
        <v>201.6806722689076</v>
      </c>
      <c r="BU59" s="2" t="n">
        <v>6163.277428571429</v>
      </c>
      <c r="BV59" s="2" t="n">
        <v>7126.066168067226</v>
      </c>
      <c r="BW59" s="2" t="n">
        <v>37061.58041142857</v>
      </c>
      <c r="BX59" s="2" t="n">
        <v>5365.74</v>
      </c>
      <c r="BY59" s="2" t="n">
        <v>702.1</v>
      </c>
      <c r="BZ59" s="2" t="n">
        <v>1492.04</v>
      </c>
      <c r="CA59" s="2" t="n">
        <v>6067.84</v>
      </c>
      <c r="CB59" s="2">
        <f>(BC59+IF(BD59="",0,BD59))-BW59</f>
        <v/>
      </c>
      <c r="CC59" t="inlineStr">
        <is>
          <t>ALERT: profit/loss &lt;= -5000</t>
        </is>
      </c>
    </row>
    <row r="60">
      <c r="A60" t="n">
        <v>1232</v>
      </c>
      <c r="B60" t="inlineStr">
        <is>
          <t>Olawa Zachodnia</t>
        </is>
      </c>
      <c r="C60" t="inlineStr">
        <is>
          <t>Oława Zachodnia</t>
        </is>
      </c>
      <c r="D60" t="inlineStr">
        <is>
          <t>ST|40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821.6799999999999</v>
      </c>
      <c r="R60" s="2" t="n">
        <v>4800</v>
      </c>
      <c r="S60" s="2" t="n">
        <v>760.8148148148147</v>
      </c>
      <c r="T60" s="2" t="n">
        <v>0</v>
      </c>
      <c r="U60" s="2" t="n">
        <v>743.51</v>
      </c>
      <c r="V60" s="2" t="n">
        <v>78.17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821.6799999999999</v>
      </c>
      <c r="BB60" s="2" t="n">
        <v>821.6799999999999</v>
      </c>
      <c r="BC60" s="2">
        <f>F60+L60+R60+X60+AD60+AJ60+AP60+AV60+IF(BE60="",0,BE60)</f>
        <v/>
      </c>
      <c r="BD60" s="2" t="n">
        <v>12.653872</v>
      </c>
      <c r="BE60" s="2" t="n"/>
      <c r="BF60" s="2" t="n">
        <v>760.8148148148147</v>
      </c>
      <c r="BG60" s="2" t="n">
        <v>0</v>
      </c>
      <c r="BH60" s="2" t="n">
        <v>0</v>
      </c>
      <c r="BI60" s="2" t="n">
        <v>29778.37</v>
      </c>
      <c r="BJ60" s="2" t="n">
        <v>50.22840336134454</v>
      </c>
      <c r="BK60" s="2" t="n">
        <v>0</v>
      </c>
      <c r="BL60" s="2" t="n">
        <v>20</v>
      </c>
      <c r="BM60" s="2" t="n">
        <v>0</v>
      </c>
      <c r="BN60" s="2" t="n">
        <v>5</v>
      </c>
      <c r="BO60" s="2" t="n">
        <v>0</v>
      </c>
      <c r="BP60" s="2" t="n">
        <v>11.09268</v>
      </c>
      <c r="BQ60" s="2" t="n">
        <v>0</v>
      </c>
      <c r="BR60" s="2" t="n">
        <v>29864.69108336134</v>
      </c>
      <c r="BS60" s="2" t="n">
        <v>761.1080672268907</v>
      </c>
      <c r="BT60" s="2" t="n">
        <v>201.6806722689076</v>
      </c>
      <c r="BU60" s="2" t="n">
        <v>6163.277428571429</v>
      </c>
      <c r="BV60" s="2" t="n">
        <v>7126.066168067226</v>
      </c>
      <c r="BW60" s="2" t="n">
        <v>36990.75725142857</v>
      </c>
      <c r="BX60" s="2" t="n">
        <v>743.51</v>
      </c>
      <c r="BY60" s="2" t="n">
        <v>78.17</v>
      </c>
      <c r="BZ60" s="2" t="n">
        <v>0</v>
      </c>
      <c r="CA60" s="2" t="n">
        <v>821.6799999999999</v>
      </c>
      <c r="CB60" s="2">
        <f>(BC60+IF(BD60="",0,BD60))-BW60</f>
        <v/>
      </c>
      <c r="CC60" t="inlineStr">
        <is>
          <t>ALERT: profit/loss &lt;= -5000</t>
        </is>
      </c>
    </row>
    <row r="61">
      <c r="A61" t="n">
        <v>1234</v>
      </c>
      <c r="B61" t="inlineStr">
        <is>
          <t>Kolejowa 88, 68-100 Żagań</t>
        </is>
      </c>
      <c r="C61" t="inlineStr">
        <is>
          <t>Żagań</t>
        </is>
      </c>
      <c r="D61" t="inlineStr">
        <is>
          <t>FAA2000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89.95999999999999</v>
      </c>
      <c r="L61" s="2" t="n">
        <v>7.488337037037037</v>
      </c>
      <c r="M61" s="2" t="n">
        <v>83.29629629629629</v>
      </c>
      <c r="N61" s="2" t="n">
        <v>0</v>
      </c>
      <c r="O61" s="2" t="n">
        <v>89.95999999999999</v>
      </c>
      <c r="P61" s="2" t="n">
        <v>0</v>
      </c>
      <c r="Q61" s="2" t="n">
        <v>3127.56</v>
      </c>
      <c r="R61" s="2" t="n">
        <v>1600</v>
      </c>
      <c r="S61" s="2" t="n">
        <v>2895.888888888889</v>
      </c>
      <c r="T61" s="2" t="n">
        <v>0</v>
      </c>
      <c r="U61" s="2" t="n">
        <v>2660.57</v>
      </c>
      <c r="V61" s="2" t="n">
        <v>466.99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3151.28</v>
      </c>
      <c r="AP61" s="2" t="n">
        <v>245.0995555555556</v>
      </c>
      <c r="AQ61" s="2" t="n">
        <v>2917.851851851852</v>
      </c>
      <c r="AR61" s="2" t="n">
        <v>0</v>
      </c>
      <c r="AS61" s="2" t="n">
        <v>2786.21</v>
      </c>
      <c r="AT61" s="2" t="n">
        <v>365.07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6368.800000000001</v>
      </c>
      <c r="BB61" s="2" t="n">
        <v>6368.800000000001</v>
      </c>
      <c r="BC61" s="2">
        <f>F61+L61+R61+X61+AD61+AJ61+AP61+AV61+IF(BE61="",0,BE61)</f>
        <v/>
      </c>
      <c r="BD61" s="2" t="n">
        <v>98.07952000000002</v>
      </c>
      <c r="BE61" s="2" t="n"/>
      <c r="BF61" s="2" t="n">
        <v>5897.037037037036</v>
      </c>
      <c r="BG61" s="2" t="n">
        <v>0</v>
      </c>
      <c r="BH61" s="2" t="n">
        <v>0</v>
      </c>
      <c r="BI61" s="2" t="n">
        <v>29778.37</v>
      </c>
      <c r="BJ61" s="2" t="n">
        <v>50.22840336134454</v>
      </c>
      <c r="BK61" s="2" t="n">
        <v>0</v>
      </c>
      <c r="BL61" s="2" t="n">
        <v>20</v>
      </c>
      <c r="BM61" s="2" t="n">
        <v>0</v>
      </c>
      <c r="BN61" s="2" t="n">
        <v>5</v>
      </c>
      <c r="BO61" s="2" t="n">
        <v>0</v>
      </c>
      <c r="BP61" s="2" t="n">
        <v>85.97880000000001</v>
      </c>
      <c r="BQ61" s="2" t="n">
        <v>0</v>
      </c>
      <c r="BR61" s="2" t="n">
        <v>29939.57720336134</v>
      </c>
      <c r="BS61" s="2" t="n">
        <v>761.1080672268907</v>
      </c>
      <c r="BT61" s="2" t="n">
        <v>201.6806722689076</v>
      </c>
      <c r="BU61" s="2" t="n">
        <v>6163.277428571429</v>
      </c>
      <c r="BV61" s="2" t="n">
        <v>7126.066168067226</v>
      </c>
      <c r="BW61" s="2" t="n">
        <v>37065.64337142857</v>
      </c>
      <c r="BX61" s="2" t="n">
        <v>5536.74</v>
      </c>
      <c r="BY61" s="2" t="n">
        <v>832.0599999999999</v>
      </c>
      <c r="BZ61" s="2" t="n">
        <v>0</v>
      </c>
      <c r="CA61" s="2" t="n">
        <v>6368.799999999999</v>
      </c>
      <c r="CB61" s="2">
        <f>(BC61+IF(BD61="",0,BD61))-BW61</f>
        <v/>
      </c>
      <c r="CC61" t="inlineStr">
        <is>
          <t>ALERT: profit/loss &lt;= -5000</t>
        </is>
      </c>
    </row>
    <row r="62">
      <c r="A62" t="n">
        <v>1235</v>
      </c>
      <c r="B62" t="inlineStr">
        <is>
          <t>Dworcowa 2, 61-801 Poznań</t>
        </is>
      </c>
      <c r="C62" t="inlineStr">
        <is>
          <t>Poznań Główny, Dworzec Zachodni</t>
        </is>
      </c>
      <c r="D62" t="inlineStr">
        <is>
          <t>FAA2000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8058.59</v>
      </c>
      <c r="L62" s="2" t="n">
        <v>670.803000925926</v>
      </c>
      <c r="M62" s="2" t="n">
        <v>7461.657407407407</v>
      </c>
      <c r="N62" s="2" t="n">
        <v>2112.42</v>
      </c>
      <c r="O62" s="2" t="n">
        <v>5682.45</v>
      </c>
      <c r="P62" s="2" t="n">
        <v>263.72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15010.95</v>
      </c>
      <c r="AD62" s="2" t="n">
        <v>972.9319444444445</v>
      </c>
      <c r="AE62" s="2" t="n">
        <v>13899.02777777778</v>
      </c>
      <c r="AF62" s="2" t="n">
        <v>3542.88</v>
      </c>
      <c r="AG62" s="2" t="n">
        <v>11236.03</v>
      </c>
      <c r="AH62" s="2" t="n">
        <v>232.04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6291.75</v>
      </c>
      <c r="AP62" s="2" t="n">
        <v>489.3583333333333</v>
      </c>
      <c r="AQ62" s="2" t="n">
        <v>5825.694444444444</v>
      </c>
      <c r="AR62" s="2" t="n">
        <v>1766.77</v>
      </c>
      <c r="AS62" s="2" t="n">
        <v>4263.63</v>
      </c>
      <c r="AT62" s="2" t="n">
        <v>261.35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29361.29</v>
      </c>
      <c r="BB62" s="2" t="n">
        <v>21939.22</v>
      </c>
      <c r="BC62" s="2">
        <f>F62+L62+R62+X62+AD62+AJ62+AP62+AV62+IF(BE62="",0,BE62)</f>
        <v/>
      </c>
      <c r="BD62" s="2" t="n">
        <v>337.8639880000001</v>
      </c>
      <c r="BE62" s="2" t="n"/>
      <c r="BF62" s="2" t="n">
        <v>27186.37962962963</v>
      </c>
      <c r="BG62" s="2" t="n">
        <v>0</v>
      </c>
      <c r="BH62" s="2" t="n">
        <v>0</v>
      </c>
      <c r="BI62" s="2" t="n">
        <v>29778.37</v>
      </c>
      <c r="BJ62" s="2" t="n">
        <v>50.22840336134454</v>
      </c>
      <c r="BK62" s="2" t="n">
        <v>0</v>
      </c>
      <c r="BL62" s="2" t="n">
        <v>20</v>
      </c>
      <c r="BM62" s="2" t="n">
        <v>0</v>
      </c>
      <c r="BN62" s="2" t="n">
        <v>5</v>
      </c>
      <c r="BO62" s="2" t="n">
        <v>0</v>
      </c>
      <c r="BP62" s="2" t="n">
        <v>296.17947</v>
      </c>
      <c r="BQ62" s="2" t="n">
        <v>0</v>
      </c>
      <c r="BR62" s="2" t="n">
        <v>30149.77787336134</v>
      </c>
      <c r="BS62" s="2" t="n">
        <v>761.1080672268907</v>
      </c>
      <c r="BT62" s="2" t="n">
        <v>201.6806722689076</v>
      </c>
      <c r="BU62" s="2" t="n">
        <v>6163.277428571429</v>
      </c>
      <c r="BV62" s="2" t="n">
        <v>7126.066168067226</v>
      </c>
      <c r="BW62" s="2" t="n">
        <v>37275.84404142857</v>
      </c>
      <c r="BX62" s="2" t="n">
        <v>21182.11</v>
      </c>
      <c r="BY62" s="2" t="n">
        <v>757.11</v>
      </c>
      <c r="BZ62" s="2" t="n">
        <v>7422.07</v>
      </c>
      <c r="CA62" s="2" t="n">
        <v>21939.22</v>
      </c>
      <c r="CB62" s="2">
        <f>(BC62+IF(BD62="",0,BD62))-BW62</f>
        <v/>
      </c>
      <c r="CC62" t="inlineStr">
        <is>
          <t>ALERT: profit/loss &lt;= -5000</t>
        </is>
      </c>
    </row>
    <row r="63">
      <c r="A63" t="n">
        <v>1236</v>
      </c>
      <c r="B63" t="inlineStr">
        <is>
          <t>Pelplin</t>
        </is>
      </c>
      <c r="C63" t="inlineStr">
        <is>
          <t>Pelplin</t>
        </is>
      </c>
      <c r="D63" t="inlineStr">
        <is>
          <t>FAA2000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1048.13</v>
      </c>
      <c r="AP63" s="2" t="n">
        <v>3900</v>
      </c>
      <c r="AQ63" s="2" t="n">
        <v>970.4907407407405</v>
      </c>
      <c r="AR63" s="2" t="n">
        <v>0</v>
      </c>
      <c r="AS63" s="2" t="n">
        <v>1011.77</v>
      </c>
      <c r="AT63" s="2" t="n">
        <v>36.36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1048.13</v>
      </c>
      <c r="BB63" s="2" t="n">
        <v>1048.13</v>
      </c>
      <c r="BC63" s="2">
        <f>F63+L63+R63+X63+AD63+AJ63+AP63+AV63+IF(BE63="",0,BE63)</f>
        <v/>
      </c>
      <c r="BD63" s="2" t="n">
        <v>16.141202</v>
      </c>
      <c r="BE63" s="2" t="n"/>
      <c r="BF63" s="2" t="n">
        <v>970.4907407407405</v>
      </c>
      <c r="BG63" s="2" t="n">
        <v>0</v>
      </c>
      <c r="BH63" s="2" t="n">
        <v>0</v>
      </c>
      <c r="BI63" s="2" t="n">
        <v>29778.37</v>
      </c>
      <c r="BJ63" s="2" t="n">
        <v>50.22840336134454</v>
      </c>
      <c r="BK63" s="2" t="n">
        <v>0</v>
      </c>
      <c r="BL63" s="2" t="n">
        <v>20</v>
      </c>
      <c r="BM63" s="2" t="n">
        <v>0</v>
      </c>
      <c r="BN63" s="2" t="n">
        <v>5</v>
      </c>
      <c r="BO63" s="2" t="n">
        <v>0</v>
      </c>
      <c r="BP63" s="2" t="n">
        <v>14.149755</v>
      </c>
      <c r="BQ63" s="2" t="n">
        <v>0</v>
      </c>
      <c r="BR63" s="2" t="n">
        <v>29867.74815836134</v>
      </c>
      <c r="BS63" s="2" t="n">
        <v>761.1080672268907</v>
      </c>
      <c r="BT63" s="2" t="n">
        <v>201.6806722689076</v>
      </c>
      <c r="BU63" s="2" t="n">
        <v>6163.277428571429</v>
      </c>
      <c r="BV63" s="2" t="n">
        <v>7126.066168067226</v>
      </c>
      <c r="BW63" s="2" t="n">
        <v>36993.81432642857</v>
      </c>
      <c r="BX63" s="2" t="n">
        <v>1011.77</v>
      </c>
      <c r="BY63" s="2" t="n">
        <v>36.36</v>
      </c>
      <c r="BZ63" s="2" t="n">
        <v>0</v>
      </c>
      <c r="CA63" s="2" t="n">
        <v>1048.13</v>
      </c>
      <c r="CB63" s="2">
        <f>(BC63+IF(BD63="",0,BD63))-BW63</f>
        <v/>
      </c>
      <c r="CC63" t="inlineStr">
        <is>
          <t>ALERT: profit/loss &lt;= -5000</t>
        </is>
      </c>
    </row>
    <row r="64">
      <c r="A64" t="n">
        <v>1237</v>
      </c>
      <c r="B64" t="inlineStr">
        <is>
          <t>Dworcowa 2, 61-801 Poznań</t>
        </is>
      </c>
      <c r="C64" t="inlineStr">
        <is>
          <t>Poznań Główny</t>
        </is>
      </c>
      <c r="D64" t="inlineStr">
        <is>
          <t>FAA2000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11560.38</v>
      </c>
      <c r="L64" s="2" t="n">
        <v>962.2945944444444</v>
      </c>
      <c r="M64" s="2" t="n">
        <v>10704.05555555555</v>
      </c>
      <c r="N64" s="2" t="n">
        <v>1148.24</v>
      </c>
      <c r="O64" s="2" t="n">
        <v>9627.379999999999</v>
      </c>
      <c r="P64" s="2" t="n">
        <v>784.76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19473.86</v>
      </c>
      <c r="AD64" s="2" t="n">
        <v>1262.19462962963</v>
      </c>
      <c r="AE64" s="2" t="n">
        <v>18031.35185185185</v>
      </c>
      <c r="AF64" s="2" t="n">
        <v>1784.45</v>
      </c>
      <c r="AG64" s="2" t="n">
        <v>16759.52</v>
      </c>
      <c r="AH64" s="2" t="n">
        <v>929.89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7176.33</v>
      </c>
      <c r="AP64" s="2" t="n">
        <v>558.159</v>
      </c>
      <c r="AQ64" s="2" t="n">
        <v>6644.749999999999</v>
      </c>
      <c r="AR64" s="2" t="n">
        <v>529.67</v>
      </c>
      <c r="AS64" s="2" t="n">
        <v>6222</v>
      </c>
      <c r="AT64" s="2" t="n">
        <v>424.66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38210.57</v>
      </c>
      <c r="BB64" s="2" t="n">
        <v>34748.21</v>
      </c>
      <c r="BC64" s="2">
        <f>F64+L64+R64+X64+AD64+AJ64+AP64+AV64+IF(BE64="",0,BE64)</f>
        <v/>
      </c>
      <c r="BD64" s="2" t="n">
        <v>535.122434</v>
      </c>
      <c r="BE64" s="2" t="n"/>
      <c r="BF64" s="2" t="n">
        <v>35380.1574074074</v>
      </c>
      <c r="BG64" s="2" t="n">
        <v>0</v>
      </c>
      <c r="BH64" s="2" t="n">
        <v>0</v>
      </c>
      <c r="BI64" s="2" t="n">
        <v>29778.37</v>
      </c>
      <c r="BJ64" s="2" t="n">
        <v>50.22840336134454</v>
      </c>
      <c r="BK64" s="2" t="n">
        <v>0</v>
      </c>
      <c r="BL64" s="2" t="n">
        <v>20</v>
      </c>
      <c r="BM64" s="2" t="n">
        <v>0</v>
      </c>
      <c r="BN64" s="2" t="n">
        <v>5</v>
      </c>
      <c r="BO64" s="2" t="n">
        <v>0</v>
      </c>
      <c r="BP64" s="2" t="n">
        <v>469.100835</v>
      </c>
      <c r="BQ64" s="2" t="n">
        <v>0</v>
      </c>
      <c r="BR64" s="2" t="n">
        <v>30322.69923836134</v>
      </c>
      <c r="BS64" s="2" t="n">
        <v>761.1080672268907</v>
      </c>
      <c r="BT64" s="2" t="n">
        <v>201.6806722689076</v>
      </c>
      <c r="BU64" s="2" t="n">
        <v>6163.277428571429</v>
      </c>
      <c r="BV64" s="2" t="n">
        <v>7126.066168067226</v>
      </c>
      <c r="BW64" s="2" t="n">
        <v>37448.76540642857</v>
      </c>
      <c r="BX64" s="2" t="n">
        <v>32608.9</v>
      </c>
      <c r="BY64" s="2" t="n">
        <v>2139.31</v>
      </c>
      <c r="BZ64" s="2" t="n">
        <v>3462.36</v>
      </c>
      <c r="CA64" s="2" t="n">
        <v>34748.21</v>
      </c>
      <c r="CB64" s="2">
        <f>(BC64+IF(BD64="",0,BD64))-BW64</f>
        <v/>
      </c>
      <c r="CC64" t="inlineStr">
        <is>
          <t>ALERT: profit/loss &lt;= -5000</t>
        </is>
      </c>
    </row>
    <row r="65">
      <c r="A65" t="n">
        <v>1238</v>
      </c>
      <c r="B65" t="inlineStr">
        <is>
          <t>Dworcowa 2, 61-801 Poznań</t>
        </is>
      </c>
      <c r="C65" t="inlineStr">
        <is>
          <t>Poznań Główny</t>
        </is>
      </c>
      <c r="D65" t="inlineStr">
        <is>
          <t>FAA2000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2816.94</v>
      </c>
      <c r="L65" s="2" t="n">
        <v>234.4841722222222</v>
      </c>
      <c r="M65" s="2" t="n">
        <v>2608.277777777777</v>
      </c>
      <c r="N65" s="2" t="n">
        <v>748.23</v>
      </c>
      <c r="O65" s="2" t="n">
        <v>1795.01</v>
      </c>
      <c r="P65" s="2" t="n">
        <v>273.7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6808.92</v>
      </c>
      <c r="AD65" s="2" t="n">
        <v>441.3188888888889</v>
      </c>
      <c r="AE65" s="2" t="n">
        <v>6304.555555555556</v>
      </c>
      <c r="AF65" s="2" t="n">
        <v>1845.94</v>
      </c>
      <c r="AG65" s="2" t="n">
        <v>4389.4</v>
      </c>
      <c r="AH65" s="2" t="n">
        <v>573.58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2061.2</v>
      </c>
      <c r="AP65" s="2" t="n">
        <v>160.3155555555556</v>
      </c>
      <c r="AQ65" s="2" t="n">
        <v>1908.518518518519</v>
      </c>
      <c r="AR65" s="2" t="n">
        <v>617.73</v>
      </c>
      <c r="AS65" s="2" t="n">
        <v>1347.65</v>
      </c>
      <c r="AT65" s="2" t="n">
        <v>95.81999999999999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11687.06</v>
      </c>
      <c r="BB65" s="2" t="n">
        <v>8475.16</v>
      </c>
      <c r="BC65" s="2">
        <f>F65+L65+R65+X65+AD65+AJ65+AP65+AV65+IF(BE65="",0,BE65)</f>
        <v/>
      </c>
      <c r="BD65" s="2" t="n">
        <v>130.517464</v>
      </c>
      <c r="BE65" s="2" t="n"/>
      <c r="BF65" s="2" t="n">
        <v>10821.35185185185</v>
      </c>
      <c r="BG65" s="2" t="n">
        <v>0</v>
      </c>
      <c r="BH65" s="2" t="n">
        <v>0</v>
      </c>
      <c r="BI65" s="2" t="n">
        <v>29778.37</v>
      </c>
      <c r="BJ65" s="2" t="n">
        <v>50.22840336134454</v>
      </c>
      <c r="BK65" s="2" t="n">
        <v>0</v>
      </c>
      <c r="BL65" s="2" t="n">
        <v>20</v>
      </c>
      <c r="BM65" s="2" t="n">
        <v>0</v>
      </c>
      <c r="BN65" s="2" t="n">
        <v>5</v>
      </c>
      <c r="BO65" s="2" t="n">
        <v>0</v>
      </c>
      <c r="BP65" s="2" t="n">
        <v>114.41466</v>
      </c>
      <c r="BQ65" s="2" t="n">
        <v>0</v>
      </c>
      <c r="BR65" s="2" t="n">
        <v>29968.01306336134</v>
      </c>
      <c r="BS65" s="2" t="n">
        <v>761.1080672268907</v>
      </c>
      <c r="BT65" s="2" t="n">
        <v>201.6806722689076</v>
      </c>
      <c r="BU65" s="2" t="n">
        <v>6163.277428571429</v>
      </c>
      <c r="BV65" s="2" t="n">
        <v>7126.066168067226</v>
      </c>
      <c r="BW65" s="2" t="n">
        <v>37094.07923142856</v>
      </c>
      <c r="BX65" s="2" t="n">
        <v>7532.059999999999</v>
      </c>
      <c r="BY65" s="2" t="n">
        <v>943.0999999999999</v>
      </c>
      <c r="BZ65" s="2" t="n">
        <v>3211.9</v>
      </c>
      <c r="CA65" s="2" t="n">
        <v>8475.16</v>
      </c>
      <c r="CB65" s="2">
        <f>(BC65+IF(BD65="",0,BD65))-BW65</f>
        <v/>
      </c>
      <c r="CC65" t="inlineStr">
        <is>
          <t>ALERT: profit/loss &lt;= -5000</t>
        </is>
      </c>
    </row>
    <row r="66">
      <c r="A66" t="n">
        <v>1239</v>
      </c>
      <c r="B66" t="inlineStr">
        <is>
          <t>Dworcowa 2, 61-801 Poznań</t>
        </is>
      </c>
      <c r="C66" t="inlineStr">
        <is>
          <t>Poznań Główny</t>
        </is>
      </c>
      <c r="D66" t="inlineStr">
        <is>
          <t>FAA2000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10736.28</v>
      </c>
      <c r="L66" s="2" t="n">
        <v>893.6959000000001</v>
      </c>
      <c r="M66" s="2" t="n">
        <v>9941</v>
      </c>
      <c r="N66" s="2" t="n">
        <v>2336.61</v>
      </c>
      <c r="O66" s="2" t="n">
        <v>7581.84</v>
      </c>
      <c r="P66" s="2" t="n">
        <v>817.83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22741.92</v>
      </c>
      <c r="AD66" s="2" t="n">
        <v>1474.013333333333</v>
      </c>
      <c r="AE66" s="2" t="n">
        <v>21057.33333333333</v>
      </c>
      <c r="AF66" s="2" t="n">
        <v>3903.85</v>
      </c>
      <c r="AG66" s="2" t="n">
        <v>17790.57</v>
      </c>
      <c r="AH66" s="2" t="n">
        <v>1047.5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6824.19</v>
      </c>
      <c r="AP66" s="2" t="n">
        <v>530.7703333333333</v>
      </c>
      <c r="AQ66" s="2" t="n">
        <v>6318.694444444443</v>
      </c>
      <c r="AR66" s="2" t="n">
        <v>1429.11</v>
      </c>
      <c r="AS66" s="2" t="n">
        <v>4947.3</v>
      </c>
      <c r="AT66" s="2" t="n">
        <v>447.78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40302.39</v>
      </c>
      <c r="BB66" s="2" t="n">
        <v>32632.82</v>
      </c>
      <c r="BC66" s="2">
        <f>F66+L66+R66+X66+AD66+AJ66+AP66+AV66+IF(BE66="",0,BE66)</f>
        <v/>
      </c>
      <c r="BD66" s="2" t="n">
        <v>502.545428</v>
      </c>
      <c r="BE66" s="2" t="n"/>
      <c r="BF66" s="2" t="n">
        <v>37317.02777777777</v>
      </c>
      <c r="BG66" s="2" t="n">
        <v>0</v>
      </c>
      <c r="BH66" s="2" t="n">
        <v>0</v>
      </c>
      <c r="BI66" s="2" t="n">
        <v>5317.566071428571</v>
      </c>
      <c r="BJ66" s="2" t="n">
        <v>50.22840336134454</v>
      </c>
      <c r="BK66" s="2" t="n">
        <v>0</v>
      </c>
      <c r="BL66" s="2" t="n">
        <v>20</v>
      </c>
      <c r="BM66" s="2" t="n">
        <v>0</v>
      </c>
      <c r="BN66" s="2" t="n">
        <v>5</v>
      </c>
      <c r="BO66" s="2" t="n">
        <v>0</v>
      </c>
      <c r="BP66" s="2" t="n">
        <v>440.5430699999999</v>
      </c>
      <c r="BQ66" s="2" t="n">
        <v>0</v>
      </c>
      <c r="BR66" s="2" t="n">
        <v>5833.337544789915</v>
      </c>
      <c r="BS66" s="2" t="n">
        <v>761.1080672268907</v>
      </c>
      <c r="BT66" s="2" t="n">
        <v>201.6806722689076</v>
      </c>
      <c r="BU66" s="2" t="n">
        <v>1271.116642857143</v>
      </c>
      <c r="BV66" s="2" t="n">
        <v>2233.905382352941</v>
      </c>
      <c r="BW66" s="2" t="n">
        <v>8067.242927142856</v>
      </c>
      <c r="BX66" s="2" t="n">
        <v>30319.71</v>
      </c>
      <c r="BY66" s="2" t="n">
        <v>2313.11</v>
      </c>
      <c r="BZ66" s="2" t="n">
        <v>7669.57</v>
      </c>
      <c r="CA66" s="2" t="n">
        <v>32632.82</v>
      </c>
      <c r="CB66" s="2">
        <f>(BC66+IF(BD66="",0,BD66))-BW66</f>
        <v/>
      </c>
    </row>
    <row r="67">
      <c r="A67" t="n">
        <v>1240</v>
      </c>
      <c r="B67" t="inlineStr">
        <is>
          <t>Dworcowa 2, 61-801 Poznań</t>
        </is>
      </c>
      <c r="C67" t="inlineStr">
        <is>
          <t>Poznań Główny</t>
        </is>
      </c>
      <c r="D67" t="inlineStr">
        <is>
          <t>FAA2000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19748.01</v>
      </c>
      <c r="L67" s="2" t="n">
        <v>1643.838980555556</v>
      </c>
      <c r="M67" s="2" t="n">
        <v>18285.19444444445</v>
      </c>
      <c r="N67" s="2" t="n">
        <v>3327.94</v>
      </c>
      <c r="O67" s="2" t="n">
        <v>15103.94</v>
      </c>
      <c r="P67" s="2" t="n">
        <v>1316.13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41608.99000000001</v>
      </c>
      <c r="AD67" s="2" t="n">
        <v>2696.878981481482</v>
      </c>
      <c r="AE67" s="2" t="n">
        <v>38526.8425925926</v>
      </c>
      <c r="AF67" s="2" t="n">
        <v>6220.5</v>
      </c>
      <c r="AG67" s="2" t="n">
        <v>32942.05</v>
      </c>
      <c r="AH67" s="2" t="n">
        <v>2446.44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12270.43</v>
      </c>
      <c r="AP67" s="2" t="n">
        <v>954.3667777777778</v>
      </c>
      <c r="AQ67" s="2" t="n">
        <v>11361.50925925926</v>
      </c>
      <c r="AR67" s="2" t="n">
        <v>1962.66</v>
      </c>
      <c r="AS67" s="2" t="n">
        <v>9586.43</v>
      </c>
      <c r="AT67" s="2" t="n">
        <v>721.34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73627.43000000001</v>
      </c>
      <c r="BB67" s="2" t="n">
        <v>62116.33</v>
      </c>
      <c r="BC67" s="2">
        <f>F67+L67+R67+X67+AD67+AJ67+AP67+AV67+IF(BE67="",0,BE67)</f>
        <v/>
      </c>
      <c r="BD67" s="2" t="n">
        <v>956.591482</v>
      </c>
      <c r="BE67" s="2" t="n"/>
      <c r="BF67" s="2" t="n">
        <v>68173.54629629631</v>
      </c>
      <c r="BG67" s="2" t="n">
        <v>0</v>
      </c>
      <c r="BH67" s="2" t="n">
        <v>0</v>
      </c>
      <c r="BI67" s="2" t="n">
        <v>5317.566071428571</v>
      </c>
      <c r="BJ67" s="2" t="n">
        <v>50.22840336134454</v>
      </c>
      <c r="BK67" s="2" t="n">
        <v>0</v>
      </c>
      <c r="BL67" s="2" t="n">
        <v>20</v>
      </c>
      <c r="BM67" s="2" t="n">
        <v>0</v>
      </c>
      <c r="BN67" s="2" t="n">
        <v>5</v>
      </c>
      <c r="BO67" s="2" t="n">
        <v>0</v>
      </c>
      <c r="BP67" s="2" t="n">
        <v>838.570455</v>
      </c>
      <c r="BQ67" s="2" t="n">
        <v>0</v>
      </c>
      <c r="BR67" s="2" t="n">
        <v>6231.364929789916</v>
      </c>
      <c r="BS67" s="2" t="n">
        <v>761.1080672268907</v>
      </c>
      <c r="BT67" s="2" t="n">
        <v>201.6806722689076</v>
      </c>
      <c r="BU67" s="2" t="n">
        <v>1271.116642857143</v>
      </c>
      <c r="BV67" s="2" t="n">
        <v>2233.905382352941</v>
      </c>
      <c r="BW67" s="2" t="n">
        <v>8465.270312142857</v>
      </c>
      <c r="BX67" s="2" t="n">
        <v>57632.42000000001</v>
      </c>
      <c r="BY67" s="2" t="n">
        <v>4483.91</v>
      </c>
      <c r="BZ67" s="2" t="n">
        <v>11511.1</v>
      </c>
      <c r="CA67" s="2" t="n">
        <v>62116.33</v>
      </c>
      <c r="CB67" s="2">
        <f>(BC67+IF(BD67="",0,BD67))-BW67</f>
        <v/>
      </c>
    </row>
    <row r="68">
      <c r="A68" t="n">
        <v>1241</v>
      </c>
      <c r="B68" t="inlineStr">
        <is>
          <t>Kolejowa 1, 62-510 Konin</t>
        </is>
      </c>
      <c r="C68" t="inlineStr">
        <is>
          <t>Konin</t>
        </is>
      </c>
      <c r="D68" t="inlineStr">
        <is>
          <t>FAA2000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2763.48</v>
      </c>
      <c r="L68" s="2" t="n">
        <v>230.0341222222222</v>
      </c>
      <c r="M68" s="2" t="n">
        <v>2558.777777777778</v>
      </c>
      <c r="N68" s="2" t="n">
        <v>725.74</v>
      </c>
      <c r="O68" s="2" t="n">
        <v>1801.03</v>
      </c>
      <c r="P68" s="2" t="n">
        <v>236.71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6578.240000000001</v>
      </c>
      <c r="AD68" s="2" t="n">
        <v>426.3674074074075</v>
      </c>
      <c r="AE68" s="2" t="n">
        <v>6090.962962962964</v>
      </c>
      <c r="AF68" s="2" t="n">
        <v>1614.3</v>
      </c>
      <c r="AG68" s="2" t="n">
        <v>4734.09</v>
      </c>
      <c r="AH68" s="2" t="n">
        <v>229.85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93</v>
      </c>
      <c r="AP68" s="2" t="n">
        <v>7.233333333333333</v>
      </c>
      <c r="AQ68" s="2" t="n">
        <v>86.1111111111111</v>
      </c>
      <c r="AR68" s="2" t="n">
        <v>0</v>
      </c>
      <c r="AS68" s="2" t="n">
        <v>93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9434.720000000001</v>
      </c>
      <c r="BB68" s="2" t="n">
        <v>7094.68</v>
      </c>
      <c r="BC68" s="2">
        <f>F68+L68+R68+X68+AD68+AJ68+AP68+AV68+IF(BE68="",0,BE68)</f>
        <v/>
      </c>
      <c r="BD68" s="2" t="n">
        <v>109.258072</v>
      </c>
      <c r="BE68" s="2" t="n"/>
      <c r="BF68" s="2" t="n">
        <v>8735.851851851852</v>
      </c>
      <c r="BG68" s="2" t="n">
        <v>0</v>
      </c>
      <c r="BH68" s="2" t="n">
        <v>0</v>
      </c>
      <c r="BI68" s="2" t="n">
        <v>29778.37</v>
      </c>
      <c r="BJ68" s="2" t="n">
        <v>50.22840336134454</v>
      </c>
      <c r="BK68" s="2" t="n">
        <v>0</v>
      </c>
      <c r="BL68" s="2" t="n">
        <v>20</v>
      </c>
      <c r="BM68" s="2" t="n">
        <v>0</v>
      </c>
      <c r="BN68" s="2" t="n">
        <v>5</v>
      </c>
      <c r="BO68" s="2" t="n">
        <v>0</v>
      </c>
      <c r="BP68" s="2" t="n">
        <v>95.77818000000001</v>
      </c>
      <c r="BQ68" s="2" t="n">
        <v>0</v>
      </c>
      <c r="BR68" s="2" t="n">
        <v>29949.37658336134</v>
      </c>
      <c r="BS68" s="2" t="n">
        <v>761.1080672268907</v>
      </c>
      <c r="BT68" s="2" t="n">
        <v>201.6806722689076</v>
      </c>
      <c r="BU68" s="2" t="n">
        <v>6163.277428571429</v>
      </c>
      <c r="BV68" s="2" t="n">
        <v>7126.066168067226</v>
      </c>
      <c r="BW68" s="2" t="n">
        <v>37075.44275142857</v>
      </c>
      <c r="BX68" s="2" t="n">
        <v>6628.12</v>
      </c>
      <c r="BY68" s="2" t="n">
        <v>466.56</v>
      </c>
      <c r="BZ68" s="2" t="n">
        <v>2340.04</v>
      </c>
      <c r="CA68" s="2" t="n">
        <v>7094.68</v>
      </c>
      <c r="CB68" s="2">
        <f>(BC68+IF(BD68="",0,BD68))-BW68</f>
        <v/>
      </c>
      <c r="CC68" t="inlineStr">
        <is>
          <t>ALERT: profit/loss &lt;= -5000</t>
        </is>
      </c>
    </row>
    <row r="69">
      <c r="A69" t="n">
        <v>1242</v>
      </c>
      <c r="B69" t="inlineStr">
        <is>
          <t>Dworcowa 1, 62-800 Kalisz</t>
        </is>
      </c>
      <c r="C69" t="inlineStr">
        <is>
          <t>Kalisz</t>
        </is>
      </c>
      <c r="D69" t="inlineStr">
        <is>
          <t>ST|40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7647.690000000001</v>
      </c>
      <c r="L69" s="2" t="n">
        <v>636.5993805555556</v>
      </c>
      <c r="M69" s="2" t="n">
        <v>7081.194444444444</v>
      </c>
      <c r="N69" s="2" t="n">
        <v>3475.71</v>
      </c>
      <c r="O69" s="2" t="n">
        <v>3684.84</v>
      </c>
      <c r="P69" s="2" t="n">
        <v>487.14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3276.99</v>
      </c>
      <c r="AD69" s="2" t="n">
        <v>212.3975</v>
      </c>
      <c r="AE69" s="2" t="n">
        <v>3034.25</v>
      </c>
      <c r="AF69" s="2" t="n">
        <v>1077.7</v>
      </c>
      <c r="AG69" s="2" t="n">
        <v>2150.62</v>
      </c>
      <c r="AH69" s="2" t="n">
        <v>48.67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6173.059999999999</v>
      </c>
      <c r="AP69" s="2" t="n">
        <v>480.1268888888889</v>
      </c>
      <c r="AQ69" s="2" t="n">
        <v>5715.796296296296</v>
      </c>
      <c r="AR69" s="2" t="n">
        <v>1593.11</v>
      </c>
      <c r="AS69" s="2" t="n">
        <v>4092.25</v>
      </c>
      <c r="AT69" s="2" t="n">
        <v>487.7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17097.74</v>
      </c>
      <c r="BB69" s="2" t="n">
        <v>10951.22</v>
      </c>
      <c r="BC69" s="2">
        <f>F69+L69+R69+X69+AD69+AJ69+AP69+AV69+IF(BE69="",0,BE69)</f>
        <v/>
      </c>
      <c r="BD69" s="2" t="n">
        <v>168.648788</v>
      </c>
      <c r="BE69" s="2" t="n"/>
      <c r="BF69" s="2" t="n">
        <v>15831.24074074074</v>
      </c>
      <c r="BG69" s="2" t="n">
        <v>0</v>
      </c>
      <c r="BH69" s="2" t="n">
        <v>0</v>
      </c>
      <c r="BI69" s="2" t="n">
        <v>29778.37</v>
      </c>
      <c r="BJ69" s="2" t="n">
        <v>50.22840336134454</v>
      </c>
      <c r="BK69" s="2" t="n">
        <v>0</v>
      </c>
      <c r="BL69" s="2" t="n">
        <v>20</v>
      </c>
      <c r="BM69" s="2" t="n">
        <v>0</v>
      </c>
      <c r="BN69" s="2" t="n">
        <v>5</v>
      </c>
      <c r="BO69" s="2" t="n">
        <v>0</v>
      </c>
      <c r="BP69" s="2" t="n">
        <v>147.84147</v>
      </c>
      <c r="BQ69" s="2" t="n">
        <v>0</v>
      </c>
      <c r="BR69" s="2" t="n">
        <v>30001.43987336134</v>
      </c>
      <c r="BS69" s="2" t="n">
        <v>761.1080672268907</v>
      </c>
      <c r="BT69" s="2" t="n">
        <v>201.6806722689076</v>
      </c>
      <c r="BU69" s="2" t="n">
        <v>6163.277428571429</v>
      </c>
      <c r="BV69" s="2" t="n">
        <v>7126.066168067226</v>
      </c>
      <c r="BW69" s="2" t="n">
        <v>37127.50604142857</v>
      </c>
      <c r="BX69" s="2" t="n">
        <v>9927.709999999999</v>
      </c>
      <c r="BY69" s="2" t="n">
        <v>1023.51</v>
      </c>
      <c r="BZ69" s="2" t="n">
        <v>6146.52</v>
      </c>
      <c r="CA69" s="2" t="n">
        <v>10951.22</v>
      </c>
      <c r="CB69" s="2">
        <f>(BC69+IF(BD69="",0,BD69))-BW69</f>
        <v/>
      </c>
      <c r="CC69" t="inlineStr">
        <is>
          <t>ALERT: profit/loss &lt;= -5000</t>
        </is>
      </c>
    </row>
    <row r="70">
      <c r="A70" t="n">
        <v>1243</v>
      </c>
      <c r="B70" t="inlineStr">
        <is>
          <t>Garbary 89, 61-757 Poznań</t>
        </is>
      </c>
      <c r="C70" t="inlineStr">
        <is>
          <t>Poznań Garbary</t>
        </is>
      </c>
      <c r="D70" t="inlineStr">
        <is>
          <t>FAA2000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12172.32</v>
      </c>
      <c r="AD70" s="2" t="n">
        <v>788.9466666666667</v>
      </c>
      <c r="AE70" s="2" t="n">
        <v>11270.66666666667</v>
      </c>
      <c r="AF70" s="2" t="n">
        <v>845.98</v>
      </c>
      <c r="AG70" s="2" t="n">
        <v>10703.62</v>
      </c>
      <c r="AH70" s="2" t="n">
        <v>622.72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1632.64</v>
      </c>
      <c r="AP70" s="2" t="n">
        <v>126.9831111111111</v>
      </c>
      <c r="AQ70" s="2" t="n">
        <v>1511.703703703703</v>
      </c>
      <c r="AR70" s="2" t="n">
        <v>102.55</v>
      </c>
      <c r="AS70" s="2" t="n">
        <v>1481.37</v>
      </c>
      <c r="AT70" s="2" t="n">
        <v>48.72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13804.96</v>
      </c>
      <c r="BB70" s="2" t="n">
        <v>12856.43</v>
      </c>
      <c r="BC70" s="2">
        <f>F70+L70+R70+X70+AD70+AJ70+AP70+AV70+IF(BE70="",0,BE70)</f>
        <v/>
      </c>
      <c r="BD70" s="2" t="n">
        <v>197.989022</v>
      </c>
      <c r="BE70" s="2" t="n"/>
      <c r="BF70" s="2" t="n">
        <v>12782.37037037037</v>
      </c>
      <c r="BG70" s="2" t="n">
        <v>0</v>
      </c>
      <c r="BH70" s="2" t="n">
        <v>0</v>
      </c>
      <c r="BI70" s="2" t="n">
        <v>5317.566071428571</v>
      </c>
      <c r="BJ70" s="2" t="n">
        <v>50.22840336134454</v>
      </c>
      <c r="BK70" s="2" t="n">
        <v>0</v>
      </c>
      <c r="BL70" s="2" t="n">
        <v>20</v>
      </c>
      <c r="BM70" s="2" t="n">
        <v>0</v>
      </c>
      <c r="BN70" s="2" t="n">
        <v>5</v>
      </c>
      <c r="BO70" s="2" t="n">
        <v>0</v>
      </c>
      <c r="BP70" s="2" t="n">
        <v>173.561805</v>
      </c>
      <c r="BQ70" s="2" t="n">
        <v>0</v>
      </c>
      <c r="BR70" s="2" t="n">
        <v>5566.356279789916</v>
      </c>
      <c r="BS70" s="2" t="n">
        <v>761.1080672268907</v>
      </c>
      <c r="BT70" s="2" t="n">
        <v>201.6806722689076</v>
      </c>
      <c r="BU70" s="2" t="n">
        <v>1271.116642857143</v>
      </c>
      <c r="BV70" s="2" t="n">
        <v>2233.905382352941</v>
      </c>
      <c r="BW70" s="2" t="n">
        <v>7800.261662142857</v>
      </c>
      <c r="BX70" s="2" t="n">
        <v>12184.99</v>
      </c>
      <c r="BY70" s="2" t="n">
        <v>671.4400000000001</v>
      </c>
      <c r="BZ70" s="2" t="n">
        <v>948.53</v>
      </c>
      <c r="CA70" s="2" t="n">
        <v>12856.43</v>
      </c>
      <c r="CB70" s="2">
        <f>(BC70+IF(BD70="",0,BD70))-BW70</f>
        <v/>
      </c>
      <c r="CC70" t="inlineStr">
        <is>
          <t>ALERT: profit/loss &lt;= -5000</t>
        </is>
      </c>
    </row>
    <row r="71">
      <c r="A71" t="n">
        <v>1244</v>
      </c>
      <c r="B71" t="inlineStr">
        <is>
          <t>Dworcowa 7, 62-200 Gniezno</t>
        </is>
      </c>
      <c r="C71" t="inlineStr">
        <is>
          <t>Gniezno</t>
        </is>
      </c>
      <c r="D71" t="inlineStr">
        <is>
          <t>FAA2000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9841.890000000001</v>
      </c>
      <c r="L71" s="2" t="n">
        <v>819.246213888889</v>
      </c>
      <c r="M71" s="2" t="n">
        <v>9112.861111111111</v>
      </c>
      <c r="N71" s="2" t="n">
        <v>1871.66</v>
      </c>
      <c r="O71" s="2" t="n">
        <v>7100.14</v>
      </c>
      <c r="P71" s="2" t="n">
        <v>870.09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13373.66</v>
      </c>
      <c r="AD71" s="2" t="n">
        <v>866.8112962962964</v>
      </c>
      <c r="AE71" s="2" t="n">
        <v>12383.01851851852</v>
      </c>
      <c r="AF71" s="2" t="n">
        <v>3958.88</v>
      </c>
      <c r="AG71" s="2" t="n">
        <v>8769.48</v>
      </c>
      <c r="AH71" s="2" t="n">
        <v>645.3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4359.76</v>
      </c>
      <c r="AP71" s="2" t="n">
        <v>339.0924444444445</v>
      </c>
      <c r="AQ71" s="2" t="n">
        <v>4036.814814814815</v>
      </c>
      <c r="AR71" s="2" t="n">
        <v>979.1</v>
      </c>
      <c r="AS71" s="2" t="n">
        <v>3105.19</v>
      </c>
      <c r="AT71" s="2" t="n">
        <v>275.47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27575.31</v>
      </c>
      <c r="BB71" s="2" t="n">
        <v>20765.67</v>
      </c>
      <c r="BC71" s="2">
        <f>F71+L71+R71+X71+AD71+AJ71+AP71+AV71+IF(BE71="",0,BE71)</f>
        <v/>
      </c>
      <c r="BD71" s="2" t="n">
        <v>319.791318</v>
      </c>
      <c r="BE71" s="2" t="n"/>
      <c r="BF71" s="2" t="n">
        <v>25532.69444444444</v>
      </c>
      <c r="BG71" s="2" t="n">
        <v>0</v>
      </c>
      <c r="BH71" s="2" t="n">
        <v>0</v>
      </c>
      <c r="BI71" s="2" t="n">
        <v>5317.566071428571</v>
      </c>
      <c r="BJ71" s="2" t="n">
        <v>50.22840336134454</v>
      </c>
      <c r="BK71" s="2" t="n">
        <v>0</v>
      </c>
      <c r="BL71" s="2" t="n">
        <v>20</v>
      </c>
      <c r="BM71" s="2" t="n">
        <v>0</v>
      </c>
      <c r="BN71" s="2" t="n">
        <v>5</v>
      </c>
      <c r="BO71" s="2" t="n">
        <v>0</v>
      </c>
      <c r="BP71" s="2" t="n">
        <v>280.336545</v>
      </c>
      <c r="BQ71" s="2" t="n">
        <v>0</v>
      </c>
      <c r="BR71" s="2" t="n">
        <v>5673.131019789916</v>
      </c>
      <c r="BS71" s="2" t="n">
        <v>761.1080672268907</v>
      </c>
      <c r="BT71" s="2" t="n">
        <v>201.6806722689076</v>
      </c>
      <c r="BU71" s="2" t="n">
        <v>1271.116642857143</v>
      </c>
      <c r="BV71" s="2" t="n">
        <v>2233.905382352941</v>
      </c>
      <c r="BW71" s="2" t="n">
        <v>7907.036402142857</v>
      </c>
      <c r="BX71" s="2" t="n">
        <v>18974.81</v>
      </c>
      <c r="BY71" s="2" t="n">
        <v>1790.86</v>
      </c>
      <c r="BZ71" s="2" t="n">
        <v>6809.64</v>
      </c>
      <c r="CA71" s="2" t="n">
        <v>20765.67</v>
      </c>
      <c r="CB71" s="2">
        <f>(BC71+IF(BD71="",0,BD71))-BW71</f>
        <v/>
      </c>
      <c r="CC71" t="inlineStr">
        <is>
          <t>ALERT: profit/loss &lt;= -5000</t>
        </is>
      </c>
    </row>
    <row r="72">
      <c r="A72" t="n">
        <v>1245</v>
      </c>
      <c r="B72" t="inlineStr">
        <is>
          <t>Plac Dworcowy 1, 80-321 Gdańsk</t>
        </is>
      </c>
      <c r="C72" t="inlineStr">
        <is>
          <t>Gdańsk Oliwa</t>
        </is>
      </c>
      <c r="D72" t="inlineStr">
        <is>
          <t>ST|40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2580.24</v>
      </c>
      <c r="L72" s="2" t="n">
        <v>214.7810888888889</v>
      </c>
      <c r="M72" s="2" t="n">
        <v>2389.111111111111</v>
      </c>
      <c r="N72" s="2" t="n">
        <v>748.35</v>
      </c>
      <c r="O72" s="2" t="n">
        <v>1794.4</v>
      </c>
      <c r="P72" s="2" t="n">
        <v>37.49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2691.96</v>
      </c>
      <c r="AP72" s="2" t="n">
        <v>209.3746666666667</v>
      </c>
      <c r="AQ72" s="2" t="n">
        <v>2492.555555555555</v>
      </c>
      <c r="AR72" s="2" t="n">
        <v>697.37</v>
      </c>
      <c r="AS72" s="2" t="n">
        <v>1940.09</v>
      </c>
      <c r="AT72" s="2" t="n">
        <v>54.5</v>
      </c>
      <c r="AU72" s="2" t="n">
        <v>1099.15</v>
      </c>
      <c r="AV72" s="2" t="n">
        <v>43.7624537037037</v>
      </c>
      <c r="AW72" s="2" t="n">
        <v>1017.731481481482</v>
      </c>
      <c r="AX72" s="2" t="n">
        <v>429.85</v>
      </c>
      <c r="AY72" s="2" t="n">
        <v>656.3</v>
      </c>
      <c r="AZ72" s="2" t="n">
        <v>13</v>
      </c>
      <c r="BA72" s="2" t="n">
        <v>6371.35</v>
      </c>
      <c r="BB72" s="2" t="n">
        <v>4495.78</v>
      </c>
      <c r="BC72" s="2">
        <f>F72+L72+R72+X72+AD72+AJ72+AP72+AV72+IF(BE72="",0,BE72)</f>
        <v/>
      </c>
      <c r="BD72" s="2" t="n">
        <v>69.235012</v>
      </c>
      <c r="BE72" s="2" t="n"/>
      <c r="BF72" s="2" t="n">
        <v>5899.398148148148</v>
      </c>
      <c r="BG72" s="2" t="n">
        <v>0</v>
      </c>
      <c r="BH72" s="2" t="n">
        <v>0</v>
      </c>
      <c r="BI72" s="2" t="n">
        <v>29778.37</v>
      </c>
      <c r="BJ72" s="2" t="n">
        <v>50.22840336134454</v>
      </c>
      <c r="BK72" s="2" t="n">
        <v>0</v>
      </c>
      <c r="BL72" s="2" t="n">
        <v>20</v>
      </c>
      <c r="BM72" s="2" t="n">
        <v>0</v>
      </c>
      <c r="BN72" s="2" t="n">
        <v>5</v>
      </c>
      <c r="BO72" s="2" t="n">
        <v>0</v>
      </c>
      <c r="BP72" s="2" t="n">
        <v>60.69303</v>
      </c>
      <c r="BQ72" s="2" t="n">
        <v>0</v>
      </c>
      <c r="BR72" s="2" t="n">
        <v>29914.29143336134</v>
      </c>
      <c r="BS72" s="2" t="n">
        <v>761.1080672268907</v>
      </c>
      <c r="BT72" s="2" t="n">
        <v>201.6806722689076</v>
      </c>
      <c r="BU72" s="2" t="n">
        <v>6163.277428571429</v>
      </c>
      <c r="BV72" s="2" t="n">
        <v>7126.066168067226</v>
      </c>
      <c r="BW72" s="2" t="n">
        <v>37040.35760142856</v>
      </c>
      <c r="BX72" s="2" t="n">
        <v>4390.79</v>
      </c>
      <c r="BY72" s="2" t="n">
        <v>104.99</v>
      </c>
      <c r="BZ72" s="2" t="n">
        <v>1875.57</v>
      </c>
      <c r="CA72" s="2" t="n">
        <v>4495.78</v>
      </c>
      <c r="CB72" s="2">
        <f>(BC72+IF(BD72="",0,BD72))-BW72</f>
        <v/>
      </c>
      <c r="CC72" t="inlineStr">
        <is>
          <t>ALERT: profit/loss &lt;= -5000</t>
        </is>
      </c>
    </row>
    <row r="73">
      <c r="A73" t="n">
        <v>1246</v>
      </c>
      <c r="B73" t="inlineStr">
        <is>
          <t>Dworcowa 1, 63-400 Ostrów Wlkp.</t>
        </is>
      </c>
      <c r="C73" t="inlineStr">
        <is>
          <t>Ostrów Wielkopolski</t>
        </is>
      </c>
      <c r="D73" t="inlineStr">
        <is>
          <t>ST|40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4261.12</v>
      </c>
      <c r="L73" s="2" t="n">
        <v>354.6987851851852</v>
      </c>
      <c r="M73" s="2" t="n">
        <v>3945.481481481481</v>
      </c>
      <c r="N73" s="2" t="n">
        <v>1504.66</v>
      </c>
      <c r="O73" s="2" t="n">
        <v>2656.46</v>
      </c>
      <c r="P73" s="2" t="n">
        <v>100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7661.79</v>
      </c>
      <c r="AD73" s="2" t="n">
        <v>496.5975</v>
      </c>
      <c r="AE73" s="2" t="n">
        <v>7094.249999999999</v>
      </c>
      <c r="AF73" s="2" t="n">
        <v>2551.23</v>
      </c>
      <c r="AG73" s="2" t="n">
        <v>4915.12</v>
      </c>
      <c r="AH73" s="2" t="n">
        <v>195.44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6545.72</v>
      </c>
      <c r="AP73" s="2" t="n">
        <v>509.1115555555555</v>
      </c>
      <c r="AQ73" s="2" t="n">
        <v>6060.851851851851</v>
      </c>
      <c r="AR73" s="2" t="n">
        <v>1859.91</v>
      </c>
      <c r="AS73" s="2" t="n">
        <v>4485.17</v>
      </c>
      <c r="AT73" s="2" t="n">
        <v>200.64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18468.63</v>
      </c>
      <c r="BB73" s="2" t="n">
        <v>12552.83</v>
      </c>
      <c r="BC73" s="2">
        <f>F73+L73+R73+X73+AD73+AJ73+AP73+AV73+IF(BE73="",0,BE73)</f>
        <v/>
      </c>
      <c r="BD73" s="2" t="n">
        <v>193.313582</v>
      </c>
      <c r="BE73" s="2" t="n"/>
      <c r="BF73" s="2" t="n">
        <v>17100.58333333333</v>
      </c>
      <c r="BG73" s="2" t="n">
        <v>0</v>
      </c>
      <c r="BH73" s="2" t="n">
        <v>0</v>
      </c>
      <c r="BI73" s="2" t="n">
        <v>29778.37</v>
      </c>
      <c r="BJ73" s="2" t="n">
        <v>50.22840336134454</v>
      </c>
      <c r="BK73" s="2" t="n">
        <v>0</v>
      </c>
      <c r="BL73" s="2" t="n">
        <v>20</v>
      </c>
      <c r="BM73" s="2" t="n">
        <v>0</v>
      </c>
      <c r="BN73" s="2" t="n">
        <v>5</v>
      </c>
      <c r="BO73" s="2" t="n">
        <v>0</v>
      </c>
      <c r="BP73" s="2" t="n">
        <v>169.463205</v>
      </c>
      <c r="BQ73" s="2" t="n">
        <v>0</v>
      </c>
      <c r="BR73" s="2" t="n">
        <v>30023.06160836134</v>
      </c>
      <c r="BS73" s="2" t="n">
        <v>761.1080672268907</v>
      </c>
      <c r="BT73" s="2" t="n">
        <v>201.6806722689076</v>
      </c>
      <c r="BU73" s="2" t="n">
        <v>6163.277428571429</v>
      </c>
      <c r="BV73" s="2" t="n">
        <v>7126.066168067226</v>
      </c>
      <c r="BW73" s="2" t="n">
        <v>37149.12777642857</v>
      </c>
      <c r="BX73" s="2" t="n">
        <v>12056.75</v>
      </c>
      <c r="BY73" s="2" t="n">
        <v>496.08</v>
      </c>
      <c r="BZ73" s="2" t="n">
        <v>5915.8</v>
      </c>
      <c r="CA73" s="2" t="n">
        <v>12552.83</v>
      </c>
      <c r="CB73" s="2">
        <f>(BC73+IF(BD73="",0,BD73))-BW73</f>
        <v/>
      </c>
      <c r="CC73" t="inlineStr">
        <is>
          <t>ALERT: profit/loss &lt;= -5000</t>
        </is>
      </c>
    </row>
    <row r="74">
      <c r="A74" t="n">
        <v>1247</v>
      </c>
      <c r="B74" t="inlineStr">
        <is>
          <t>Kujawska 1, 87-100 Toruń</t>
        </is>
      </c>
      <c r="C74" t="inlineStr">
        <is>
          <t>Toruń</t>
        </is>
      </c>
      <c r="D74" t="inlineStr">
        <is>
          <t>FAA2000</t>
        </is>
      </c>
      <c r="E74" s="2" t="n">
        <v>989.53</v>
      </c>
      <c r="F74" s="2" t="n">
        <v>1100</v>
      </c>
      <c r="G74" s="2" t="n">
        <v>916.2314814814814</v>
      </c>
      <c r="H74" s="2" t="n">
        <v>219.48</v>
      </c>
      <c r="I74" s="2" t="n">
        <v>734.75</v>
      </c>
      <c r="J74" s="2" t="n">
        <v>35.3</v>
      </c>
      <c r="K74" s="2" t="n">
        <v>3297.44</v>
      </c>
      <c r="L74" s="2" t="n">
        <v>274.4813481481481</v>
      </c>
      <c r="M74" s="2" t="n">
        <v>3053.185185185185</v>
      </c>
      <c r="N74" s="2" t="n">
        <v>751.97</v>
      </c>
      <c r="O74" s="2" t="n">
        <v>2526.22</v>
      </c>
      <c r="P74" s="2" t="n">
        <v>19.25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8793.620000000001</v>
      </c>
      <c r="AP74" s="2" t="n">
        <v>683.9482222222223</v>
      </c>
      <c r="AQ74" s="2" t="n">
        <v>8142.240740740741</v>
      </c>
      <c r="AR74" s="2" t="n">
        <v>2304.86</v>
      </c>
      <c r="AS74" s="2" t="n">
        <v>6236.6</v>
      </c>
      <c r="AT74" s="2" t="n">
        <v>252.16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13080.59</v>
      </c>
      <c r="BB74" s="2" t="n">
        <v>9804.279999999999</v>
      </c>
      <c r="BC74" s="2">
        <f>F74+L74+R74+X74+AD74+AJ74+AP74+AV74+IF(BE74="",0,BE74)</f>
        <v/>
      </c>
      <c r="BD74" s="2" t="n">
        <v>150.985912</v>
      </c>
      <c r="BE74" s="2" t="n"/>
      <c r="BF74" s="2" t="n">
        <v>12111.65740740741</v>
      </c>
      <c r="BG74" s="2" t="n">
        <v>0</v>
      </c>
      <c r="BH74" s="2" t="n">
        <v>0</v>
      </c>
      <c r="BI74" s="2" t="n">
        <v>29778.37</v>
      </c>
      <c r="BJ74" s="2" t="n">
        <v>50.22840336134454</v>
      </c>
      <c r="BK74" s="2" t="n">
        <v>0</v>
      </c>
      <c r="BL74" s="2" t="n">
        <v>20</v>
      </c>
      <c r="BM74" s="2" t="n">
        <v>0</v>
      </c>
      <c r="BN74" s="2" t="n">
        <v>5</v>
      </c>
      <c r="BO74" s="2" t="n">
        <v>0</v>
      </c>
      <c r="BP74" s="2" t="n">
        <v>132.35778</v>
      </c>
      <c r="BQ74" s="2" t="n">
        <v>0</v>
      </c>
      <c r="BR74" s="2" t="n">
        <v>29985.95618336134</v>
      </c>
      <c r="BS74" s="2" t="n">
        <v>761.1080672268907</v>
      </c>
      <c r="BT74" s="2" t="n">
        <v>201.6806722689076</v>
      </c>
      <c r="BU74" s="2" t="n">
        <v>6163.277428571429</v>
      </c>
      <c r="BV74" s="2" t="n">
        <v>7126.066168067226</v>
      </c>
      <c r="BW74" s="2" t="n">
        <v>37112.02235142857</v>
      </c>
      <c r="BX74" s="2" t="n">
        <v>9497.57</v>
      </c>
      <c r="BY74" s="2" t="n">
        <v>306.71</v>
      </c>
      <c r="BZ74" s="2" t="n">
        <v>3276.31</v>
      </c>
      <c r="CA74" s="2" t="n">
        <v>9804.279999999999</v>
      </c>
      <c r="CB74" s="2">
        <f>(BC74+IF(BD74="",0,BD74))-BW74</f>
        <v/>
      </c>
      <c r="CC74" t="inlineStr">
        <is>
          <t>ALERT: profit/loss &lt;= -5000</t>
        </is>
      </c>
    </row>
    <row r="75">
      <c r="A75" t="n">
        <v>1249</v>
      </c>
      <c r="B75" t="inlineStr">
        <is>
          <t>Stefana Okrzei 65, 87-810 Włocławek</t>
        </is>
      </c>
      <c r="C75" t="inlineStr">
        <is>
          <t>Włocławek</t>
        </is>
      </c>
      <c r="D75" t="inlineStr">
        <is>
          <t>FAA2000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1391.4</v>
      </c>
      <c r="L75" s="2" t="n">
        <v>115.8211666666667</v>
      </c>
      <c r="M75" s="2" t="n">
        <v>1288.333333333333</v>
      </c>
      <c r="N75" s="2" t="n">
        <v>484.34</v>
      </c>
      <c r="O75" s="2" t="n">
        <v>817.66</v>
      </c>
      <c r="P75" s="2" t="n">
        <v>89.40000000000001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3650.3</v>
      </c>
      <c r="AP75" s="2" t="n">
        <v>283.9122222222222</v>
      </c>
      <c r="AQ75" s="2" t="n">
        <v>3379.907407407407</v>
      </c>
      <c r="AR75" s="2" t="n">
        <v>981.2</v>
      </c>
      <c r="AS75" s="2" t="n">
        <v>2503.49</v>
      </c>
      <c r="AT75" s="2" t="n">
        <v>165.61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5041.7</v>
      </c>
      <c r="BB75" s="2" t="n">
        <v>3576.16</v>
      </c>
      <c r="BC75" s="2">
        <f>F75+L75+R75+X75+AD75+AJ75+AP75+AV75+IF(BE75="",0,BE75)</f>
        <v/>
      </c>
      <c r="BD75" s="2" t="n">
        <v>55.072864</v>
      </c>
      <c r="BE75" s="2" t="n"/>
      <c r="BF75" s="2" t="n">
        <v>4668.24074074074</v>
      </c>
      <c r="BG75" s="2" t="n">
        <v>0</v>
      </c>
      <c r="BH75" s="2" t="n">
        <v>0</v>
      </c>
      <c r="BI75" s="2" t="n">
        <v>29778.37</v>
      </c>
      <c r="BJ75" s="2" t="n">
        <v>50.22840336134454</v>
      </c>
      <c r="BK75" s="2" t="n">
        <v>0</v>
      </c>
      <c r="BL75" s="2" t="n">
        <v>20</v>
      </c>
      <c r="BM75" s="2" t="n">
        <v>0</v>
      </c>
      <c r="BN75" s="2" t="n">
        <v>5</v>
      </c>
      <c r="BO75" s="2" t="n">
        <v>0</v>
      </c>
      <c r="BP75" s="2" t="n">
        <v>48.27816</v>
      </c>
      <c r="BQ75" s="2" t="n">
        <v>0</v>
      </c>
      <c r="BR75" s="2" t="n">
        <v>29901.87656336134</v>
      </c>
      <c r="BS75" s="2" t="n">
        <v>761.1080672268907</v>
      </c>
      <c r="BT75" s="2" t="n">
        <v>201.6806722689076</v>
      </c>
      <c r="BU75" s="2" t="n">
        <v>6163.277428571429</v>
      </c>
      <c r="BV75" s="2" t="n">
        <v>7126.066168067226</v>
      </c>
      <c r="BW75" s="2" t="n">
        <v>37027.94273142857</v>
      </c>
      <c r="BX75" s="2" t="n">
        <v>3321.15</v>
      </c>
      <c r="BY75" s="2" t="n">
        <v>255.01</v>
      </c>
      <c r="BZ75" s="2" t="n">
        <v>1465.54</v>
      </c>
      <c r="CA75" s="2" t="n">
        <v>3576.16</v>
      </c>
      <c r="CB75" s="2">
        <f>(BC75+IF(BD75="",0,BD75))-BW75</f>
        <v/>
      </c>
      <c r="CC75" t="inlineStr">
        <is>
          <t>ALERT: profit/loss &lt;= -5000</t>
        </is>
      </c>
    </row>
    <row r="76">
      <c r="A76" t="n">
        <v>1250</v>
      </c>
      <c r="B76" t="inlineStr">
        <is>
          <t>Kolejowa 3, 58-540 Karpacz</t>
        </is>
      </c>
      <c r="C76" t="inlineStr">
        <is>
          <t>Karpacz</t>
        </is>
      </c>
      <c r="D76" t="inlineStr">
        <is>
          <t>ST|40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14565.09</v>
      </c>
      <c r="R76" s="2" t="n">
        <v>2400</v>
      </c>
      <c r="S76" s="2" t="n">
        <v>13486.19444444444</v>
      </c>
      <c r="T76" s="2" t="n">
        <v>0</v>
      </c>
      <c r="U76" s="2" t="n">
        <v>12453.96</v>
      </c>
      <c r="V76" s="2" t="n">
        <v>2111.13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14565.09</v>
      </c>
      <c r="BB76" s="2" t="n">
        <v>14565.09</v>
      </c>
      <c r="BC76" s="2">
        <f>F76+L76+R76+X76+AD76+AJ76+AP76+AV76+IF(BE76="",0,BE76)</f>
        <v/>
      </c>
      <c r="BD76" s="2" t="n">
        <v>224.302386</v>
      </c>
      <c r="BE76" s="2" t="n"/>
      <c r="BF76" s="2" t="n">
        <v>13486.19444444444</v>
      </c>
      <c r="BG76" s="2" t="n">
        <v>0</v>
      </c>
      <c r="BH76" s="2" t="n">
        <v>0</v>
      </c>
      <c r="BI76" s="2" t="n">
        <v>29778.37</v>
      </c>
      <c r="BJ76" s="2" t="n">
        <v>50.22840336134454</v>
      </c>
      <c r="BK76" s="2" t="n">
        <v>0</v>
      </c>
      <c r="BL76" s="2" t="n">
        <v>20</v>
      </c>
      <c r="BM76" s="2" t="n">
        <v>0</v>
      </c>
      <c r="BN76" s="2" t="n">
        <v>5</v>
      </c>
      <c r="BO76" s="2" t="n">
        <v>0</v>
      </c>
      <c r="BP76" s="2" t="n">
        <v>196.628715</v>
      </c>
      <c r="BQ76" s="2" t="n">
        <v>0</v>
      </c>
      <c r="BR76" s="2" t="n">
        <v>30050.22711836134</v>
      </c>
      <c r="BS76" s="2" t="n">
        <v>761.1080672268907</v>
      </c>
      <c r="BT76" s="2" t="n">
        <v>201.6806722689076</v>
      </c>
      <c r="BU76" s="2" t="n">
        <v>6163.277428571429</v>
      </c>
      <c r="BV76" s="2" t="n">
        <v>7126.066168067226</v>
      </c>
      <c r="BW76" s="2" t="n">
        <v>37176.29328642857</v>
      </c>
      <c r="BX76" s="2" t="n">
        <v>12453.96</v>
      </c>
      <c r="BY76" s="2" t="n">
        <v>2111.13</v>
      </c>
      <c r="BZ76" s="2" t="n">
        <v>0</v>
      </c>
      <c r="CA76" s="2" t="n">
        <v>14565.09</v>
      </c>
      <c r="CB76" s="2">
        <f>(BC76+IF(BD76="",0,BD76))-BW76</f>
        <v/>
      </c>
      <c r="CC76" t="inlineStr">
        <is>
          <t>ALERT: profit/loss &lt;= -5000</t>
        </is>
      </c>
    </row>
    <row r="77">
      <c r="A77" t="n">
        <v>1252</v>
      </c>
      <c r="B77" t="inlineStr">
        <is>
          <t>Krakowska 48, 46-020 Opole</t>
        </is>
      </c>
      <c r="C77" t="inlineStr">
        <is>
          <t>Opole Główne</t>
        </is>
      </c>
      <c r="D77" t="inlineStr">
        <is>
          <t>ST|40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8079.889999999999</v>
      </c>
      <c r="L77" s="2" t="n">
        <v>672.5760287037036</v>
      </c>
      <c r="M77" s="2" t="n">
        <v>7481.379629629629</v>
      </c>
      <c r="N77" s="2" t="n">
        <v>2423.38</v>
      </c>
      <c r="O77" s="2" t="n">
        <v>5343.44</v>
      </c>
      <c r="P77" s="2" t="n">
        <v>313.07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10621.87</v>
      </c>
      <c r="AP77" s="2" t="n">
        <v>826.1454444444444</v>
      </c>
      <c r="AQ77" s="2" t="n">
        <v>9835.064814814814</v>
      </c>
      <c r="AR77" s="2" t="n">
        <v>3052.67</v>
      </c>
      <c r="AS77" s="2" t="n">
        <v>7341.86</v>
      </c>
      <c r="AT77" s="2" t="n">
        <v>227.34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18701.76</v>
      </c>
      <c r="BB77" s="2" t="n">
        <v>13225.71</v>
      </c>
      <c r="BC77" s="2">
        <f>F77+L77+R77+X77+AD77+AJ77+AP77+AV77+IF(BE77="",0,BE77)</f>
        <v/>
      </c>
      <c r="BD77" s="2" t="n">
        <v>203.675934</v>
      </c>
      <c r="BE77" s="2" t="n"/>
      <c r="BF77" s="2" t="n">
        <v>17316.44444444444</v>
      </c>
      <c r="BG77" s="2" t="n">
        <v>0</v>
      </c>
      <c r="BH77" s="2" t="n">
        <v>0</v>
      </c>
      <c r="BI77" s="2" t="n">
        <v>29778.37</v>
      </c>
      <c r="BJ77" s="2" t="n">
        <v>50.22840336134454</v>
      </c>
      <c r="BK77" s="2" t="n">
        <v>0</v>
      </c>
      <c r="BL77" s="2" t="n">
        <v>20</v>
      </c>
      <c r="BM77" s="2" t="n">
        <v>0</v>
      </c>
      <c r="BN77" s="2" t="n">
        <v>5</v>
      </c>
      <c r="BO77" s="2" t="n">
        <v>0</v>
      </c>
      <c r="BP77" s="2" t="n">
        <v>178.547085</v>
      </c>
      <c r="BQ77" s="2" t="n">
        <v>0</v>
      </c>
      <c r="BR77" s="2" t="n">
        <v>30032.14548836134</v>
      </c>
      <c r="BS77" s="2" t="n">
        <v>761.1080672268907</v>
      </c>
      <c r="BT77" s="2" t="n">
        <v>201.6806722689076</v>
      </c>
      <c r="BU77" s="2" t="n">
        <v>6163.277428571429</v>
      </c>
      <c r="BV77" s="2" t="n">
        <v>7126.066168067226</v>
      </c>
      <c r="BW77" s="2" t="n">
        <v>37158.21165642857</v>
      </c>
      <c r="BX77" s="2" t="n">
        <v>12685.3</v>
      </c>
      <c r="BY77" s="2" t="n">
        <v>540.41</v>
      </c>
      <c r="BZ77" s="2" t="n">
        <v>5476.05</v>
      </c>
      <c r="CA77" s="2" t="n">
        <v>13225.71</v>
      </c>
      <c r="CB77" s="2">
        <f>(BC77+IF(BD77="",0,BD77))-BW77</f>
        <v/>
      </c>
      <c r="CC77" t="inlineStr">
        <is>
          <t>ALERT: profit/loss &lt;= -5000</t>
        </is>
      </c>
    </row>
    <row r="78">
      <c r="A78" t="n">
        <v>1254</v>
      </c>
      <c r="B78" t="inlineStr">
        <is>
          <t>Stacyjna 5, 53-600 Wrocław</t>
        </is>
      </c>
      <c r="C78" t="inlineStr">
        <is>
          <t>Wrocław Mikołajów</t>
        </is>
      </c>
      <c r="D78" t="inlineStr">
        <is>
          <t>FAA2000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3334.62</v>
      </c>
      <c r="L78" s="2" t="n">
        <v>277.5762388888889</v>
      </c>
      <c r="M78" s="2" t="n">
        <v>3087.611111111111</v>
      </c>
      <c r="N78" s="2" t="n">
        <v>768.66</v>
      </c>
      <c r="O78" s="2" t="n">
        <v>1956.96</v>
      </c>
      <c r="P78" s="2" t="n">
        <v>609</v>
      </c>
      <c r="Q78" s="2" t="n">
        <v>8450.82</v>
      </c>
      <c r="R78" s="2" t="n">
        <v>1600</v>
      </c>
      <c r="S78" s="2" t="n">
        <v>7824.833333333332</v>
      </c>
      <c r="T78" s="2" t="n">
        <v>1636.55</v>
      </c>
      <c r="U78" s="2" t="n">
        <v>6466.51</v>
      </c>
      <c r="V78" s="2" t="n">
        <v>347.76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6273.9</v>
      </c>
      <c r="AP78" s="2" t="n">
        <v>487.97</v>
      </c>
      <c r="AQ78" s="2" t="n">
        <v>5809.166666666666</v>
      </c>
      <c r="AR78" s="2" t="n">
        <v>1480.49</v>
      </c>
      <c r="AS78" s="2" t="n">
        <v>4428.05</v>
      </c>
      <c r="AT78" s="2" t="n">
        <v>365.36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18059.34</v>
      </c>
      <c r="BB78" s="2" t="n">
        <v>14173.64</v>
      </c>
      <c r="BC78" s="2">
        <f>F78+L78+R78+X78+AD78+AJ78+AP78+AV78+IF(BE78="",0,BE78)</f>
        <v/>
      </c>
      <c r="BD78" s="2" t="n">
        <v>218.274056</v>
      </c>
      <c r="BE78" s="2" t="n"/>
      <c r="BF78" s="2" t="n">
        <v>16721.61111111111</v>
      </c>
      <c r="BG78" s="2" t="n">
        <v>0</v>
      </c>
      <c r="BH78" s="2" t="n">
        <v>0</v>
      </c>
      <c r="BI78" s="2" t="n">
        <v>29778.37</v>
      </c>
      <c r="BJ78" s="2" t="n">
        <v>50.22840336134454</v>
      </c>
      <c r="BK78" s="2" t="n">
        <v>0</v>
      </c>
      <c r="BL78" s="2" t="n">
        <v>20</v>
      </c>
      <c r="BM78" s="2" t="n">
        <v>0</v>
      </c>
      <c r="BN78" s="2" t="n">
        <v>5</v>
      </c>
      <c r="BO78" s="2" t="n">
        <v>0</v>
      </c>
      <c r="BP78" s="2" t="n">
        <v>191.34414</v>
      </c>
      <c r="BQ78" s="2" t="n">
        <v>0</v>
      </c>
      <c r="BR78" s="2" t="n">
        <v>30044.94254336134</v>
      </c>
      <c r="BS78" s="2" t="n">
        <v>761.1080672268907</v>
      </c>
      <c r="BT78" s="2" t="n">
        <v>201.6806722689076</v>
      </c>
      <c r="BU78" s="2" t="n">
        <v>6163.277428571429</v>
      </c>
      <c r="BV78" s="2" t="n">
        <v>7126.066168067226</v>
      </c>
      <c r="BW78" s="2" t="n">
        <v>37171.00871142857</v>
      </c>
      <c r="BX78" s="2" t="n">
        <v>12851.52</v>
      </c>
      <c r="BY78" s="2" t="n">
        <v>1322.12</v>
      </c>
      <c r="BZ78" s="2" t="n">
        <v>3885.7</v>
      </c>
      <c r="CA78" s="2" t="n">
        <v>14173.64</v>
      </c>
      <c r="CB78" s="2">
        <f>(BC78+IF(BD78="",0,BD78))-BW78</f>
        <v/>
      </c>
      <c r="CC78" t="inlineStr">
        <is>
          <t>ALERT: profit/loss &lt;= -5000</t>
        </is>
      </c>
    </row>
    <row r="79">
      <c r="A79" t="n">
        <v>1256</v>
      </c>
      <c r="B79" t="inlineStr">
        <is>
          <t>Dworcowa 2, 61-801 Poznań</t>
        </is>
      </c>
      <c r="C79" t="inlineStr">
        <is>
          <t>Poznań Główny</t>
        </is>
      </c>
      <c r="D79" t="inlineStr">
        <is>
          <t>FAA2000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780.76</v>
      </c>
      <c r="L79" s="2" t="n">
        <v>64.99104074074074</v>
      </c>
      <c r="M79" s="2" t="n">
        <v>722.9259259259259</v>
      </c>
      <c r="N79" s="2" t="n">
        <v>242.69</v>
      </c>
      <c r="O79" s="2" t="n">
        <v>532.26</v>
      </c>
      <c r="P79" s="2" t="n">
        <v>5.81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3225.3</v>
      </c>
      <c r="AD79" s="2" t="n">
        <v>209.0472222222222</v>
      </c>
      <c r="AE79" s="2" t="n">
        <v>2986.388888888889</v>
      </c>
      <c r="AF79" s="2" t="n">
        <v>470.24</v>
      </c>
      <c r="AG79" s="2" t="n">
        <v>2664.89</v>
      </c>
      <c r="AH79" s="2" t="n">
        <v>90.17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823.2399999999999</v>
      </c>
      <c r="AP79" s="2" t="n">
        <v>64.02977777777777</v>
      </c>
      <c r="AQ79" s="2" t="n">
        <v>762.2592592592591</v>
      </c>
      <c r="AR79" s="2" t="n">
        <v>82.43000000000001</v>
      </c>
      <c r="AS79" s="2" t="n">
        <v>694.91</v>
      </c>
      <c r="AT79" s="2" t="n">
        <v>45.9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4829.3</v>
      </c>
      <c r="BB79" s="2" t="n">
        <v>4033.94</v>
      </c>
      <c r="BC79" s="2">
        <f>F79+L79+R79+X79+AD79+AJ79+AP79+AV79+IF(BE79="",0,BE79)</f>
        <v/>
      </c>
      <c r="BD79" s="2" t="n">
        <v>62.122676</v>
      </c>
      <c r="BE79" s="2" t="n"/>
      <c r="BF79" s="2" t="n">
        <v>4471.574074074074</v>
      </c>
      <c r="BG79" s="2" t="n">
        <v>0</v>
      </c>
      <c r="BH79" s="2" t="n">
        <v>0</v>
      </c>
      <c r="BI79" s="2" t="n">
        <v>29778.37</v>
      </c>
      <c r="BJ79" s="2" t="n">
        <v>50.22840336134454</v>
      </c>
      <c r="BK79" s="2" t="n">
        <v>0</v>
      </c>
      <c r="BL79" s="2" t="n">
        <v>20</v>
      </c>
      <c r="BM79" s="2" t="n">
        <v>0</v>
      </c>
      <c r="BN79" s="2" t="n">
        <v>5</v>
      </c>
      <c r="BO79" s="2" t="n">
        <v>0</v>
      </c>
      <c r="BP79" s="2" t="n">
        <v>54.45818999999999</v>
      </c>
      <c r="BQ79" s="2" t="n">
        <v>0</v>
      </c>
      <c r="BR79" s="2" t="n">
        <v>29908.05659336134</v>
      </c>
      <c r="BS79" s="2" t="n">
        <v>761.1080672268907</v>
      </c>
      <c r="BT79" s="2" t="n">
        <v>201.6806722689076</v>
      </c>
      <c r="BU79" s="2" t="n">
        <v>6163.277428571429</v>
      </c>
      <c r="BV79" s="2" t="n">
        <v>7126.066168067226</v>
      </c>
      <c r="BW79" s="2" t="n">
        <v>37034.12276142857</v>
      </c>
      <c r="BX79" s="2" t="n">
        <v>3892.059999999999</v>
      </c>
      <c r="BY79" s="2" t="n">
        <v>141.88</v>
      </c>
      <c r="BZ79" s="2" t="n">
        <v>795.3600000000001</v>
      </c>
      <c r="CA79" s="2" t="n">
        <v>4033.94</v>
      </c>
      <c r="CB79" s="2">
        <f>(BC79+IF(BD79="",0,BD79))-BW79</f>
        <v/>
      </c>
      <c r="CC79" t="inlineStr">
        <is>
          <t>ALERT: profit/loss &lt;= -5000</t>
        </is>
      </c>
    </row>
    <row r="80">
      <c r="A80" t="n">
        <v>1257</v>
      </c>
      <c r="B80" t="inlineStr">
        <is>
          <t>Dworcowa 2, 61-801 Poznań</t>
        </is>
      </c>
      <c r="C80" t="inlineStr">
        <is>
          <t>Poznań Główny</t>
        </is>
      </c>
      <c r="D80" t="inlineStr">
        <is>
          <t>FAA2000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3889.57</v>
      </c>
      <c r="L80" s="2" t="n">
        <v>323.7706879629629</v>
      </c>
      <c r="M80" s="2" t="n">
        <v>3601.453703703703</v>
      </c>
      <c r="N80" s="2" t="n">
        <v>748.83</v>
      </c>
      <c r="O80" s="2" t="n">
        <v>2972.74</v>
      </c>
      <c r="P80" s="2" t="n">
        <v>168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7387.679999999999</v>
      </c>
      <c r="AD80" s="2" t="n">
        <v>478.8311111111111</v>
      </c>
      <c r="AE80" s="2" t="n">
        <v>6840.444444444443</v>
      </c>
      <c r="AF80" s="2" t="n">
        <v>977.78</v>
      </c>
      <c r="AG80" s="2" t="n">
        <v>6086.53</v>
      </c>
      <c r="AH80" s="2" t="n">
        <v>323.37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1951.75</v>
      </c>
      <c r="AP80" s="2" t="n">
        <v>151.8027777777778</v>
      </c>
      <c r="AQ80" s="2" t="n">
        <v>1807.175925925926</v>
      </c>
      <c r="AR80" s="2" t="n">
        <v>326.1</v>
      </c>
      <c r="AS80" s="2" t="n">
        <v>1440.16</v>
      </c>
      <c r="AT80" s="2" t="n">
        <v>185.49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13229</v>
      </c>
      <c r="BB80" s="2" t="n">
        <v>11176.29</v>
      </c>
      <c r="BC80" s="2">
        <f>F80+L80+R80+X80+AD80+AJ80+AP80+AV80+IF(BE80="",0,BE80)</f>
        <v/>
      </c>
      <c r="BD80" s="2" t="n">
        <v>172.114866</v>
      </c>
      <c r="BE80" s="2" t="n"/>
      <c r="BF80" s="2" t="n">
        <v>12249.07407407407</v>
      </c>
      <c r="BG80" s="2" t="n">
        <v>0</v>
      </c>
      <c r="BH80" s="2" t="n">
        <v>0</v>
      </c>
      <c r="BI80" s="2" t="n">
        <v>29778.37</v>
      </c>
      <c r="BJ80" s="2" t="n">
        <v>50.22840336134454</v>
      </c>
      <c r="BK80" s="2" t="n">
        <v>0</v>
      </c>
      <c r="BL80" s="2" t="n">
        <v>20</v>
      </c>
      <c r="BM80" s="2" t="n">
        <v>0</v>
      </c>
      <c r="BN80" s="2" t="n">
        <v>5</v>
      </c>
      <c r="BO80" s="2" t="n">
        <v>0</v>
      </c>
      <c r="BP80" s="2" t="n">
        <v>150.879915</v>
      </c>
      <c r="BQ80" s="2" t="n">
        <v>0</v>
      </c>
      <c r="BR80" s="2" t="n">
        <v>30004.47831836134</v>
      </c>
      <c r="BS80" s="2" t="n">
        <v>761.1080672268907</v>
      </c>
      <c r="BT80" s="2" t="n">
        <v>201.6806722689076</v>
      </c>
      <c r="BU80" s="2" t="n">
        <v>6163.277428571429</v>
      </c>
      <c r="BV80" s="2" t="n">
        <v>7126.066168067226</v>
      </c>
      <c r="BW80" s="2" t="n">
        <v>37130.54448642857</v>
      </c>
      <c r="BX80" s="2" t="n">
        <v>10499.43</v>
      </c>
      <c r="BY80" s="2" t="n">
        <v>676.86</v>
      </c>
      <c r="BZ80" s="2" t="n">
        <v>2052.71</v>
      </c>
      <c r="CA80" s="2" t="n">
        <v>11176.29</v>
      </c>
      <c r="CB80" s="2">
        <f>(BC80+IF(BD80="",0,BD80))-BW80</f>
        <v/>
      </c>
      <c r="CC80" t="inlineStr">
        <is>
          <t>ALERT: profit/loss &lt;= -5000</t>
        </is>
      </c>
    </row>
    <row r="81">
      <c r="A81" t="n">
        <v>1259</v>
      </c>
      <c r="B81" t="inlineStr">
        <is>
          <t>Kolejowa 4, 64-020 Czempin</t>
        </is>
      </c>
      <c r="C81" t="inlineStr">
        <is>
          <t>Czempiń</t>
        </is>
      </c>
      <c r="D81" t="inlineStr">
        <is>
          <t>ST|40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2033.77</v>
      </c>
      <c r="AD81" s="2" t="n">
        <v>131.8184259259259</v>
      </c>
      <c r="AE81" s="2" t="n">
        <v>1883.12037037037</v>
      </c>
      <c r="AF81" s="2" t="n">
        <v>251.94</v>
      </c>
      <c r="AG81" s="2" t="n">
        <v>1536.81</v>
      </c>
      <c r="AH81" s="2" t="n">
        <v>245.02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1026.89</v>
      </c>
      <c r="AP81" s="2" t="n">
        <v>79.86922222222223</v>
      </c>
      <c r="AQ81" s="2" t="n">
        <v>950.8240740740741</v>
      </c>
      <c r="AR81" s="2" t="n">
        <v>144.29</v>
      </c>
      <c r="AS81" s="2" t="n">
        <v>774.96</v>
      </c>
      <c r="AT81" s="2" t="n">
        <v>107.64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3060.66</v>
      </c>
      <c r="BB81" s="2" t="n">
        <v>2664.43</v>
      </c>
      <c r="BC81" s="2">
        <f>F81+L81+R81+X81+AD81+AJ81+AP81+AV81+IF(BE81="",0,BE81)</f>
        <v/>
      </c>
      <c r="BD81" s="2" t="n">
        <v>41.032222</v>
      </c>
      <c r="BE81" s="2" t="n"/>
      <c r="BF81" s="2" t="n">
        <v>2833.944444444444</v>
      </c>
      <c r="BG81" s="2" t="n">
        <v>0</v>
      </c>
      <c r="BH81" s="2" t="n">
        <v>0</v>
      </c>
      <c r="BI81" s="2" t="n">
        <v>29778.37</v>
      </c>
      <c r="BJ81" s="2" t="n">
        <v>50.22840336134454</v>
      </c>
      <c r="BK81" s="2" t="n">
        <v>0</v>
      </c>
      <c r="BL81" s="2" t="n">
        <v>20</v>
      </c>
      <c r="BM81" s="2" t="n">
        <v>0</v>
      </c>
      <c r="BN81" s="2" t="n">
        <v>5</v>
      </c>
      <c r="BO81" s="2" t="n">
        <v>0</v>
      </c>
      <c r="BP81" s="2" t="n">
        <v>35.969805</v>
      </c>
      <c r="BQ81" s="2" t="n">
        <v>0</v>
      </c>
      <c r="BR81" s="2" t="n">
        <v>29889.56820836134</v>
      </c>
      <c r="BS81" s="2" t="n">
        <v>761.1080672268907</v>
      </c>
      <c r="BT81" s="2" t="n">
        <v>201.6806722689076</v>
      </c>
      <c r="BU81" s="2" t="n">
        <v>6163.277428571429</v>
      </c>
      <c r="BV81" s="2" t="n">
        <v>7126.066168067226</v>
      </c>
      <c r="BW81" s="2" t="n">
        <v>37015.63437642857</v>
      </c>
      <c r="BX81" s="2" t="n">
        <v>2311.77</v>
      </c>
      <c r="BY81" s="2" t="n">
        <v>352.66</v>
      </c>
      <c r="BZ81" s="2" t="n">
        <v>396.23</v>
      </c>
      <c r="CA81" s="2" t="n">
        <v>2664.43</v>
      </c>
      <c r="CB81" s="2">
        <f>(BC81+IF(BD81="",0,BD81))-BW81</f>
        <v/>
      </c>
      <c r="CC81" t="inlineStr">
        <is>
          <t>ALERT: profit/loss &lt;= -5000</t>
        </is>
      </c>
    </row>
    <row r="82">
      <c r="A82" t="n">
        <v>1261</v>
      </c>
      <c r="B82" t="inlineStr">
        <is>
          <t>Pawia 5a, 31-154 Kraków</t>
        </is>
      </c>
      <c r="C82" t="inlineStr">
        <is>
          <t>Kraków Główny</t>
        </is>
      </c>
      <c r="D82" t="inlineStr">
        <is>
          <t>FAA2000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9742.42</v>
      </c>
      <c r="L82" s="2" t="n">
        <v>810.9662574074075</v>
      </c>
      <c r="M82" s="2" t="n">
        <v>9020.759259259259</v>
      </c>
      <c r="N82" s="2" t="n">
        <v>1805.94</v>
      </c>
      <c r="O82" s="2" t="n">
        <v>7660.46</v>
      </c>
      <c r="P82" s="2" t="n">
        <v>276.02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11761.31</v>
      </c>
      <c r="X82" s="2" t="n">
        <v>880</v>
      </c>
      <c r="Y82" s="2" t="n">
        <v>10890.10185185185</v>
      </c>
      <c r="Z82" s="2" t="n">
        <v>1525.56</v>
      </c>
      <c r="AA82" s="2" t="n">
        <v>10149.34</v>
      </c>
      <c r="AB82" s="2" t="n">
        <v>86.41</v>
      </c>
      <c r="AC82" s="2" t="n">
        <v>0.3</v>
      </c>
      <c r="AD82" s="2" t="n">
        <v>0.01944444444444444</v>
      </c>
      <c r="AE82" s="2" t="n">
        <v>0.2777777777777777</v>
      </c>
      <c r="AF82" s="2" t="n">
        <v>0</v>
      </c>
      <c r="AG82" s="2" t="n">
        <v>0.3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4094.75</v>
      </c>
      <c r="AP82" s="2" t="n">
        <v>318.4805555555556</v>
      </c>
      <c r="AQ82" s="2" t="n">
        <v>3791.435185185185</v>
      </c>
      <c r="AR82" s="2" t="n">
        <v>859.9400000000001</v>
      </c>
      <c r="AS82" s="2" t="n">
        <v>3071.91</v>
      </c>
      <c r="AT82" s="2" t="n">
        <v>162.9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25598.78</v>
      </c>
      <c r="BB82" s="2" t="n">
        <v>21407.34</v>
      </c>
      <c r="BC82" s="2">
        <f>F82+L82+R82+X82+AD82+AJ82+AP82+AV82+IF(BE82="",0,BE82)</f>
        <v/>
      </c>
      <c r="BD82" s="2" t="n">
        <v>310.225111</v>
      </c>
      <c r="BE82" s="2" t="n"/>
      <c r="BF82" s="2" t="n">
        <v>23702.57407407407</v>
      </c>
      <c r="BG82" s="2" t="n">
        <v>0</v>
      </c>
      <c r="BH82" s="2" t="n">
        <v>0</v>
      </c>
      <c r="BI82" s="2" t="n">
        <v>29778.37</v>
      </c>
      <c r="BJ82" s="2" t="n">
        <v>50.22840336134454</v>
      </c>
      <c r="BK82" s="2" t="n">
        <v>0</v>
      </c>
      <c r="BL82" s="2" t="n">
        <v>20</v>
      </c>
      <c r="BM82" s="2" t="n">
        <v>0</v>
      </c>
      <c r="BN82" s="2" t="n">
        <v>5</v>
      </c>
      <c r="BO82" s="2" t="n">
        <v>0</v>
      </c>
      <c r="BP82" s="2" t="n">
        <v>288.99909</v>
      </c>
      <c r="BQ82" s="2" t="n">
        <v>0</v>
      </c>
      <c r="BR82" s="2" t="n">
        <v>30142.59749336134</v>
      </c>
      <c r="BS82" s="2" t="n">
        <v>761.1080672268907</v>
      </c>
      <c r="BT82" s="2" t="n">
        <v>201.6806722689076</v>
      </c>
      <c r="BU82" s="2" t="n">
        <v>6163.277428571429</v>
      </c>
      <c r="BV82" s="2" t="n">
        <v>7126.066168067226</v>
      </c>
      <c r="BW82" s="2" t="n">
        <v>37268.66366142857</v>
      </c>
      <c r="BX82" s="2" t="n">
        <v>20882.01</v>
      </c>
      <c r="BY82" s="2" t="n">
        <v>525.3299999999999</v>
      </c>
      <c r="BZ82" s="2" t="n">
        <v>4191.440000000001</v>
      </c>
      <c r="CA82" s="2" t="n">
        <v>21407.34</v>
      </c>
      <c r="CB82" s="2">
        <f>(BC82+IF(BD82="",0,BD82))-BW82</f>
        <v/>
      </c>
      <c r="CC82" t="inlineStr">
        <is>
          <t>ALERT: profit/loss &lt;= -5000</t>
        </is>
      </c>
    </row>
    <row r="83">
      <c r="A83" t="n">
        <v>1262</v>
      </c>
      <c r="B83" t="inlineStr">
        <is>
          <t>Pawia 5a, 31-154 Kraków</t>
        </is>
      </c>
      <c r="C83" t="inlineStr">
        <is>
          <t>Kraków Główny</t>
        </is>
      </c>
      <c r="D83" t="inlineStr">
        <is>
          <t>FAA2000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7611.360000000001</v>
      </c>
      <c r="L83" s="2" t="n">
        <v>633.5752444444445</v>
      </c>
      <c r="M83" s="2" t="n">
        <v>7047.555555555556</v>
      </c>
      <c r="N83" s="2" t="n">
        <v>1906.19</v>
      </c>
      <c r="O83" s="2" t="n">
        <v>5550.42</v>
      </c>
      <c r="P83" s="2" t="n">
        <v>154.75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9158.4</v>
      </c>
      <c r="X83" s="2" t="n">
        <v>880</v>
      </c>
      <c r="Y83" s="2" t="n">
        <v>8480</v>
      </c>
      <c r="Z83" s="2" t="n">
        <v>1379.93</v>
      </c>
      <c r="AA83" s="2" t="n">
        <v>7670.97</v>
      </c>
      <c r="AB83" s="2" t="n">
        <v>107.5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4479.21</v>
      </c>
      <c r="AP83" s="2" t="n">
        <v>348.383</v>
      </c>
      <c r="AQ83" s="2" t="n">
        <v>4147.416666666666</v>
      </c>
      <c r="AR83" s="2" t="n">
        <v>761.28</v>
      </c>
      <c r="AS83" s="2" t="n">
        <v>3655.69</v>
      </c>
      <c r="AT83" s="2" t="n">
        <v>62.24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21248.97</v>
      </c>
      <c r="BB83" s="2" t="n">
        <v>17201.57</v>
      </c>
      <c r="BC83" s="2">
        <f>F83+L83+R83+X83+AD83+AJ83+AP83+AV83+IF(BE83="",0,BE83)</f>
        <v/>
      </c>
      <c r="BD83" s="2" t="n">
        <v>250.125085</v>
      </c>
      <c r="BE83" s="2" t="n"/>
      <c r="BF83" s="2" t="n">
        <v>19674.97222222222</v>
      </c>
      <c r="BG83" s="2" t="n">
        <v>0</v>
      </c>
      <c r="BH83" s="2" t="n">
        <v>0</v>
      </c>
      <c r="BI83" s="2" t="n">
        <v>29778.37</v>
      </c>
      <c r="BJ83" s="2" t="n">
        <v>50.22840336134454</v>
      </c>
      <c r="BK83" s="2" t="n">
        <v>0</v>
      </c>
      <c r="BL83" s="2" t="n">
        <v>20</v>
      </c>
      <c r="BM83" s="2" t="n">
        <v>0</v>
      </c>
      <c r="BN83" s="2" t="n">
        <v>5</v>
      </c>
      <c r="BO83" s="2" t="n">
        <v>0</v>
      </c>
      <c r="BP83" s="2" t="n">
        <v>232.221195</v>
      </c>
      <c r="BQ83" s="2" t="n">
        <v>0</v>
      </c>
      <c r="BR83" s="2" t="n">
        <v>30085.81959836134</v>
      </c>
      <c r="BS83" s="2" t="n">
        <v>761.1080672268907</v>
      </c>
      <c r="BT83" s="2" t="n">
        <v>201.6806722689076</v>
      </c>
      <c r="BU83" s="2" t="n">
        <v>6163.277428571429</v>
      </c>
      <c r="BV83" s="2" t="n">
        <v>7126.066168067226</v>
      </c>
      <c r="BW83" s="2" t="n">
        <v>37211.88576642857</v>
      </c>
      <c r="BX83" s="2" t="n">
        <v>16877.08</v>
      </c>
      <c r="BY83" s="2" t="n">
        <v>324.49</v>
      </c>
      <c r="BZ83" s="2" t="n">
        <v>4047.4</v>
      </c>
      <c r="CA83" s="2" t="n">
        <v>17201.57</v>
      </c>
      <c r="CB83" s="2">
        <f>(BC83+IF(BD83="",0,BD83))-BW83</f>
        <v/>
      </c>
      <c r="CC83" t="inlineStr">
        <is>
          <t>ALERT: profit/loss &lt;= -5000</t>
        </is>
      </c>
    </row>
    <row r="84">
      <c r="A84" t="n">
        <v>1263</v>
      </c>
      <c r="B84" t="inlineStr">
        <is>
          <t>Pawia 5a, 31-154 Kraków</t>
        </is>
      </c>
      <c r="C84" t="inlineStr">
        <is>
          <t>Kraków Główny</t>
        </is>
      </c>
      <c r="D84" t="inlineStr">
        <is>
          <t>FAA2000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44762.04</v>
      </c>
      <c r="L84" s="2" t="n">
        <v>3726.025366666667</v>
      </c>
      <c r="M84" s="2" t="n">
        <v>41446.33333333333</v>
      </c>
      <c r="N84" s="2" t="n">
        <v>5032.38</v>
      </c>
      <c r="O84" s="2" t="n">
        <v>38700.18</v>
      </c>
      <c r="P84" s="2" t="n">
        <v>1029.48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67117.83</v>
      </c>
      <c r="X84" s="2" t="n">
        <v>880</v>
      </c>
      <c r="Y84" s="2" t="n">
        <v>62146.13888888888</v>
      </c>
      <c r="Z84" s="2" t="n">
        <v>5095.58</v>
      </c>
      <c r="AA84" s="2" t="n">
        <v>60923.23</v>
      </c>
      <c r="AB84" s="2" t="n">
        <v>1099.02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17217.68</v>
      </c>
      <c r="AP84" s="2" t="n">
        <v>1339.152888888889</v>
      </c>
      <c r="AQ84" s="2" t="n">
        <v>15942.2962962963</v>
      </c>
      <c r="AR84" s="2" t="n">
        <v>2036.15</v>
      </c>
      <c r="AS84" s="2" t="n">
        <v>14219.67</v>
      </c>
      <c r="AT84" s="2" t="n">
        <v>961.86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129097.55</v>
      </c>
      <c r="BB84" s="2" t="n">
        <v>116933.44</v>
      </c>
      <c r="BC84" s="2">
        <f>F84+L84+R84+X84+AD84+AJ84+AP84+AV84+IF(BE84="",0,BE84)</f>
        <v/>
      </c>
      <c r="BD84" s="2" t="n">
        <v>1682.932701</v>
      </c>
      <c r="BE84" s="2" t="n"/>
      <c r="BF84" s="2" t="n">
        <v>119534.7685185185</v>
      </c>
      <c r="BG84" s="2" t="n">
        <v>0</v>
      </c>
      <c r="BH84" s="2" t="n">
        <v>0</v>
      </c>
      <c r="BI84" s="2" t="n">
        <v>29778.37</v>
      </c>
      <c r="BJ84" s="2" t="n">
        <v>50.22840336134454</v>
      </c>
      <c r="BK84" s="2" t="n">
        <v>0</v>
      </c>
      <c r="BL84" s="2" t="n">
        <v>20</v>
      </c>
      <c r="BM84" s="2" t="n">
        <v>0</v>
      </c>
      <c r="BN84" s="2" t="n">
        <v>5</v>
      </c>
      <c r="BO84" s="2" t="n">
        <v>0</v>
      </c>
      <c r="BP84" s="2" t="n">
        <v>1578.60144</v>
      </c>
      <c r="BQ84" s="2" t="n">
        <v>0</v>
      </c>
      <c r="BR84" s="2" t="n">
        <v>31432.19984336134</v>
      </c>
      <c r="BS84" s="2" t="n">
        <v>761.1080672268907</v>
      </c>
      <c r="BT84" s="2" t="n">
        <v>201.6806722689076</v>
      </c>
      <c r="BU84" s="2" t="n">
        <v>6163.277428571429</v>
      </c>
      <c r="BV84" s="2" t="n">
        <v>7126.066168067226</v>
      </c>
      <c r="BW84" s="2" t="n">
        <v>38558.26601142857</v>
      </c>
      <c r="BX84" s="2" t="n">
        <v>113843.08</v>
      </c>
      <c r="BY84" s="2" t="n">
        <v>3090.36</v>
      </c>
      <c r="BZ84" s="2" t="n">
        <v>12164.11</v>
      </c>
      <c r="CA84" s="2" t="n">
        <v>116933.44</v>
      </c>
      <c r="CB84" s="2">
        <f>(BC84+IF(BD84="",0,BD84))-BW84</f>
        <v/>
      </c>
      <c r="CC84" t="inlineStr">
        <is>
          <t>ALERT: profit/loss &lt;= -5000</t>
        </is>
      </c>
    </row>
    <row r="85">
      <c r="A85" t="n">
        <v>1264</v>
      </c>
      <c r="B85" t="inlineStr">
        <is>
          <t>Dworcowa 1, 66-400 Gorzów Wlkp</t>
        </is>
      </c>
      <c r="C85" t="inlineStr">
        <is>
          <t>Gorzów Wielkopolski</t>
        </is>
      </c>
      <c r="D85" t="inlineStr">
        <is>
          <t>FAA2000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2803.05</v>
      </c>
      <c r="L85" s="2" t="n">
        <v>233.3279583333333</v>
      </c>
      <c r="M85" s="2" t="n">
        <v>2595.416666666666</v>
      </c>
      <c r="N85" s="2" t="n">
        <v>501.04</v>
      </c>
      <c r="O85" s="2" t="n">
        <v>2073.37</v>
      </c>
      <c r="P85" s="2" t="n">
        <v>228.64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7967.2</v>
      </c>
      <c r="AP85" s="2" t="n">
        <v>619.6711111111111</v>
      </c>
      <c r="AQ85" s="2" t="n">
        <v>7377.037037037036</v>
      </c>
      <c r="AR85" s="2" t="n">
        <v>2353.32</v>
      </c>
      <c r="AS85" s="2" t="n">
        <v>5034.83</v>
      </c>
      <c r="AT85" s="2" t="n">
        <v>579.05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10770.25</v>
      </c>
      <c r="BB85" s="2" t="n">
        <v>7915.889999999999</v>
      </c>
      <c r="BC85" s="2">
        <f>F85+L85+R85+X85+AD85+AJ85+AP85+AV85+IF(BE85="",0,BE85)</f>
        <v/>
      </c>
      <c r="BD85" s="2" t="n">
        <v>121.904706</v>
      </c>
      <c r="BE85" s="2" t="n"/>
      <c r="BF85" s="2" t="n">
        <v>9972.453703703703</v>
      </c>
      <c r="BG85" s="2" t="n">
        <v>0</v>
      </c>
      <c r="BH85" s="2" t="n">
        <v>0</v>
      </c>
      <c r="BI85" s="2" t="n">
        <v>29778.37</v>
      </c>
      <c r="BJ85" s="2" t="n">
        <v>50.22840336134454</v>
      </c>
      <c r="BK85" s="2" t="n">
        <v>0</v>
      </c>
      <c r="BL85" s="2" t="n">
        <v>20</v>
      </c>
      <c r="BM85" s="2" t="n">
        <v>0</v>
      </c>
      <c r="BN85" s="2" t="n">
        <v>5</v>
      </c>
      <c r="BO85" s="2" t="n">
        <v>0</v>
      </c>
      <c r="BP85" s="2" t="n">
        <v>106.864515</v>
      </c>
      <c r="BQ85" s="2" t="n">
        <v>0</v>
      </c>
      <c r="BR85" s="2" t="n">
        <v>29960.46291836134</v>
      </c>
      <c r="BS85" s="2" t="n">
        <v>761.1080672268907</v>
      </c>
      <c r="BT85" s="2" t="n">
        <v>201.6806722689076</v>
      </c>
      <c r="BU85" s="2" t="n">
        <v>6163.277428571429</v>
      </c>
      <c r="BV85" s="2" t="n">
        <v>7126.066168067226</v>
      </c>
      <c r="BW85" s="2" t="n">
        <v>37086.52908642857</v>
      </c>
      <c r="BX85" s="2" t="n">
        <v>7108.2</v>
      </c>
      <c r="BY85" s="2" t="n">
        <v>807.6899999999999</v>
      </c>
      <c r="BZ85" s="2" t="n">
        <v>2854.36</v>
      </c>
      <c r="CA85" s="2" t="n">
        <v>7915.889999999999</v>
      </c>
      <c r="CB85" s="2">
        <f>(BC85+IF(BD85="",0,BD85))-BW85</f>
        <v/>
      </c>
      <c r="CC85" t="inlineStr">
        <is>
          <t>ALERT: profit/loss &lt;= -5000</t>
        </is>
      </c>
    </row>
    <row r="86">
      <c r="A86" t="n">
        <v>1265</v>
      </c>
      <c r="B86" t="inlineStr">
        <is>
          <t>pl. Kolejarza 1, 65-024 Zielona Góra</t>
        </is>
      </c>
      <c r="C86" t="inlineStr">
        <is>
          <t>Zielona Góra</t>
        </is>
      </c>
      <c r="D86" t="inlineStr">
        <is>
          <t>FAA2000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3563.4</v>
      </c>
      <c r="L86" s="2" t="n">
        <v>296.6200555555556</v>
      </c>
      <c r="M86" s="2" t="n">
        <v>3299.444444444444</v>
      </c>
      <c r="N86" s="2" t="n">
        <v>907.11</v>
      </c>
      <c r="O86" s="2" t="n">
        <v>1949.5</v>
      </c>
      <c r="P86" s="2" t="n">
        <v>706.79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5561.73</v>
      </c>
      <c r="AP86" s="2" t="n">
        <v>432.579</v>
      </c>
      <c r="AQ86" s="2" t="n">
        <v>5149.75</v>
      </c>
      <c r="AR86" s="2" t="n">
        <v>2466.48</v>
      </c>
      <c r="AS86" s="2" t="n">
        <v>2747.79</v>
      </c>
      <c r="AT86" s="2" t="n">
        <v>347.46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9125.130000000001</v>
      </c>
      <c r="BB86" s="2" t="n">
        <v>5751.54</v>
      </c>
      <c r="BC86" s="2">
        <f>F86+L86+R86+X86+AD86+AJ86+AP86+AV86+IF(BE86="",0,BE86)</f>
        <v/>
      </c>
      <c r="BD86" s="2" t="n">
        <v>88.573716</v>
      </c>
      <c r="BE86" s="2" t="n"/>
      <c r="BF86" s="2" t="n">
        <v>8449.194444444445</v>
      </c>
      <c r="BG86" s="2" t="n">
        <v>0</v>
      </c>
      <c r="BH86" s="2" t="n">
        <v>0</v>
      </c>
      <c r="BI86" s="2" t="n">
        <v>4254.052857142857</v>
      </c>
      <c r="BJ86" s="2" t="n">
        <v>50.22840336134454</v>
      </c>
      <c r="BK86" s="2" t="n">
        <v>0</v>
      </c>
      <c r="BL86" s="2" t="n">
        <v>20</v>
      </c>
      <c r="BM86" s="2" t="n">
        <v>0</v>
      </c>
      <c r="BN86" s="2" t="n">
        <v>5</v>
      </c>
      <c r="BO86" s="2" t="n">
        <v>0</v>
      </c>
      <c r="BP86" s="2" t="n">
        <v>77.64579000000001</v>
      </c>
      <c r="BQ86" s="2" t="n">
        <v>0</v>
      </c>
      <c r="BR86" s="2" t="n">
        <v>4406.9270505042</v>
      </c>
      <c r="BS86" s="2" t="n">
        <v>761.1080672268907</v>
      </c>
      <c r="BT86" s="2" t="n">
        <v>201.6806722689076</v>
      </c>
      <c r="BU86" s="2" t="n">
        <v>1058.414</v>
      </c>
      <c r="BV86" s="2" t="n">
        <v>2021.202739495798</v>
      </c>
      <c r="BW86" s="2" t="n">
        <v>6428.129789999999</v>
      </c>
      <c r="BX86" s="2" t="n">
        <v>4697.29</v>
      </c>
      <c r="BY86" s="2" t="n">
        <v>1054.25</v>
      </c>
      <c r="BZ86" s="2" t="n">
        <v>3373.59</v>
      </c>
      <c r="CA86" s="2" t="n">
        <v>5751.54</v>
      </c>
      <c r="CB86" s="2">
        <f>(BC86+IF(BD86="",0,BD86))-BW86</f>
        <v/>
      </c>
      <c r="CC86" t="inlineStr">
        <is>
          <t>ALERT: profit/loss &lt;= -5000</t>
        </is>
      </c>
    </row>
    <row r="87">
      <c r="A87" t="n">
        <v>1266</v>
      </c>
      <c r="B87" t="inlineStr">
        <is>
          <t>Dworcowa 1, 64-100 Leszno</t>
        </is>
      </c>
      <c r="C87" t="inlineStr">
        <is>
          <t>Leszno</t>
        </is>
      </c>
      <c r="D87" t="inlineStr">
        <is>
          <t>FAA2000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6643.79</v>
      </c>
      <c r="L87" s="2" t="n">
        <v>553.034000925926</v>
      </c>
      <c r="M87" s="2" t="n">
        <v>6151.657407407407</v>
      </c>
      <c r="N87" s="2" t="n">
        <v>0</v>
      </c>
      <c r="O87" s="2" t="n">
        <v>5647.14</v>
      </c>
      <c r="P87" s="2" t="n">
        <v>996.65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5094.43</v>
      </c>
      <c r="AD87" s="2" t="n">
        <v>330.1945370370371</v>
      </c>
      <c r="AE87" s="2" t="n">
        <v>4717.064814814815</v>
      </c>
      <c r="AF87" s="2" t="n">
        <v>0</v>
      </c>
      <c r="AG87" s="2" t="n">
        <v>4558.34</v>
      </c>
      <c r="AH87" s="2" t="n">
        <v>536.09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2192.91</v>
      </c>
      <c r="AP87" s="2" t="n">
        <v>170.5596666666667</v>
      </c>
      <c r="AQ87" s="2" t="n">
        <v>2030.472222222222</v>
      </c>
      <c r="AR87" s="2" t="n">
        <v>0</v>
      </c>
      <c r="AS87" s="2" t="n">
        <v>1917.67</v>
      </c>
      <c r="AT87" s="2" t="n">
        <v>275.24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13931.13</v>
      </c>
      <c r="BB87" s="2" t="n">
        <v>13931.13</v>
      </c>
      <c r="BC87" s="2">
        <f>F87+L87+R87+X87+AD87+AJ87+AP87+AV87+IF(BE87="",0,BE87)</f>
        <v/>
      </c>
      <c r="BD87" s="2" t="n">
        <v>214.539402</v>
      </c>
      <c r="BE87" s="2" t="n"/>
      <c r="BF87" s="2" t="n">
        <v>12899.19444444445</v>
      </c>
      <c r="BG87" s="2" t="n">
        <v>0</v>
      </c>
      <c r="BH87" s="2" t="n">
        <v>0</v>
      </c>
      <c r="BI87" s="2" t="n">
        <v>29778.37</v>
      </c>
      <c r="BJ87" s="2" t="n">
        <v>50.22840336134454</v>
      </c>
      <c r="BK87" s="2" t="n">
        <v>0</v>
      </c>
      <c r="BL87" s="2" t="n">
        <v>20</v>
      </c>
      <c r="BM87" s="2" t="n">
        <v>0</v>
      </c>
      <c r="BN87" s="2" t="n">
        <v>5</v>
      </c>
      <c r="BO87" s="2" t="n">
        <v>0</v>
      </c>
      <c r="BP87" s="2" t="n">
        <v>188.070255</v>
      </c>
      <c r="BQ87" s="2" t="n">
        <v>0</v>
      </c>
      <c r="BR87" s="2" t="n">
        <v>30041.66865836134</v>
      </c>
      <c r="BS87" s="2" t="n">
        <v>761.1080672268907</v>
      </c>
      <c r="BT87" s="2" t="n">
        <v>201.6806722689076</v>
      </c>
      <c r="BU87" s="2" t="n">
        <v>6163.277428571429</v>
      </c>
      <c r="BV87" s="2" t="n">
        <v>7126.066168067226</v>
      </c>
      <c r="BW87" s="2" t="n">
        <v>37167.73482642857</v>
      </c>
      <c r="BX87" s="2" t="n">
        <v>12123.15</v>
      </c>
      <c r="BY87" s="2" t="n">
        <v>1807.98</v>
      </c>
      <c r="BZ87" s="2" t="n">
        <v>0</v>
      </c>
      <c r="CA87" s="2" t="n">
        <v>13931.13</v>
      </c>
      <c r="CB87" s="2">
        <f>(BC87+IF(BD87="",0,BD87))-BW87</f>
        <v/>
      </c>
      <c r="CC87" t="inlineStr">
        <is>
          <t>ALERT: profit/loss &lt;= -5000</t>
        </is>
      </c>
    </row>
    <row r="88">
      <c r="A88" t="n">
        <v>1267</v>
      </c>
      <c r="B88" t="inlineStr">
        <is>
          <t>Pawia 5a, 31-154 Kraków</t>
        </is>
      </c>
      <c r="C88" t="inlineStr">
        <is>
          <t>Kraków Główny</t>
        </is>
      </c>
      <c r="D88" t="inlineStr">
        <is>
          <t>FAA2000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7944.35</v>
      </c>
      <c r="L88" s="2" t="n">
        <v>661.2935787037037</v>
      </c>
      <c r="M88" s="2" t="n">
        <v>7355.87962962963</v>
      </c>
      <c r="N88" s="2" t="n">
        <v>1802.37</v>
      </c>
      <c r="O88" s="2" t="n">
        <v>5812.63</v>
      </c>
      <c r="P88" s="2" t="n">
        <v>329.35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22729.95</v>
      </c>
      <c r="X88" s="2" t="n">
        <v>880</v>
      </c>
      <c r="Y88" s="2" t="n">
        <v>21046.25</v>
      </c>
      <c r="Z88" s="2" t="n">
        <v>2345.63</v>
      </c>
      <c r="AA88" s="2" t="n">
        <v>19731.95</v>
      </c>
      <c r="AB88" s="2" t="n">
        <v>652.37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4399.169999999999</v>
      </c>
      <c r="AP88" s="2" t="n">
        <v>342.1576666666666</v>
      </c>
      <c r="AQ88" s="2" t="n">
        <v>4073.305555555554</v>
      </c>
      <c r="AR88" s="2" t="n">
        <v>680.54</v>
      </c>
      <c r="AS88" s="2" t="n">
        <v>3441.18</v>
      </c>
      <c r="AT88" s="2" t="n">
        <v>277.45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35073.47</v>
      </c>
      <c r="BB88" s="2" t="n">
        <v>30244.93</v>
      </c>
      <c r="BC88" s="2">
        <f>F88+L88+R88+X88+AD88+AJ88+AP88+AV88+IF(BE88="",0,BE88)</f>
        <v/>
      </c>
      <c r="BD88" s="2" t="n">
        <v>427.041714</v>
      </c>
      <c r="BE88" s="2" t="n"/>
      <c r="BF88" s="2" t="n">
        <v>32475.43518518518</v>
      </c>
      <c r="BG88" s="2" t="n">
        <v>0</v>
      </c>
      <c r="BH88" s="2" t="n">
        <v>0</v>
      </c>
      <c r="BI88" s="2" t="n">
        <v>29778.37</v>
      </c>
      <c r="BJ88" s="2" t="n">
        <v>50.22840336134454</v>
      </c>
      <c r="BK88" s="2" t="n">
        <v>0</v>
      </c>
      <c r="BL88" s="2" t="n">
        <v>20</v>
      </c>
      <c r="BM88" s="2" t="n">
        <v>0</v>
      </c>
      <c r="BN88" s="2" t="n">
        <v>5</v>
      </c>
      <c r="BO88" s="2" t="n">
        <v>0</v>
      </c>
      <c r="BP88" s="2" t="n">
        <v>408.306555</v>
      </c>
      <c r="BQ88" s="2" t="n">
        <v>0</v>
      </c>
      <c r="BR88" s="2" t="n">
        <v>30261.90495836134</v>
      </c>
      <c r="BS88" s="2" t="n">
        <v>761.1080672268907</v>
      </c>
      <c r="BT88" s="2" t="n">
        <v>201.6806722689076</v>
      </c>
      <c r="BU88" s="2" t="n">
        <v>6163.277428571429</v>
      </c>
      <c r="BV88" s="2" t="n">
        <v>7126.066168067226</v>
      </c>
      <c r="BW88" s="2" t="n">
        <v>37387.97112642857</v>
      </c>
      <c r="BX88" s="2" t="n">
        <v>28985.76</v>
      </c>
      <c r="BY88" s="2" t="n">
        <v>1259.17</v>
      </c>
      <c r="BZ88" s="2" t="n">
        <v>4828.54</v>
      </c>
      <c r="CA88" s="2" t="n">
        <v>30244.93</v>
      </c>
      <c r="CB88" s="2">
        <f>(BC88+IF(BD88="",0,BD88))-BW88</f>
        <v/>
      </c>
      <c r="CC88" t="inlineStr">
        <is>
          <t>ALERT: profit/loss &lt;= -5000</t>
        </is>
      </c>
    </row>
    <row r="89">
      <c r="A89" t="n">
        <v>1268</v>
      </c>
      <c r="B89" t="inlineStr">
        <is>
          <t>Kolejowa 5, 83-200 Starogard Gdański</t>
        </is>
      </c>
      <c r="C89" t="inlineStr">
        <is>
          <t>Starogard Gdański</t>
        </is>
      </c>
      <c r="D89" t="inlineStr">
        <is>
          <t>FAA2000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15119.18</v>
      </c>
      <c r="AP89" s="2" t="n">
        <v>4200</v>
      </c>
      <c r="AQ89" s="2" t="n">
        <v>13999.24074074074</v>
      </c>
      <c r="AR89" s="2" t="n">
        <v>5871.84</v>
      </c>
      <c r="AS89" s="2" t="n">
        <v>8342.379999999999</v>
      </c>
      <c r="AT89" s="2" t="n">
        <v>904.96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15119.18</v>
      </c>
      <c r="BB89" s="2" t="n">
        <v>9247.34</v>
      </c>
      <c r="BC89" s="2">
        <f>F89+L89+R89+X89+AD89+AJ89+AP89+AV89+IF(BE89="",0,BE89)</f>
        <v/>
      </c>
      <c r="BD89" s="2" t="n">
        <v>142.409036</v>
      </c>
      <c r="BE89" s="2" t="n"/>
      <c r="BF89" s="2" t="n">
        <v>13999.24074074074</v>
      </c>
      <c r="BG89" s="2" t="n">
        <v>0</v>
      </c>
      <c r="BH89" s="2" t="n">
        <v>0</v>
      </c>
      <c r="BI89" s="2" t="n">
        <v>29778.37</v>
      </c>
      <c r="BJ89" s="2" t="n">
        <v>50.22840336134454</v>
      </c>
      <c r="BK89" s="2" t="n">
        <v>0</v>
      </c>
      <c r="BL89" s="2" t="n">
        <v>20</v>
      </c>
      <c r="BM89" s="2" t="n">
        <v>0</v>
      </c>
      <c r="BN89" s="2" t="n">
        <v>5</v>
      </c>
      <c r="BO89" s="2" t="n">
        <v>0</v>
      </c>
      <c r="BP89" s="2" t="n">
        <v>124.83909</v>
      </c>
      <c r="BQ89" s="2" t="n">
        <v>0</v>
      </c>
      <c r="BR89" s="2" t="n">
        <v>29978.43749336134</v>
      </c>
      <c r="BS89" s="2" t="n">
        <v>761.1080672268907</v>
      </c>
      <c r="BT89" s="2" t="n">
        <v>201.6806722689076</v>
      </c>
      <c r="BU89" s="2" t="n">
        <v>6163.277428571429</v>
      </c>
      <c r="BV89" s="2" t="n">
        <v>7126.066168067226</v>
      </c>
      <c r="BW89" s="2" t="n">
        <v>37104.50366142857</v>
      </c>
      <c r="BX89" s="2" t="n">
        <v>8342.379999999999</v>
      </c>
      <c r="BY89" s="2" t="n">
        <v>904.96</v>
      </c>
      <c r="BZ89" s="2" t="n">
        <v>5871.84</v>
      </c>
      <c r="CA89" s="2" t="n">
        <v>9247.34</v>
      </c>
      <c r="CB89" s="2">
        <f>(BC89+IF(BD89="",0,BD89))-BW89</f>
        <v/>
      </c>
      <c r="CC89" t="inlineStr">
        <is>
          <t>ALERT: profit/loss &lt;= -5000</t>
        </is>
      </c>
    </row>
    <row r="90">
      <c r="A90" t="n">
        <v>1269</v>
      </c>
      <c r="B90" t="inlineStr">
        <is>
          <t>Podwale Grodzkie 1, 80-895 Gdańsk</t>
        </is>
      </c>
      <c r="C90" t="inlineStr">
        <is>
          <t>Gdańsk Główny</t>
        </is>
      </c>
      <c r="D90" t="inlineStr">
        <is>
          <t>ST|40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9764.609999999999</v>
      </c>
      <c r="L90" s="2" t="n">
        <v>812.8133694444443</v>
      </c>
      <c r="M90" s="2" t="n">
        <v>9041.305555555553</v>
      </c>
      <c r="N90" s="2" t="n">
        <v>3282.29</v>
      </c>
      <c r="O90" s="2" t="n">
        <v>6130.86</v>
      </c>
      <c r="P90" s="2" t="n">
        <v>351.46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6572.099999999999</v>
      </c>
      <c r="AP90" s="2" t="n">
        <v>511.1633333333332</v>
      </c>
      <c r="AQ90" s="2" t="n">
        <v>6085.277777777776</v>
      </c>
      <c r="AR90" s="2" t="n">
        <v>2664.68</v>
      </c>
      <c r="AS90" s="2" t="n">
        <v>3711.81</v>
      </c>
      <c r="AT90" s="2" t="n">
        <v>195.61</v>
      </c>
      <c r="AU90" s="2" t="n">
        <v>2173.2</v>
      </c>
      <c r="AV90" s="2" t="n">
        <v>86.52555555555554</v>
      </c>
      <c r="AW90" s="2" t="n">
        <v>2012.222222222222</v>
      </c>
      <c r="AX90" s="2" t="n">
        <v>471.1</v>
      </c>
      <c r="AY90" s="2" t="n">
        <v>1558.9</v>
      </c>
      <c r="AZ90" s="2" t="n">
        <v>143.2</v>
      </c>
      <c r="BA90" s="2" t="n">
        <v>18509.91</v>
      </c>
      <c r="BB90" s="2" t="n">
        <v>12091.84</v>
      </c>
      <c r="BC90" s="2">
        <f>F90+L90+R90+X90+AD90+AJ90+AP90+AV90+IF(BE90="",0,BE90)</f>
        <v/>
      </c>
      <c r="BD90" s="2" t="n">
        <v>186.214336</v>
      </c>
      <c r="BE90" s="2" t="n"/>
      <c r="BF90" s="2" t="n">
        <v>17138.80555555555</v>
      </c>
      <c r="BG90" s="2" t="n">
        <v>0</v>
      </c>
      <c r="BH90" s="2" t="n">
        <v>0</v>
      </c>
      <c r="BI90" s="2" t="n">
        <v>29778.37</v>
      </c>
      <c r="BJ90" s="2" t="n">
        <v>50.22840336134454</v>
      </c>
      <c r="BK90" s="2" t="n">
        <v>0</v>
      </c>
      <c r="BL90" s="2" t="n">
        <v>20</v>
      </c>
      <c r="BM90" s="2" t="n">
        <v>0</v>
      </c>
      <c r="BN90" s="2" t="n">
        <v>5</v>
      </c>
      <c r="BO90" s="2" t="n">
        <v>0</v>
      </c>
      <c r="BP90" s="2" t="n">
        <v>163.23984</v>
      </c>
      <c r="BQ90" s="2" t="n">
        <v>0</v>
      </c>
      <c r="BR90" s="2" t="n">
        <v>30016.83824336134</v>
      </c>
      <c r="BS90" s="2" t="n">
        <v>761.1080672268907</v>
      </c>
      <c r="BT90" s="2" t="n">
        <v>201.6806722689076</v>
      </c>
      <c r="BU90" s="2" t="n">
        <v>6163.277428571429</v>
      </c>
      <c r="BV90" s="2" t="n">
        <v>7126.066168067226</v>
      </c>
      <c r="BW90" s="2" t="n">
        <v>37142.90441142856</v>
      </c>
      <c r="BX90" s="2" t="n">
        <v>11401.57</v>
      </c>
      <c r="BY90" s="2" t="n">
        <v>690.27</v>
      </c>
      <c r="BZ90" s="2" t="n">
        <v>6418.07</v>
      </c>
      <c r="CA90" s="2" t="n">
        <v>12091.84</v>
      </c>
      <c r="CB90" s="2">
        <f>(BC90+IF(BD90="",0,BD90))-BW90</f>
        <v/>
      </c>
      <c r="CC90" t="inlineStr">
        <is>
          <t>ALERT: profit/loss &lt;= -5000</t>
        </is>
      </c>
    </row>
    <row r="91">
      <c r="A91" t="n">
        <v>1270</v>
      </c>
      <c r="B91" t="inlineStr">
        <is>
          <t>Marii Konopnickiej 10, 10-168 Olsztyn</t>
        </is>
      </c>
      <c r="C91" t="inlineStr">
        <is>
          <t>Olsztyn Zachodni</t>
        </is>
      </c>
      <c r="D91" t="inlineStr">
        <is>
          <t>FAA2000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9151.759999999998</v>
      </c>
      <c r="L91" s="2" t="n">
        <v>761.7992814814814</v>
      </c>
      <c r="M91" s="2" t="n">
        <v>8473.85185185185</v>
      </c>
      <c r="N91" s="2" t="n">
        <v>2667.91</v>
      </c>
      <c r="O91" s="2" t="n">
        <v>6089.39</v>
      </c>
      <c r="P91" s="2" t="n">
        <v>394.46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5923.549999999999</v>
      </c>
      <c r="AP91" s="2" t="n">
        <v>460.7205555555555</v>
      </c>
      <c r="AQ91" s="2" t="n">
        <v>5484.768518518517</v>
      </c>
      <c r="AR91" s="2" t="n">
        <v>1716.15</v>
      </c>
      <c r="AS91" s="2" t="n">
        <v>3877.67</v>
      </c>
      <c r="AT91" s="2" t="n">
        <v>329.73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15075.31</v>
      </c>
      <c r="BB91" s="2" t="n">
        <v>10691.25</v>
      </c>
      <c r="BC91" s="2">
        <f>F91+L91+R91+X91+AD91+AJ91+AP91+AV91+IF(BE91="",0,BE91)</f>
        <v/>
      </c>
      <c r="BD91" s="2" t="n">
        <v>164.64525</v>
      </c>
      <c r="BE91" s="2" t="n"/>
      <c r="BF91" s="2" t="n">
        <v>13958.62037037037</v>
      </c>
      <c r="BG91" s="2" t="n">
        <v>0</v>
      </c>
      <c r="BH91" s="2" t="n">
        <v>0</v>
      </c>
      <c r="BI91" s="2" t="n">
        <v>29778.37</v>
      </c>
      <c r="BJ91" s="2" t="n">
        <v>50.22840336134454</v>
      </c>
      <c r="BK91" s="2" t="n">
        <v>0</v>
      </c>
      <c r="BL91" s="2" t="n">
        <v>20</v>
      </c>
      <c r="BM91" s="2" t="n">
        <v>0</v>
      </c>
      <c r="BN91" s="2" t="n">
        <v>5</v>
      </c>
      <c r="BO91" s="2" t="n">
        <v>0</v>
      </c>
      <c r="BP91" s="2" t="n">
        <v>144.331875</v>
      </c>
      <c r="BQ91" s="2" t="n">
        <v>0</v>
      </c>
      <c r="BR91" s="2" t="n">
        <v>29997.93027836134</v>
      </c>
      <c r="BS91" s="2" t="n">
        <v>761.1080672268907</v>
      </c>
      <c r="BT91" s="2" t="n">
        <v>201.6806722689076</v>
      </c>
      <c r="BU91" s="2" t="n">
        <v>6163.277428571429</v>
      </c>
      <c r="BV91" s="2" t="n">
        <v>7126.066168067226</v>
      </c>
      <c r="BW91" s="2" t="n">
        <v>37123.99644642857</v>
      </c>
      <c r="BX91" s="2" t="n">
        <v>9967.060000000001</v>
      </c>
      <c r="BY91" s="2" t="n">
        <v>724.1900000000001</v>
      </c>
      <c r="BZ91" s="2" t="n">
        <v>4384.059999999999</v>
      </c>
      <c r="CA91" s="2" t="n">
        <v>10691.25</v>
      </c>
      <c r="CB91" s="2">
        <f>(BC91+IF(BD91="",0,BD91))-BW91</f>
        <v/>
      </c>
      <c r="CC91" t="inlineStr">
        <is>
          <t>ALERT: profit/loss &lt;= -5000</t>
        </is>
      </c>
    </row>
    <row r="92">
      <c r="A92" t="n">
        <v>1271</v>
      </c>
      <c r="B92" t="inlineStr">
        <is>
          <t>Zygmunta Augusta 7, 85-082 Bydgoszcz</t>
        </is>
      </c>
      <c r="C92" t="inlineStr">
        <is>
          <t>Bydgoszcz</t>
        </is>
      </c>
      <c r="D92" t="inlineStr">
        <is>
          <t>FAA2000</t>
        </is>
      </c>
      <c r="E92" s="2" t="n">
        <v>6024.150000000001</v>
      </c>
      <c r="F92" s="2" t="n">
        <v>1100</v>
      </c>
      <c r="G92" s="2" t="n">
        <v>5577.916666666667</v>
      </c>
      <c r="H92" s="2" t="n">
        <v>1393.2</v>
      </c>
      <c r="I92" s="2" t="n">
        <v>3929.31</v>
      </c>
      <c r="J92" s="2" t="n">
        <v>701.64</v>
      </c>
      <c r="K92" s="2" t="n">
        <v>7924.639999999999</v>
      </c>
      <c r="L92" s="2" t="n">
        <v>659.6529037037037</v>
      </c>
      <c r="M92" s="2" t="n">
        <v>7337.629629629629</v>
      </c>
      <c r="N92" s="2" t="n">
        <v>2386.45</v>
      </c>
      <c r="O92" s="2" t="n">
        <v>5187.17</v>
      </c>
      <c r="P92" s="2" t="n">
        <v>351.02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13027.53</v>
      </c>
      <c r="AP92" s="2" t="n">
        <v>1013.252333333333</v>
      </c>
      <c r="AQ92" s="2" t="n">
        <v>12062.52777777778</v>
      </c>
      <c r="AR92" s="2" t="n">
        <v>2960.34</v>
      </c>
      <c r="AS92" s="2" t="n">
        <v>9339.01</v>
      </c>
      <c r="AT92" s="2" t="n">
        <v>728.1799999999999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26976.32</v>
      </c>
      <c r="BB92" s="2" t="n">
        <v>20236.33</v>
      </c>
      <c r="BC92" s="2">
        <f>F92+L92+R92+X92+AD92+AJ92+AP92+AV92+IF(BE92="",0,BE92)</f>
        <v/>
      </c>
      <c r="BD92" s="2" t="n">
        <v>311.639482</v>
      </c>
      <c r="BE92" s="2" t="n"/>
      <c r="BF92" s="2" t="n">
        <v>24978.07407407407</v>
      </c>
      <c r="BG92" s="2" t="n">
        <v>0</v>
      </c>
      <c r="BH92" s="2" t="n">
        <v>0</v>
      </c>
      <c r="BI92" s="2" t="n">
        <v>29778.37</v>
      </c>
      <c r="BJ92" s="2" t="n">
        <v>50.22840336134454</v>
      </c>
      <c r="BK92" s="2" t="n">
        <v>0</v>
      </c>
      <c r="BL92" s="2" t="n">
        <v>20</v>
      </c>
      <c r="BM92" s="2" t="n">
        <v>0</v>
      </c>
      <c r="BN92" s="2" t="n">
        <v>5</v>
      </c>
      <c r="BO92" s="2" t="n">
        <v>0</v>
      </c>
      <c r="BP92" s="2" t="n">
        <v>273.190455</v>
      </c>
      <c r="BQ92" s="2" t="n">
        <v>0</v>
      </c>
      <c r="BR92" s="2" t="n">
        <v>30126.78885836134</v>
      </c>
      <c r="BS92" s="2" t="n">
        <v>761.1080672268907</v>
      </c>
      <c r="BT92" s="2" t="n">
        <v>201.6806722689076</v>
      </c>
      <c r="BU92" s="2" t="n">
        <v>6163.277428571429</v>
      </c>
      <c r="BV92" s="2" t="n">
        <v>7126.066168067226</v>
      </c>
      <c r="BW92" s="2" t="n">
        <v>37252.85502642857</v>
      </c>
      <c r="BX92" s="2" t="n">
        <v>18455.49</v>
      </c>
      <c r="BY92" s="2" t="n">
        <v>1780.84</v>
      </c>
      <c r="BZ92" s="2" t="n">
        <v>6739.99</v>
      </c>
      <c r="CA92" s="2" t="n">
        <v>20236.33</v>
      </c>
      <c r="CB92" s="2">
        <f>(BC92+IF(BD92="",0,BD92))-BW92</f>
        <v/>
      </c>
      <c r="CC92" t="inlineStr">
        <is>
          <t>ALERT: profit/loss &lt;= -5000</t>
        </is>
      </c>
    </row>
    <row r="93">
      <c r="A93" t="n">
        <v>1272</v>
      </c>
      <c r="B93" t="inlineStr">
        <is>
          <t>Dworcowa 115, 88-110 Inowrocław</t>
        </is>
      </c>
      <c r="C93" t="inlineStr">
        <is>
          <t>Inowrocław</t>
        </is>
      </c>
      <c r="D93" t="inlineStr">
        <is>
          <t>FAA2000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4137.11</v>
      </c>
      <c r="L93" s="2" t="n">
        <v>344.3761009259259</v>
      </c>
      <c r="M93" s="2" t="n">
        <v>3830.657407407407</v>
      </c>
      <c r="N93" s="2" t="n">
        <v>455.62</v>
      </c>
      <c r="O93" s="2" t="n">
        <v>3162.23</v>
      </c>
      <c r="P93" s="2" t="n">
        <v>519.26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5508.129999999999</v>
      </c>
      <c r="AP93" s="2" t="n">
        <v>428.4101111111111</v>
      </c>
      <c r="AQ93" s="2" t="n">
        <v>5100.12037037037</v>
      </c>
      <c r="AR93" s="2" t="n">
        <v>1388.82</v>
      </c>
      <c r="AS93" s="2" t="n">
        <v>3606.7</v>
      </c>
      <c r="AT93" s="2" t="n">
        <v>512.61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9645.239999999998</v>
      </c>
      <c r="BB93" s="2" t="n">
        <v>7800.799999999999</v>
      </c>
      <c r="BC93" s="2">
        <f>F93+L93+R93+X93+AD93+AJ93+AP93+AV93+IF(BE93="",0,BE93)</f>
        <v/>
      </c>
      <c r="BD93" s="2" t="n">
        <v>120.13232</v>
      </c>
      <c r="BE93" s="2" t="n"/>
      <c r="BF93" s="2" t="n">
        <v>8930.777777777777</v>
      </c>
      <c r="BG93" s="2" t="n">
        <v>0</v>
      </c>
      <c r="BH93" s="2" t="n">
        <v>0</v>
      </c>
      <c r="BI93" s="2" t="n">
        <v>29778.37</v>
      </c>
      <c r="BJ93" s="2" t="n">
        <v>50.22840336134454</v>
      </c>
      <c r="BK93" s="2" t="n">
        <v>0</v>
      </c>
      <c r="BL93" s="2" t="n">
        <v>20</v>
      </c>
      <c r="BM93" s="2" t="n">
        <v>0</v>
      </c>
      <c r="BN93" s="2" t="n">
        <v>5</v>
      </c>
      <c r="BO93" s="2" t="n">
        <v>0</v>
      </c>
      <c r="BP93" s="2" t="n">
        <v>105.3108</v>
      </c>
      <c r="BQ93" s="2" t="n">
        <v>0</v>
      </c>
      <c r="BR93" s="2" t="n">
        <v>29958.90920336134</v>
      </c>
      <c r="BS93" s="2" t="n">
        <v>761.1080672268907</v>
      </c>
      <c r="BT93" s="2" t="n">
        <v>201.6806722689076</v>
      </c>
      <c r="BU93" s="2" t="n">
        <v>6163.277428571429</v>
      </c>
      <c r="BV93" s="2" t="n">
        <v>7126.066168067226</v>
      </c>
      <c r="BW93" s="2" t="n">
        <v>37084.97537142857</v>
      </c>
      <c r="BX93" s="2" t="n">
        <v>6768.93</v>
      </c>
      <c r="BY93" s="2" t="n">
        <v>1031.87</v>
      </c>
      <c r="BZ93" s="2" t="n">
        <v>1844.44</v>
      </c>
      <c r="CA93" s="2" t="n">
        <v>7800.8</v>
      </c>
      <c r="CB93" s="2">
        <f>(BC93+IF(BD93="",0,BD93))-BW93</f>
        <v/>
      </c>
      <c r="CC93" t="inlineStr">
        <is>
          <t>ALERT: profit/loss &lt;= -5000</t>
        </is>
      </c>
    </row>
    <row r="94">
      <c r="A94" t="n">
        <v>1273</v>
      </c>
      <c r="B94" t="inlineStr">
        <is>
          <t>Towarowa 5, 84-120 Władysławowo</t>
        </is>
      </c>
      <c r="C94" t="inlineStr">
        <is>
          <t>Władysławowo</t>
        </is>
      </c>
      <c r="D94" t="inlineStr">
        <is>
          <t>ST|40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563.84</v>
      </c>
      <c r="L94" s="2" t="n">
        <v>46.93445925925926</v>
      </c>
      <c r="M94" s="2" t="n">
        <v>522.074074074074</v>
      </c>
      <c r="N94" s="2" t="n">
        <v>0</v>
      </c>
      <c r="O94" s="2" t="n">
        <v>563.84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5522.6</v>
      </c>
      <c r="AP94" s="2" t="n">
        <v>5550</v>
      </c>
      <c r="AQ94" s="2" t="n">
        <v>5113.518518518518</v>
      </c>
      <c r="AR94" s="2" t="n">
        <v>0</v>
      </c>
      <c r="AS94" s="2" t="n">
        <v>4678.16</v>
      </c>
      <c r="AT94" s="2" t="n">
        <v>844.4400000000001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6086.440000000001</v>
      </c>
      <c r="BB94" s="2" t="n">
        <v>6086.440000000001</v>
      </c>
      <c r="BC94" s="2">
        <f>F94+L94+R94+X94+AD94+AJ94+AP94+AV94+IF(BE94="",0,BE94)</f>
        <v/>
      </c>
      <c r="BD94" s="2" t="n">
        <v>93.73117600000002</v>
      </c>
      <c r="BE94" s="2" t="n"/>
      <c r="BF94" s="2" t="n">
        <v>5635.592592592592</v>
      </c>
      <c r="BG94" s="2" t="n">
        <v>0</v>
      </c>
      <c r="BH94" s="2" t="n">
        <v>0</v>
      </c>
      <c r="BI94" s="2" t="n">
        <v>29778.37</v>
      </c>
      <c r="BJ94" s="2" t="n">
        <v>50.22840336134454</v>
      </c>
      <c r="BK94" s="2" t="n">
        <v>0</v>
      </c>
      <c r="BL94" s="2" t="n">
        <v>20</v>
      </c>
      <c r="BM94" s="2" t="n">
        <v>0</v>
      </c>
      <c r="BN94" s="2" t="n">
        <v>5</v>
      </c>
      <c r="BO94" s="2" t="n">
        <v>0</v>
      </c>
      <c r="BP94" s="2" t="n">
        <v>82.16694000000001</v>
      </c>
      <c r="BQ94" s="2" t="n">
        <v>0</v>
      </c>
      <c r="BR94" s="2" t="n">
        <v>29935.76534336134</v>
      </c>
      <c r="BS94" s="2" t="n">
        <v>761.1080672268907</v>
      </c>
      <c r="BT94" s="2" t="n">
        <v>201.6806722689076</v>
      </c>
      <c r="BU94" s="2" t="n">
        <v>6163.277428571429</v>
      </c>
      <c r="BV94" s="2" t="n">
        <v>7126.066168067226</v>
      </c>
      <c r="BW94" s="2" t="n">
        <v>37061.83151142857</v>
      </c>
      <c r="BX94" s="2" t="n">
        <v>5242</v>
      </c>
      <c r="BY94" s="2" t="n">
        <v>844.4400000000001</v>
      </c>
      <c r="BZ94" s="2" t="n">
        <v>0</v>
      </c>
      <c r="CA94" s="2" t="n">
        <v>6086.440000000001</v>
      </c>
      <c r="CB94" s="2">
        <f>(BC94+IF(BD94="",0,BD94))-BW94</f>
        <v/>
      </c>
      <c r="CC94" t="inlineStr">
        <is>
          <t>ALERT: profit/loss &lt;= -5000</t>
        </is>
      </c>
    </row>
    <row r="95">
      <c r="A95" t="n">
        <v>1274</v>
      </c>
      <c r="B95" t="inlineStr">
        <is>
          <t>Czersk</t>
        </is>
      </c>
      <c r="C95" t="inlineStr">
        <is>
          <t>Czersk</t>
        </is>
      </c>
      <c r="D95" t="inlineStr">
        <is>
          <t>FAA2000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2086.01</v>
      </c>
      <c r="AP95" s="2" t="n">
        <v>3900</v>
      </c>
      <c r="AQ95" s="2" t="n">
        <v>1931.490740740741</v>
      </c>
      <c r="AR95" s="2" t="n">
        <v>0</v>
      </c>
      <c r="AS95" s="2" t="n">
        <v>1923.97</v>
      </c>
      <c r="AT95" s="2" t="n">
        <v>162.04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2086.01</v>
      </c>
      <c r="BB95" s="2" t="n">
        <v>2086.01</v>
      </c>
      <c r="BC95" s="2">
        <f>F95+L95+R95+X95+AD95+AJ95+AP95+AV95+IF(BE95="",0,BE95)</f>
        <v/>
      </c>
      <c r="BD95" s="2" t="n">
        <v>32.124554</v>
      </c>
      <c r="BE95" s="2" t="n"/>
      <c r="BF95" s="2" t="n">
        <v>1931.490740740741</v>
      </c>
      <c r="BG95" s="2" t="n">
        <v>0</v>
      </c>
      <c r="BH95" s="2" t="n">
        <v>0</v>
      </c>
      <c r="BI95" s="2" t="n">
        <v>29778.37</v>
      </c>
      <c r="BJ95" s="2" t="n">
        <v>50.22840336134454</v>
      </c>
      <c r="BK95" s="2" t="n">
        <v>0</v>
      </c>
      <c r="BL95" s="2" t="n">
        <v>20</v>
      </c>
      <c r="BM95" s="2" t="n">
        <v>0</v>
      </c>
      <c r="BN95" s="2" t="n">
        <v>5</v>
      </c>
      <c r="BO95" s="2" t="n">
        <v>0</v>
      </c>
      <c r="BP95" s="2" t="n">
        <v>28.161135</v>
      </c>
      <c r="BQ95" s="2" t="n">
        <v>0</v>
      </c>
      <c r="BR95" s="2" t="n">
        <v>29881.75953836134</v>
      </c>
      <c r="BS95" s="2" t="n">
        <v>761.1080672268907</v>
      </c>
      <c r="BT95" s="2" t="n">
        <v>201.6806722689076</v>
      </c>
      <c r="BU95" s="2" t="n">
        <v>6163.277428571429</v>
      </c>
      <c r="BV95" s="2" t="n">
        <v>7126.066168067226</v>
      </c>
      <c r="BW95" s="2" t="n">
        <v>37007.82570642856</v>
      </c>
      <c r="BX95" s="2" t="n">
        <v>1923.97</v>
      </c>
      <c r="BY95" s="2" t="n">
        <v>162.04</v>
      </c>
      <c r="BZ95" s="2" t="n">
        <v>0</v>
      </c>
      <c r="CA95" s="2" t="n">
        <v>2086.01</v>
      </c>
      <c r="CB95" s="2">
        <f>(BC95+IF(BD95="",0,BD95))-BW95</f>
        <v/>
      </c>
      <c r="CC95" t="inlineStr">
        <is>
          <t>ALERT: profit/loss &lt;= -5000</t>
        </is>
      </c>
    </row>
    <row r="96">
      <c r="A96" t="n">
        <v>1275</v>
      </c>
      <c r="B96" t="inlineStr">
        <is>
          <t>Poznan Debiec</t>
        </is>
      </c>
      <c r="C96" t="inlineStr">
        <is>
          <t>Poznań Dębiec</t>
        </is>
      </c>
      <c r="D96" t="inlineStr">
        <is>
          <t>FAA2000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9.31</v>
      </c>
      <c r="L96" s="2" t="n">
        <v>0.7749712962962964</v>
      </c>
      <c r="M96" s="2" t="n">
        <v>8.62037037037037</v>
      </c>
      <c r="N96" s="2" t="n">
        <v>0</v>
      </c>
      <c r="O96" s="2" t="n">
        <v>9.31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429.95</v>
      </c>
      <c r="AD96" s="2" t="n">
        <v>27.86712962962963</v>
      </c>
      <c r="AE96" s="2" t="n">
        <v>398.1018518518518</v>
      </c>
      <c r="AF96" s="2" t="n">
        <v>0</v>
      </c>
      <c r="AG96" s="2" t="n">
        <v>429.95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232.72</v>
      </c>
      <c r="AP96" s="2" t="n">
        <v>18.10044444444445</v>
      </c>
      <c r="AQ96" s="2" t="n">
        <v>215.4814814814815</v>
      </c>
      <c r="AR96" s="2" t="n">
        <v>0</v>
      </c>
      <c r="AS96" s="2" t="n">
        <v>232.72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671.98</v>
      </c>
      <c r="BB96" s="2" t="n">
        <v>671.98</v>
      </c>
      <c r="BC96" s="2">
        <f>F96+L96+R96+X96+AD96+AJ96+AP96+AV96+IF(BE96="",0,BE96)</f>
        <v/>
      </c>
      <c r="BD96" s="2" t="n">
        <v>10.348492</v>
      </c>
      <c r="BE96" s="2" t="n"/>
      <c r="BF96" s="2" t="n">
        <v>622.2037037037037</v>
      </c>
      <c r="BG96" s="2" t="n">
        <v>0</v>
      </c>
      <c r="BH96" s="2" t="n">
        <v>0</v>
      </c>
      <c r="BI96" s="2" t="n">
        <v>9571.61892857143</v>
      </c>
      <c r="BJ96" s="2" t="n">
        <v>50.22840336134454</v>
      </c>
      <c r="BK96" s="2" t="n">
        <v>0</v>
      </c>
      <c r="BL96" s="2" t="n">
        <v>20</v>
      </c>
      <c r="BM96" s="2" t="n">
        <v>0</v>
      </c>
      <c r="BN96" s="2" t="n">
        <v>5</v>
      </c>
      <c r="BO96" s="2" t="n">
        <v>0</v>
      </c>
      <c r="BP96" s="2" t="n">
        <v>9.071729999999999</v>
      </c>
      <c r="BQ96" s="2" t="n">
        <v>0</v>
      </c>
      <c r="BR96" s="2" t="n">
        <v>9655.919061932775</v>
      </c>
      <c r="BS96" s="2" t="n">
        <v>761.1080672268907</v>
      </c>
      <c r="BT96" s="2" t="n">
        <v>201.6806722689076</v>
      </c>
      <c r="BU96" s="2" t="n">
        <v>2121.927214285715</v>
      </c>
      <c r="BV96" s="2" t="n">
        <v>3084.715953781513</v>
      </c>
      <c r="BW96" s="2" t="n">
        <v>12740.63501571429</v>
      </c>
      <c r="BX96" s="2" t="n">
        <v>671.98</v>
      </c>
      <c r="BY96" s="2" t="n">
        <v>0</v>
      </c>
      <c r="BZ96" s="2" t="n">
        <v>0</v>
      </c>
      <c r="CA96" s="2" t="n">
        <v>671.98</v>
      </c>
      <c r="CB96" s="2">
        <f>(BC96+IF(BD96="",0,BD96))-BW96</f>
        <v/>
      </c>
      <c r="CC96" t="inlineStr">
        <is>
          <t>ALERT: profit/loss &lt;= -5000</t>
        </is>
      </c>
    </row>
    <row r="97">
      <c r="A97" t="n">
        <v>1276</v>
      </c>
      <c r="B97" t="inlineStr">
        <is>
          <t>GDA-STR</t>
        </is>
      </c>
      <c r="C97" t="inlineStr">
        <is>
          <t>Gdańsk Strzyża</t>
        </is>
      </c>
      <c r="D97" t="inlineStr">
        <is>
          <t>ST|40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5664.070000000001</v>
      </c>
      <c r="AP97" s="2" t="n">
        <v>0</v>
      </c>
      <c r="AQ97" s="2" t="n">
        <v>5244.509259259259</v>
      </c>
      <c r="AR97" s="2" t="n">
        <v>873.17</v>
      </c>
      <c r="AS97" s="2" t="n">
        <v>4657.39</v>
      </c>
      <c r="AT97" s="2" t="n">
        <v>133.51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5664.070000000001</v>
      </c>
      <c r="BB97" s="2" t="n">
        <v>4790.900000000001</v>
      </c>
      <c r="BC97" s="2">
        <f>F97+L97+R97+X97+AD97+AJ97+AP97+AV97+IF(BE97="",0,BE97)</f>
        <v/>
      </c>
      <c r="BD97" s="2" t="n">
        <v>73.77986000000001</v>
      </c>
      <c r="BE97" s="2" t="n"/>
      <c r="BF97" s="2" t="n">
        <v>5244.509259259259</v>
      </c>
      <c r="BG97" s="2" t="n">
        <v>0</v>
      </c>
      <c r="BH97" s="2" t="n">
        <v>0</v>
      </c>
      <c r="BI97" s="2" t="n">
        <v>29778.37</v>
      </c>
      <c r="BJ97" s="2" t="n">
        <v>50.22840336134454</v>
      </c>
      <c r="BK97" s="2" t="n">
        <v>0</v>
      </c>
      <c r="BL97" s="2" t="n">
        <v>20</v>
      </c>
      <c r="BM97" s="2" t="n">
        <v>0</v>
      </c>
      <c r="BN97" s="2" t="n">
        <v>5</v>
      </c>
      <c r="BO97" s="2" t="n">
        <v>0</v>
      </c>
      <c r="BP97" s="2" t="n">
        <v>64.67715000000001</v>
      </c>
      <c r="BQ97" s="2" t="n">
        <v>0</v>
      </c>
      <c r="BR97" s="2" t="n">
        <v>29918.27555336134</v>
      </c>
      <c r="BS97" s="2" t="n">
        <v>761.1080672268907</v>
      </c>
      <c r="BT97" s="2" t="n">
        <v>201.6806722689076</v>
      </c>
      <c r="BU97" s="2" t="n">
        <v>6163.277428571429</v>
      </c>
      <c r="BV97" s="2" t="n">
        <v>7126.066168067226</v>
      </c>
      <c r="BW97" s="2" t="n">
        <v>37044.34172142857</v>
      </c>
      <c r="BX97" s="2" t="n">
        <v>4657.39</v>
      </c>
      <c r="BY97" s="2" t="n">
        <v>133.51</v>
      </c>
      <c r="BZ97" s="2" t="n">
        <v>873.17</v>
      </c>
      <c r="CA97" s="2" t="n">
        <v>4790.900000000001</v>
      </c>
      <c r="CB97" s="2">
        <f>(BC97+IF(BD97="",0,BD97))-BW97</f>
        <v/>
      </c>
      <c r="CC97" t="inlineStr">
        <is>
          <t>ALERT: profit/loss &lt;= -5000</t>
        </is>
      </c>
    </row>
    <row r="98">
      <c r="A98" t="n">
        <v>1277</v>
      </c>
      <c r="B98" t="inlineStr">
        <is>
          <t>Plac Konstytucji 1, 81-354 Gdynia</t>
        </is>
      </c>
      <c r="C98" t="inlineStr">
        <is>
          <t>Gdynia Główna</t>
        </is>
      </c>
      <c r="D98" t="inlineStr">
        <is>
          <t>ST|40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5626.76</v>
      </c>
      <c r="L98" s="2" t="n">
        <v>468.3756703703704</v>
      </c>
      <c r="M98" s="2" t="n">
        <v>5209.962962962963</v>
      </c>
      <c r="N98" s="2" t="n">
        <v>2868</v>
      </c>
      <c r="O98" s="2" t="n">
        <v>2570.76</v>
      </c>
      <c r="P98" s="2" t="n">
        <v>188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10488.95</v>
      </c>
      <c r="AP98" s="2" t="n">
        <v>815.8072222222223</v>
      </c>
      <c r="AQ98" s="2" t="n">
        <v>9711.990740740741</v>
      </c>
      <c r="AR98" s="2" t="n">
        <v>3692.3</v>
      </c>
      <c r="AS98" s="2" t="n">
        <v>6497.45</v>
      </c>
      <c r="AT98" s="2" t="n">
        <v>299.2</v>
      </c>
      <c r="AU98" s="2" t="n">
        <v>11864.6</v>
      </c>
      <c r="AV98" s="2" t="n">
        <v>472.3868518518518</v>
      </c>
      <c r="AW98" s="2" t="n">
        <v>10985.74074074074</v>
      </c>
      <c r="AX98" s="2" t="n">
        <v>2305.95</v>
      </c>
      <c r="AY98" s="2" t="n">
        <v>9007.15</v>
      </c>
      <c r="AZ98" s="2" t="n">
        <v>551.5</v>
      </c>
      <c r="BA98" s="2" t="n">
        <v>27980.31</v>
      </c>
      <c r="BB98" s="2" t="n">
        <v>19114.06</v>
      </c>
      <c r="BC98" s="2">
        <f>F98+L98+R98+X98+AD98+AJ98+AP98+AV98+IF(BE98="",0,BE98)</f>
        <v/>
      </c>
      <c r="BD98" s="2" t="n">
        <v>294.356524</v>
      </c>
      <c r="BE98" s="2" t="n"/>
      <c r="BF98" s="2" t="n">
        <v>25907.69444444445</v>
      </c>
      <c r="BG98" s="2" t="n">
        <v>0</v>
      </c>
      <c r="BH98" s="2" t="n">
        <v>0</v>
      </c>
      <c r="BI98" s="2" t="n">
        <v>29778.37</v>
      </c>
      <c r="BJ98" s="2" t="n">
        <v>50.22840336134454</v>
      </c>
      <c r="BK98" s="2" t="n">
        <v>0</v>
      </c>
      <c r="BL98" s="2" t="n">
        <v>20</v>
      </c>
      <c r="BM98" s="2" t="n">
        <v>0</v>
      </c>
      <c r="BN98" s="2" t="n">
        <v>5</v>
      </c>
      <c r="BO98" s="2" t="n">
        <v>0</v>
      </c>
      <c r="BP98" s="2" t="n">
        <v>258.03981</v>
      </c>
      <c r="BQ98" s="2" t="n">
        <v>0</v>
      </c>
      <c r="BR98" s="2" t="n">
        <v>30111.63821336134</v>
      </c>
      <c r="BS98" s="2" t="n">
        <v>761.1080672268907</v>
      </c>
      <c r="BT98" s="2" t="n">
        <v>201.6806722689076</v>
      </c>
      <c r="BU98" s="2" t="n">
        <v>6163.277428571429</v>
      </c>
      <c r="BV98" s="2" t="n">
        <v>7126.066168067226</v>
      </c>
      <c r="BW98" s="2" t="n">
        <v>37237.70438142856</v>
      </c>
      <c r="BX98" s="2" t="n">
        <v>18075.36</v>
      </c>
      <c r="BY98" s="2" t="n">
        <v>1038.7</v>
      </c>
      <c r="BZ98" s="2" t="n">
        <v>8866.25</v>
      </c>
      <c r="CA98" s="2" t="n">
        <v>19114.06</v>
      </c>
      <c r="CB98" s="2">
        <f>(BC98+IF(BD98="",0,BD98))-BW98</f>
        <v/>
      </c>
      <c r="CC98" t="inlineStr">
        <is>
          <t>ALERT: profit/loss &lt;= -5000</t>
        </is>
      </c>
    </row>
    <row r="99">
      <c r="A99" t="n">
        <v>1278</v>
      </c>
      <c r="B99" t="inlineStr">
        <is>
          <t>Plac Konstytucji 1, 81-354 Gdynia</t>
        </is>
      </c>
      <c r="C99" t="inlineStr">
        <is>
          <t>Gdynia Główna</t>
        </is>
      </c>
      <c r="D99" t="inlineStr">
        <is>
          <t>ST|40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3777.89</v>
      </c>
      <c r="L99" s="2" t="n">
        <v>314.4743620370371</v>
      </c>
      <c r="M99" s="2" t="n">
        <v>3498.046296296296</v>
      </c>
      <c r="N99" s="2" t="n">
        <v>71.56</v>
      </c>
      <c r="O99" s="2" t="n">
        <v>3269.21</v>
      </c>
      <c r="P99" s="2" t="n">
        <v>437.12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10655</v>
      </c>
      <c r="AP99" s="2" t="n">
        <v>828.7222222222223</v>
      </c>
      <c r="AQ99" s="2" t="n">
        <v>9865.740740740741</v>
      </c>
      <c r="AR99" s="2" t="n">
        <v>577.01</v>
      </c>
      <c r="AS99" s="2" t="n">
        <v>9755.73</v>
      </c>
      <c r="AT99" s="2" t="n">
        <v>322.26</v>
      </c>
      <c r="AU99" s="2" t="n">
        <v>11353</v>
      </c>
      <c r="AV99" s="2" t="n">
        <v>452.0175925925925</v>
      </c>
      <c r="AW99" s="2" t="n">
        <v>10512.03703703704</v>
      </c>
      <c r="AX99" s="2" t="n">
        <v>984.15</v>
      </c>
      <c r="AY99" s="2" t="n">
        <v>9766.4</v>
      </c>
      <c r="AZ99" s="2" t="n">
        <v>602.45</v>
      </c>
      <c r="BA99" s="2" t="n">
        <v>25785.89</v>
      </c>
      <c r="BB99" s="2" t="n">
        <v>24153.17</v>
      </c>
      <c r="BC99" s="2">
        <f>F99+L99+R99+X99+AD99+AJ99+AP99+AV99+IF(BE99="",0,BE99)</f>
        <v/>
      </c>
      <c r="BD99" s="2" t="n">
        <v>371.958818</v>
      </c>
      <c r="BE99" s="2" t="n"/>
      <c r="BF99" s="2" t="n">
        <v>23875.82407407407</v>
      </c>
      <c r="BG99" s="2" t="n">
        <v>0</v>
      </c>
      <c r="BH99" s="2" t="n">
        <v>0</v>
      </c>
      <c r="BI99" s="2" t="n">
        <v>29778.37</v>
      </c>
      <c r="BJ99" s="2" t="n">
        <v>50.22840336134454</v>
      </c>
      <c r="BK99" s="2" t="n">
        <v>0</v>
      </c>
      <c r="BL99" s="2" t="n">
        <v>20</v>
      </c>
      <c r="BM99" s="2" t="n">
        <v>0</v>
      </c>
      <c r="BN99" s="2" t="n">
        <v>5</v>
      </c>
      <c r="BO99" s="2" t="n">
        <v>0</v>
      </c>
      <c r="BP99" s="2" t="n">
        <v>326.067795</v>
      </c>
      <c r="BQ99" s="2" t="n">
        <v>0</v>
      </c>
      <c r="BR99" s="2" t="n">
        <v>30179.66619836134</v>
      </c>
      <c r="BS99" s="2" t="n">
        <v>761.1080672268907</v>
      </c>
      <c r="BT99" s="2" t="n">
        <v>201.6806722689076</v>
      </c>
      <c r="BU99" s="2" t="n">
        <v>6163.277428571429</v>
      </c>
      <c r="BV99" s="2" t="n">
        <v>7126.066168067226</v>
      </c>
      <c r="BW99" s="2" t="n">
        <v>37305.73236642857</v>
      </c>
      <c r="BX99" s="2" t="n">
        <v>22791.34</v>
      </c>
      <c r="BY99" s="2" t="n">
        <v>1361.83</v>
      </c>
      <c r="BZ99" s="2" t="n">
        <v>1632.72</v>
      </c>
      <c r="CA99" s="2" t="n">
        <v>24153.17</v>
      </c>
      <c r="CB99" s="2">
        <f>(BC99+IF(BD99="",0,BD99))-BW99</f>
        <v/>
      </c>
      <c r="CC99" t="inlineStr">
        <is>
          <t>ALERT: profit/loss &lt;= -5000</t>
        </is>
      </c>
    </row>
    <row r="100">
      <c r="A100" t="n">
        <v>1279</v>
      </c>
      <c r="B100" t="inlineStr">
        <is>
          <t>GDA-GL</t>
        </is>
      </c>
      <c r="C100" t="inlineStr">
        <is>
          <t>Gdańsk Brętowo</t>
        </is>
      </c>
      <c r="D100" t="inlineStr">
        <is>
          <t>ST|40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2406.21</v>
      </c>
      <c r="AP100" s="2" t="n">
        <v>0</v>
      </c>
      <c r="AQ100" s="2" t="n">
        <v>2227.972222222222</v>
      </c>
      <c r="AR100" s="2" t="n">
        <v>148.24</v>
      </c>
      <c r="AS100" s="2" t="n">
        <v>1880.12</v>
      </c>
      <c r="AT100" s="2" t="n">
        <v>377.85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2406.21</v>
      </c>
      <c r="BB100" s="2" t="n">
        <v>2257.97</v>
      </c>
      <c r="BC100" s="2">
        <f>F100+L100+R100+X100+AD100+AJ100+AP100+AV100+IF(BE100="",0,BE100)</f>
        <v/>
      </c>
      <c r="BD100" s="2" t="n">
        <v>34.772738</v>
      </c>
      <c r="BE100" s="2" t="n"/>
      <c r="BF100" s="2" t="n">
        <v>2227.972222222222</v>
      </c>
      <c r="BG100" s="2" t="n">
        <v>0</v>
      </c>
      <c r="BH100" s="2" t="n">
        <v>0</v>
      </c>
      <c r="BI100" s="2" t="n">
        <v>29778.37</v>
      </c>
      <c r="BJ100" s="2" t="n">
        <v>50.22840336134454</v>
      </c>
      <c r="BK100" s="2" t="n">
        <v>0</v>
      </c>
      <c r="BL100" s="2" t="n">
        <v>20</v>
      </c>
      <c r="BM100" s="2" t="n">
        <v>0</v>
      </c>
      <c r="BN100" s="2" t="n">
        <v>5</v>
      </c>
      <c r="BO100" s="2" t="n">
        <v>0</v>
      </c>
      <c r="BP100" s="2" t="n">
        <v>30.482595</v>
      </c>
      <c r="BQ100" s="2" t="n">
        <v>0</v>
      </c>
      <c r="BR100" s="2" t="n">
        <v>29884.08099836134</v>
      </c>
      <c r="BS100" s="2" t="n">
        <v>761.1080672268907</v>
      </c>
      <c r="BT100" s="2" t="n">
        <v>201.6806722689076</v>
      </c>
      <c r="BU100" s="2" t="n">
        <v>6163.277428571429</v>
      </c>
      <c r="BV100" s="2" t="n">
        <v>7126.066168067226</v>
      </c>
      <c r="BW100" s="2" t="n">
        <v>37010.14716642857</v>
      </c>
      <c r="BX100" s="2" t="n">
        <v>1880.12</v>
      </c>
      <c r="BY100" s="2" t="n">
        <v>377.85</v>
      </c>
      <c r="BZ100" s="2" t="n">
        <v>148.24</v>
      </c>
      <c r="CA100" s="2" t="n">
        <v>2257.97</v>
      </c>
      <c r="CB100" s="2">
        <f>(BC100+IF(BD100="",0,BD100))-BW100</f>
        <v/>
      </c>
      <c r="CC100" t="inlineStr">
        <is>
          <t>ALERT: profit/loss &lt;= -5000</t>
        </is>
      </c>
    </row>
    <row r="101">
      <c r="A101" t="n">
        <v>1280</v>
      </c>
      <c r="B101" t="inlineStr">
        <is>
          <t>GRODZW</t>
        </is>
      </c>
      <c r="C101" t="inlineStr">
        <is>
          <t>Gdańsk Jasień</t>
        </is>
      </c>
      <c r="D101" t="inlineStr">
        <is>
          <t>ST|40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5554.6</v>
      </c>
      <c r="AP101" s="2" t="n">
        <v>0</v>
      </c>
      <c r="AQ101" s="2" t="n">
        <v>5143.148148148148</v>
      </c>
      <c r="AR101" s="2" t="n">
        <v>917.91</v>
      </c>
      <c r="AS101" s="2" t="n">
        <v>4336.88</v>
      </c>
      <c r="AT101" s="2" t="n">
        <v>299.81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5554.6</v>
      </c>
      <c r="BB101" s="2" t="n">
        <v>4636.690000000001</v>
      </c>
      <c r="BC101" s="2">
        <f>F101+L101+R101+X101+AD101+AJ101+AP101+AV101+IF(BE101="",0,BE101)</f>
        <v/>
      </c>
      <c r="BD101" s="2" t="n">
        <v>71.40502600000001</v>
      </c>
      <c r="BE101" s="2" t="n"/>
      <c r="BF101" s="2" t="n">
        <v>5143.148148148148</v>
      </c>
      <c r="BG101" s="2" t="n">
        <v>0</v>
      </c>
      <c r="BH101" s="2" t="n">
        <v>0</v>
      </c>
      <c r="BI101" s="2" t="n">
        <v>29778.37</v>
      </c>
      <c r="BJ101" s="2" t="n">
        <v>50.22840336134454</v>
      </c>
      <c r="BK101" s="2" t="n">
        <v>0</v>
      </c>
      <c r="BL101" s="2" t="n">
        <v>20</v>
      </c>
      <c r="BM101" s="2" t="n">
        <v>0</v>
      </c>
      <c r="BN101" s="2" t="n">
        <v>5</v>
      </c>
      <c r="BO101" s="2" t="n">
        <v>0</v>
      </c>
      <c r="BP101" s="2" t="n">
        <v>62.59531500000001</v>
      </c>
      <c r="BQ101" s="2" t="n">
        <v>0</v>
      </c>
      <c r="BR101" s="2" t="n">
        <v>29916.19371836134</v>
      </c>
      <c r="BS101" s="2" t="n">
        <v>761.1080672268907</v>
      </c>
      <c r="BT101" s="2" t="n">
        <v>201.6806722689076</v>
      </c>
      <c r="BU101" s="2" t="n">
        <v>6163.277428571429</v>
      </c>
      <c r="BV101" s="2" t="n">
        <v>7126.066168067226</v>
      </c>
      <c r="BW101" s="2" t="n">
        <v>37042.25988642857</v>
      </c>
      <c r="BX101" s="2" t="n">
        <v>4336.88</v>
      </c>
      <c r="BY101" s="2" t="n">
        <v>299.81</v>
      </c>
      <c r="BZ101" s="2" t="n">
        <v>917.91</v>
      </c>
      <c r="CA101" s="2" t="n">
        <v>4636.690000000001</v>
      </c>
      <c r="CB101" s="2">
        <f>(BC101+IF(BD101="",0,BD101))-BW101</f>
        <v/>
      </c>
      <c r="CC101" t="inlineStr">
        <is>
          <t>ALERT: profit/loss &lt;= -5000</t>
        </is>
      </c>
    </row>
    <row r="102">
      <c r="A102" t="n">
        <v>1281</v>
      </c>
      <c r="B102" t="inlineStr">
        <is>
          <t>GRANOW</t>
        </is>
      </c>
      <c r="C102" t="inlineStr">
        <is>
          <t>Gdańsk Kiełpinek</t>
        </is>
      </c>
      <c r="D102" t="inlineStr">
        <is>
          <t>ST|40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6427.24</v>
      </c>
      <c r="AP102" s="2" t="n">
        <v>0</v>
      </c>
      <c r="AQ102" s="2" t="n">
        <v>5951.148148148148</v>
      </c>
      <c r="AR102" s="2" t="n">
        <v>1135.29</v>
      </c>
      <c r="AS102" s="2" t="n">
        <v>5083.23</v>
      </c>
      <c r="AT102" s="2" t="n">
        <v>208.72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6427.24</v>
      </c>
      <c r="BB102" s="2" t="n">
        <v>5291.95</v>
      </c>
      <c r="BC102" s="2">
        <f>F102+L102+R102+X102+AD102+AJ102+AP102+AV102+IF(BE102="",0,BE102)</f>
        <v/>
      </c>
      <c r="BD102" s="2" t="n">
        <v>81.49603</v>
      </c>
      <c r="BE102" s="2" t="n"/>
      <c r="BF102" s="2" t="n">
        <v>5951.148148148148</v>
      </c>
      <c r="BG102" s="2" t="n">
        <v>0</v>
      </c>
      <c r="BH102" s="2" t="n">
        <v>0</v>
      </c>
      <c r="BI102" s="2" t="n">
        <v>29778.37</v>
      </c>
      <c r="BJ102" s="2" t="n">
        <v>50.22840336134454</v>
      </c>
      <c r="BK102" s="2" t="n">
        <v>0</v>
      </c>
      <c r="BL102" s="2" t="n">
        <v>20</v>
      </c>
      <c r="BM102" s="2" t="n">
        <v>0</v>
      </c>
      <c r="BN102" s="2" t="n">
        <v>5</v>
      </c>
      <c r="BO102" s="2" t="n">
        <v>0</v>
      </c>
      <c r="BP102" s="2" t="n">
        <v>71.44132499999999</v>
      </c>
      <c r="BQ102" s="2" t="n">
        <v>0</v>
      </c>
      <c r="BR102" s="2" t="n">
        <v>29925.03972836134</v>
      </c>
      <c r="BS102" s="2" t="n">
        <v>761.1080672268907</v>
      </c>
      <c r="BT102" s="2" t="n">
        <v>201.6806722689076</v>
      </c>
      <c r="BU102" s="2" t="n">
        <v>6163.277428571429</v>
      </c>
      <c r="BV102" s="2" t="n">
        <v>7126.066168067226</v>
      </c>
      <c r="BW102" s="2" t="n">
        <v>37051.10589642857</v>
      </c>
      <c r="BX102" s="2" t="n">
        <v>5083.23</v>
      </c>
      <c r="BY102" s="2" t="n">
        <v>208.72</v>
      </c>
      <c r="BZ102" s="2" t="n">
        <v>1135.29</v>
      </c>
      <c r="CA102" s="2" t="n">
        <v>5291.95</v>
      </c>
      <c r="CB102" s="2">
        <f>(BC102+IF(BD102="",0,BD102))-BW102</f>
        <v/>
      </c>
      <c r="CC102" t="inlineStr">
        <is>
          <t>ALERT: profit/loss &lt;= -5000</t>
        </is>
      </c>
    </row>
    <row r="103">
      <c r="A103" t="n">
        <v>1282</v>
      </c>
      <c r="B103" t="inlineStr">
        <is>
          <t>STESZEW</t>
        </is>
      </c>
      <c r="C103" t="inlineStr">
        <is>
          <t>Gdańsk Port Lotniczy</t>
        </is>
      </c>
      <c r="D103" t="inlineStr">
        <is>
          <t>ST|40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28.01</v>
      </c>
      <c r="AP103" s="2" t="n">
        <v>0</v>
      </c>
      <c r="AQ103" s="2" t="n">
        <v>25.93518518518518</v>
      </c>
      <c r="AR103" s="2" t="n">
        <v>0</v>
      </c>
      <c r="AS103" s="2" t="n">
        <v>28.01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28.01</v>
      </c>
      <c r="BB103" s="2" t="n">
        <v>28.01</v>
      </c>
      <c r="BC103" s="2">
        <f>F103+L103+R103+X103+AD103+AJ103+AP103+AV103+IF(BE103="",0,BE103)</f>
        <v/>
      </c>
      <c r="BD103" s="2" t="n">
        <v>0.431354</v>
      </c>
      <c r="BE103" s="2" t="n"/>
      <c r="BF103" s="2" t="n">
        <v>25.93518518518518</v>
      </c>
      <c r="BG103" s="2" t="n">
        <v>0</v>
      </c>
      <c r="BH103" s="2" t="n">
        <v>0</v>
      </c>
      <c r="BI103" s="2" t="n">
        <v>29778.37</v>
      </c>
      <c r="BJ103" s="2" t="n">
        <v>50.22840336134454</v>
      </c>
      <c r="BK103" s="2" t="n">
        <v>0</v>
      </c>
      <c r="BL103" s="2" t="n">
        <v>20</v>
      </c>
      <c r="BM103" s="2" t="n">
        <v>0</v>
      </c>
      <c r="BN103" s="2" t="n">
        <v>5</v>
      </c>
      <c r="BO103" s="2" t="n">
        <v>0</v>
      </c>
      <c r="BP103" s="2" t="n">
        <v>0.378135</v>
      </c>
      <c r="BQ103" s="2" t="n">
        <v>0</v>
      </c>
      <c r="BR103" s="2" t="n">
        <v>29853.97653836134</v>
      </c>
      <c r="BS103" s="2" t="n">
        <v>761.1080672268907</v>
      </c>
      <c r="BT103" s="2" t="n">
        <v>201.6806722689076</v>
      </c>
      <c r="BU103" s="2" t="n">
        <v>6163.277428571429</v>
      </c>
      <c r="BV103" s="2" t="n">
        <v>7126.066168067226</v>
      </c>
      <c r="BW103" s="2" t="n">
        <v>36980.04270642857</v>
      </c>
      <c r="BX103" s="2" t="n">
        <v>28.01</v>
      </c>
      <c r="BY103" s="2" t="n">
        <v>0</v>
      </c>
      <c r="BZ103" s="2" t="n">
        <v>0</v>
      </c>
      <c r="CA103" s="2" t="n">
        <v>28.01</v>
      </c>
      <c r="CB103" s="2">
        <f>(BC103+IF(BD103="",0,BD103))-BW103</f>
        <v/>
      </c>
      <c r="CC103" t="inlineStr">
        <is>
          <t>ALERT: profit/loss &lt;= -5000</t>
        </is>
      </c>
    </row>
    <row r="104">
      <c r="A104" t="n">
        <v>1283</v>
      </c>
      <c r="B104" t="inlineStr">
        <is>
          <t>CZERWO</t>
        </is>
      </c>
      <c r="C104" t="inlineStr">
        <is>
          <t>Gdańsk Port Lotniczy</t>
        </is>
      </c>
      <c r="D104" t="inlineStr">
        <is>
          <t>ST|40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27079.42</v>
      </c>
      <c r="AP104" s="2" t="n">
        <v>0</v>
      </c>
      <c r="AQ104" s="2" t="n">
        <v>25073.53703703703</v>
      </c>
      <c r="AR104" s="2" t="n">
        <v>3058.85</v>
      </c>
      <c r="AS104" s="2" t="n">
        <v>22974.88</v>
      </c>
      <c r="AT104" s="2" t="n">
        <v>1045.69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27079.42</v>
      </c>
      <c r="BB104" s="2" t="n">
        <v>24020.57</v>
      </c>
      <c r="BC104" s="2">
        <f>F104+L104+R104+X104+AD104+AJ104+AP104+AV104+IF(BE104="",0,BE104)</f>
        <v/>
      </c>
      <c r="BD104" s="2" t="n">
        <v>369.916778</v>
      </c>
      <c r="BE104" s="2" t="n"/>
      <c r="BF104" s="2" t="n">
        <v>25073.53703703703</v>
      </c>
      <c r="BG104" s="2" t="n">
        <v>0</v>
      </c>
      <c r="BH104" s="2" t="n">
        <v>0</v>
      </c>
      <c r="BI104" s="2" t="n">
        <v>29778.37</v>
      </c>
      <c r="BJ104" s="2" t="n">
        <v>50.22840336134454</v>
      </c>
      <c r="BK104" s="2" t="n">
        <v>0</v>
      </c>
      <c r="BL104" s="2" t="n">
        <v>20</v>
      </c>
      <c r="BM104" s="2" t="n">
        <v>0</v>
      </c>
      <c r="BN104" s="2" t="n">
        <v>5</v>
      </c>
      <c r="BO104" s="2" t="n">
        <v>0</v>
      </c>
      <c r="BP104" s="2" t="n">
        <v>324.277695</v>
      </c>
      <c r="BQ104" s="2" t="n">
        <v>0</v>
      </c>
      <c r="BR104" s="2" t="n">
        <v>30177.87609836134</v>
      </c>
      <c r="BS104" s="2" t="n">
        <v>761.1080672268907</v>
      </c>
      <c r="BT104" s="2" t="n">
        <v>201.6806722689076</v>
      </c>
      <c r="BU104" s="2" t="n">
        <v>6163.277428571429</v>
      </c>
      <c r="BV104" s="2" t="n">
        <v>7126.066168067226</v>
      </c>
      <c r="BW104" s="2" t="n">
        <v>37303.94226642857</v>
      </c>
      <c r="BX104" s="2" t="n">
        <v>22974.88</v>
      </c>
      <c r="BY104" s="2" t="n">
        <v>1045.69</v>
      </c>
      <c r="BZ104" s="2" t="n">
        <v>3058.85</v>
      </c>
      <c r="CA104" s="2" t="n">
        <v>24020.57</v>
      </c>
      <c r="CB104" s="2">
        <f>(BC104+IF(BD104="",0,BD104))-BW104</f>
        <v/>
      </c>
      <c r="CC104" t="inlineStr">
        <is>
          <t>ALERT: profit/loss &lt;= -5000</t>
        </is>
      </c>
    </row>
    <row r="105">
      <c r="A105" t="n">
        <v>1284</v>
      </c>
      <c r="B105" t="inlineStr">
        <is>
          <t>OWINSK</t>
        </is>
      </c>
      <c r="C105" t="inlineStr">
        <is>
          <t>Gdańsk Rębiechowo</t>
        </is>
      </c>
      <c r="D105" t="inlineStr">
        <is>
          <t>ST|40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2944.57</v>
      </c>
      <c r="AP105" s="2" t="n">
        <v>0</v>
      </c>
      <c r="AQ105" s="2" t="n">
        <v>2726.453703703703</v>
      </c>
      <c r="AR105" s="2" t="n">
        <v>296.69</v>
      </c>
      <c r="AS105" s="2" t="n">
        <v>2594.47</v>
      </c>
      <c r="AT105" s="2" t="n">
        <v>53.41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2944.57</v>
      </c>
      <c r="BB105" s="2" t="n">
        <v>2647.88</v>
      </c>
      <c r="BC105" s="2">
        <f>F105+L105+R105+X105+AD105+AJ105+AP105+AV105+IF(BE105="",0,BE105)</f>
        <v/>
      </c>
      <c r="BD105" s="2" t="n">
        <v>40.77735199999999</v>
      </c>
      <c r="BE105" s="2" t="n"/>
      <c r="BF105" s="2" t="n">
        <v>2726.453703703703</v>
      </c>
      <c r="BG105" s="2" t="n">
        <v>0</v>
      </c>
      <c r="BH105" s="2" t="n">
        <v>0</v>
      </c>
      <c r="BI105" s="2" t="n">
        <v>29778.37</v>
      </c>
      <c r="BJ105" s="2" t="n">
        <v>50.22840336134454</v>
      </c>
      <c r="BK105" s="2" t="n">
        <v>0</v>
      </c>
      <c r="BL105" s="2" t="n">
        <v>20</v>
      </c>
      <c r="BM105" s="2" t="n">
        <v>0</v>
      </c>
      <c r="BN105" s="2" t="n">
        <v>5</v>
      </c>
      <c r="BO105" s="2" t="n">
        <v>0</v>
      </c>
      <c r="BP105" s="2" t="n">
        <v>35.74637999999999</v>
      </c>
      <c r="BQ105" s="2" t="n">
        <v>0</v>
      </c>
      <c r="BR105" s="2" t="n">
        <v>29889.34478336134</v>
      </c>
      <c r="BS105" s="2" t="n">
        <v>761.1080672268907</v>
      </c>
      <c r="BT105" s="2" t="n">
        <v>201.6806722689076</v>
      </c>
      <c r="BU105" s="2" t="n">
        <v>6163.277428571429</v>
      </c>
      <c r="BV105" s="2" t="n">
        <v>7126.066168067226</v>
      </c>
      <c r="BW105" s="2" t="n">
        <v>37015.41095142857</v>
      </c>
      <c r="BX105" s="2" t="n">
        <v>2594.47</v>
      </c>
      <c r="BY105" s="2" t="n">
        <v>53.41</v>
      </c>
      <c r="BZ105" s="2" t="n">
        <v>296.69</v>
      </c>
      <c r="CA105" s="2" t="n">
        <v>2647.88</v>
      </c>
      <c r="CB105" s="2">
        <f>(BC105+IF(BD105="",0,BD105))-BW105</f>
        <v/>
      </c>
      <c r="CC105" t="inlineStr">
        <is>
          <t>ALERT: profit/loss &lt;= -5000</t>
        </is>
      </c>
    </row>
    <row r="106">
      <c r="A106" t="n">
        <v>1285</v>
      </c>
      <c r="B106" t="inlineStr">
        <is>
          <t>ZIELWZG</t>
        </is>
      </c>
      <c r="C106" t="inlineStr">
        <is>
          <t>Gdańsk Osowa</t>
        </is>
      </c>
      <c r="D106" t="inlineStr">
        <is>
          <t>ST|40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4403.57</v>
      </c>
      <c r="AP106" s="2" t="n">
        <v>0</v>
      </c>
      <c r="AQ106" s="2" t="n">
        <v>4077.379629629629</v>
      </c>
      <c r="AR106" s="2" t="n">
        <v>909.15</v>
      </c>
      <c r="AS106" s="2" t="n">
        <v>3390.02</v>
      </c>
      <c r="AT106" s="2" t="n">
        <v>104.4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4403.57</v>
      </c>
      <c r="BB106" s="2" t="n">
        <v>3494.42</v>
      </c>
      <c r="BC106" s="2">
        <f>F106+L106+R106+X106+AD106+AJ106+AP106+AV106+IF(BE106="",0,BE106)</f>
        <v/>
      </c>
      <c r="BD106" s="2" t="n">
        <v>53.81406800000001</v>
      </c>
      <c r="BE106" s="2" t="n"/>
      <c r="BF106" s="2" t="n">
        <v>4077.379629629629</v>
      </c>
      <c r="BG106" s="2" t="n">
        <v>0</v>
      </c>
      <c r="BH106" s="2" t="n">
        <v>0</v>
      </c>
      <c r="BI106" s="2" t="n">
        <v>29778.37</v>
      </c>
      <c r="BJ106" s="2" t="n">
        <v>50.22840336134454</v>
      </c>
      <c r="BK106" s="2" t="n">
        <v>0</v>
      </c>
      <c r="BL106" s="2" t="n">
        <v>20</v>
      </c>
      <c r="BM106" s="2" t="n">
        <v>0</v>
      </c>
      <c r="BN106" s="2" t="n">
        <v>5</v>
      </c>
      <c r="BO106" s="2" t="n">
        <v>0</v>
      </c>
      <c r="BP106" s="2" t="n">
        <v>47.17467</v>
      </c>
      <c r="BQ106" s="2" t="n">
        <v>0</v>
      </c>
      <c r="BR106" s="2" t="n">
        <v>29900.77307336134</v>
      </c>
      <c r="BS106" s="2" t="n">
        <v>761.1080672268907</v>
      </c>
      <c r="BT106" s="2" t="n">
        <v>201.6806722689076</v>
      </c>
      <c r="BU106" s="2" t="n">
        <v>6163.277428571429</v>
      </c>
      <c r="BV106" s="2" t="n">
        <v>7126.066168067226</v>
      </c>
      <c r="BW106" s="2" t="n">
        <v>37026.83924142857</v>
      </c>
      <c r="BX106" s="2" t="n">
        <v>3390.02</v>
      </c>
      <c r="BY106" s="2" t="n">
        <v>104.4</v>
      </c>
      <c r="BZ106" s="2" t="n">
        <v>909.15</v>
      </c>
      <c r="CA106" s="2" t="n">
        <v>3494.42</v>
      </c>
      <c r="CB106" s="2">
        <f>(BC106+IF(BD106="",0,BD106))-BW106</f>
        <v/>
      </c>
      <c r="CC106" t="inlineStr">
        <is>
          <t>ALERT: profit/loss &lt;= -5000</t>
        </is>
      </c>
    </row>
    <row r="107">
      <c r="A107" t="n">
        <v>1286</v>
      </c>
      <c r="B107" t="inlineStr">
        <is>
          <t>Dworcowa 2, 61-801 Poznań</t>
        </is>
      </c>
      <c r="C107" t="inlineStr">
        <is>
          <t>Poznań Główny</t>
        </is>
      </c>
      <c r="D107" t="inlineStr">
        <is>
          <t>FAA2000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4062.61</v>
      </c>
      <c r="L107" s="2" t="n">
        <v>338.1746657407407</v>
      </c>
      <c r="M107" s="2" t="n">
        <v>3761.675925925926</v>
      </c>
      <c r="N107" s="2" t="n">
        <v>1023.22</v>
      </c>
      <c r="O107" s="2" t="n">
        <v>2951.49</v>
      </c>
      <c r="P107" s="2" t="n">
        <v>87.90000000000001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7846.940000000001</v>
      </c>
      <c r="AD107" s="2" t="n">
        <v>508.597962962963</v>
      </c>
      <c r="AE107" s="2" t="n">
        <v>7265.685185185185</v>
      </c>
      <c r="AF107" s="2" t="n">
        <v>836.42</v>
      </c>
      <c r="AG107" s="2" t="n">
        <v>6343.29</v>
      </c>
      <c r="AH107" s="2" t="n">
        <v>667.23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3014.77</v>
      </c>
      <c r="AP107" s="2" t="n">
        <v>234.4821111111111</v>
      </c>
      <c r="AQ107" s="2" t="n">
        <v>2791.453703703703</v>
      </c>
      <c r="AR107" s="2" t="n">
        <v>426.1</v>
      </c>
      <c r="AS107" s="2" t="n">
        <v>2298.99</v>
      </c>
      <c r="AT107" s="2" t="n">
        <v>289.68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14924.32</v>
      </c>
      <c r="BB107" s="2" t="n">
        <v>12638.58</v>
      </c>
      <c r="BC107" s="2">
        <f>F107+L107+R107+X107+AD107+AJ107+AP107+AV107+IF(BE107="",0,BE107)</f>
        <v/>
      </c>
      <c r="BD107" s="2" t="n">
        <v>194.634132</v>
      </c>
      <c r="BE107" s="2" t="n"/>
      <c r="BF107" s="2" t="n">
        <v>13818.81481481481</v>
      </c>
      <c r="BG107" s="2" t="n">
        <v>0</v>
      </c>
      <c r="BH107" s="2" t="n">
        <v>0</v>
      </c>
      <c r="BI107" s="2" t="n">
        <v>29778.37</v>
      </c>
      <c r="BJ107" s="2" t="n">
        <v>50.22840336134454</v>
      </c>
      <c r="BK107" s="2" t="n">
        <v>0</v>
      </c>
      <c r="BL107" s="2" t="n">
        <v>20</v>
      </c>
      <c r="BM107" s="2" t="n">
        <v>0</v>
      </c>
      <c r="BN107" s="2" t="n">
        <v>5</v>
      </c>
      <c r="BO107" s="2" t="n">
        <v>0</v>
      </c>
      <c r="BP107" s="2" t="n">
        <v>170.62083</v>
      </c>
      <c r="BQ107" s="2" t="n">
        <v>0</v>
      </c>
      <c r="BR107" s="2" t="n">
        <v>30024.21923336134</v>
      </c>
      <c r="BS107" s="2" t="n">
        <v>761.1080672268907</v>
      </c>
      <c r="BT107" s="2" t="n">
        <v>201.6806722689076</v>
      </c>
      <c r="BU107" s="2" t="n">
        <v>6163.277428571429</v>
      </c>
      <c r="BV107" s="2" t="n">
        <v>7126.066168067226</v>
      </c>
      <c r="BW107" s="2" t="n">
        <v>37150.28540142857</v>
      </c>
      <c r="BX107" s="2" t="n">
        <v>11593.77</v>
      </c>
      <c r="BY107" s="2" t="n">
        <v>1044.81</v>
      </c>
      <c r="BZ107" s="2" t="n">
        <v>2285.74</v>
      </c>
      <c r="CA107" s="2" t="n">
        <v>12638.58</v>
      </c>
      <c r="CB107" s="2">
        <f>(BC107+IF(BD107="",0,BD107))-BW107</f>
        <v/>
      </c>
      <c r="CC107" t="inlineStr">
        <is>
          <t>ALERT: profit/loss &lt;= -5000</t>
        </is>
      </c>
    </row>
    <row r="108">
      <c r="A108" t="n">
        <v>1287</v>
      </c>
      <c r="B108" t="inlineStr">
        <is>
          <t>Kościuszki 54, 82-500 Kwidzyn</t>
        </is>
      </c>
      <c r="C108" t="inlineStr">
        <is>
          <t>Kwidzyn</t>
        </is>
      </c>
      <c r="D108" t="inlineStr">
        <is>
          <t>FAA2000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3314.11</v>
      </c>
      <c r="AP108" s="2" t="n">
        <v>4100</v>
      </c>
      <c r="AQ108" s="2" t="n">
        <v>3068.62037037037</v>
      </c>
      <c r="AR108" s="2" t="n">
        <v>0</v>
      </c>
      <c r="AS108" s="2" t="n">
        <v>2883.21</v>
      </c>
      <c r="AT108" s="2" t="n">
        <v>430.9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3314.11</v>
      </c>
      <c r="BB108" s="2" t="n">
        <v>3314.11</v>
      </c>
      <c r="BC108" s="2">
        <f>F108+L108+R108+X108+AD108+AJ108+AP108+AV108+IF(BE108="",0,BE108)</f>
        <v/>
      </c>
      <c r="BD108" s="2" t="n">
        <v>51.037294</v>
      </c>
      <c r="BE108" s="2" t="n"/>
      <c r="BF108" s="2" t="n">
        <v>3068.62037037037</v>
      </c>
      <c r="BG108" s="2" t="n">
        <v>0</v>
      </c>
      <c r="BH108" s="2" t="n">
        <v>0</v>
      </c>
      <c r="BI108" s="2" t="n">
        <v>14889.185</v>
      </c>
      <c r="BJ108" s="2" t="n">
        <v>50.22840336134454</v>
      </c>
      <c r="BK108" s="2" t="n">
        <v>0</v>
      </c>
      <c r="BL108" s="2" t="n">
        <v>20</v>
      </c>
      <c r="BM108" s="2" t="n">
        <v>0</v>
      </c>
      <c r="BN108" s="2" t="n">
        <v>5</v>
      </c>
      <c r="BO108" s="2" t="n">
        <v>0</v>
      </c>
      <c r="BP108" s="2" t="n">
        <v>44.740485</v>
      </c>
      <c r="BQ108" s="2" t="n">
        <v>0</v>
      </c>
      <c r="BR108" s="2" t="n">
        <v>15009.15388836134</v>
      </c>
      <c r="BS108" s="2" t="n">
        <v>761.1080672268907</v>
      </c>
      <c r="BT108" s="2" t="n">
        <v>201.6806722689076</v>
      </c>
      <c r="BU108" s="2" t="n">
        <v>3185.440428571429</v>
      </c>
      <c r="BV108" s="2" t="n">
        <v>4148.229168067227</v>
      </c>
      <c r="BW108" s="2" t="n">
        <v>19157.38305642857</v>
      </c>
      <c r="BX108" s="2" t="n">
        <v>2883.21</v>
      </c>
      <c r="BY108" s="2" t="n">
        <v>430.9</v>
      </c>
      <c r="BZ108" s="2" t="n">
        <v>0</v>
      </c>
      <c r="CA108" s="2" t="n">
        <v>3314.11</v>
      </c>
      <c r="CB108" s="2">
        <f>(BC108+IF(BD108="",0,BD108))-BW108</f>
        <v/>
      </c>
      <c r="CC108" t="inlineStr">
        <is>
          <t>ALERT: profit/loss &lt;= -5000</t>
        </is>
      </c>
    </row>
    <row r="109">
      <c r="A109" t="n">
        <v>1288</v>
      </c>
      <c r="B109" t="inlineStr">
        <is>
          <t>Ks. Stefańskiego 6, 84-140 Jastarnia</t>
        </is>
      </c>
      <c r="C109" t="inlineStr">
        <is>
          <t>Jastania</t>
        </is>
      </c>
      <c r="D109" t="inlineStr">
        <is>
          <t>FAA2000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6475.709999999999</v>
      </c>
      <c r="AP109" s="2" t="n">
        <v>4500</v>
      </c>
      <c r="AQ109" s="2" t="n">
        <v>5996.027777777776</v>
      </c>
      <c r="AR109" s="2" t="n">
        <v>0</v>
      </c>
      <c r="AS109" s="2" t="n">
        <v>5686.94</v>
      </c>
      <c r="AT109" s="2" t="n">
        <v>788.77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6475.709999999999</v>
      </c>
      <c r="BB109" s="2" t="n">
        <v>6475.709999999999</v>
      </c>
      <c r="BC109" s="2">
        <f>F109+L109+R109+X109+AD109+AJ109+AP109+AV109+IF(BE109="",0,BE109)</f>
        <v/>
      </c>
      <c r="BD109" s="2" t="n">
        <v>99.725934</v>
      </c>
      <c r="BE109" s="2" t="n"/>
      <c r="BF109" s="2" t="n">
        <v>5996.027777777776</v>
      </c>
      <c r="BG109" s="2" t="n">
        <v>0</v>
      </c>
      <c r="BH109" s="2" t="n">
        <v>0</v>
      </c>
      <c r="BI109" s="2" t="n">
        <v>29778.37</v>
      </c>
      <c r="BJ109" s="2" t="n">
        <v>50.22840336134454</v>
      </c>
      <c r="BK109" s="2" t="n">
        <v>0</v>
      </c>
      <c r="BL109" s="2" t="n">
        <v>20</v>
      </c>
      <c r="BM109" s="2" t="n">
        <v>0</v>
      </c>
      <c r="BN109" s="2" t="n">
        <v>5</v>
      </c>
      <c r="BO109" s="2" t="n">
        <v>0</v>
      </c>
      <c r="BP109" s="2" t="n">
        <v>87.42208499999998</v>
      </c>
      <c r="BQ109" s="2" t="n">
        <v>0</v>
      </c>
      <c r="BR109" s="2" t="n">
        <v>29941.02048836134</v>
      </c>
      <c r="BS109" s="2" t="n">
        <v>761.1080672268907</v>
      </c>
      <c r="BT109" s="2" t="n">
        <v>201.6806722689076</v>
      </c>
      <c r="BU109" s="2" t="n">
        <v>6163.277428571429</v>
      </c>
      <c r="BV109" s="2" t="n">
        <v>7126.066168067226</v>
      </c>
      <c r="BW109" s="2" t="n">
        <v>37067.08665642857</v>
      </c>
      <c r="BX109" s="2" t="n">
        <v>5686.94</v>
      </c>
      <c r="BY109" s="2" t="n">
        <v>788.77</v>
      </c>
      <c r="BZ109" s="2" t="n">
        <v>0</v>
      </c>
      <c r="CA109" s="2" t="n">
        <v>6475.709999999999</v>
      </c>
      <c r="CB109" s="2">
        <f>(BC109+IF(BD109="",0,BD109))-BW109</f>
        <v/>
      </c>
      <c r="CC109" t="inlineStr">
        <is>
          <t>ALERT: profit/loss &lt;= -5000</t>
        </is>
      </c>
    </row>
    <row r="110">
      <c r="A110" t="n">
        <v>1289</v>
      </c>
      <c r="B110" t="inlineStr">
        <is>
          <t>Dworcowa 1, 84-150 Hel</t>
        </is>
      </c>
      <c r="C110" t="inlineStr">
        <is>
          <t>Hel</t>
        </is>
      </c>
      <c r="D110" t="inlineStr">
        <is>
          <t>FAA2000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12510.21</v>
      </c>
      <c r="AP110" s="2" t="n">
        <v>4500</v>
      </c>
      <c r="AQ110" s="2" t="n">
        <v>11583.52777777778</v>
      </c>
      <c r="AR110" s="2" t="n">
        <v>0</v>
      </c>
      <c r="AS110" s="2" t="n">
        <v>11057.9</v>
      </c>
      <c r="AT110" s="2" t="n">
        <v>1452.31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12510.21</v>
      </c>
      <c r="BB110" s="2" t="n">
        <v>12510.21</v>
      </c>
      <c r="BC110" s="2">
        <f>F110+L110+R110+X110+AD110+AJ110+AP110+AV110+IF(BE110="",0,BE110)</f>
        <v/>
      </c>
      <c r="BD110" s="2" t="n">
        <v>192.657234</v>
      </c>
      <c r="BE110" s="2" t="n"/>
      <c r="BF110" s="2" t="n">
        <v>11583.52777777778</v>
      </c>
      <c r="BG110" s="2" t="n">
        <v>0</v>
      </c>
      <c r="BH110" s="2" t="n">
        <v>0</v>
      </c>
      <c r="BI110" s="2" t="n">
        <v>29778.37</v>
      </c>
      <c r="BJ110" s="2" t="n">
        <v>50.22840336134454</v>
      </c>
      <c r="BK110" s="2" t="n">
        <v>0</v>
      </c>
      <c r="BL110" s="2" t="n">
        <v>20</v>
      </c>
      <c r="BM110" s="2" t="n">
        <v>0</v>
      </c>
      <c r="BN110" s="2" t="n">
        <v>5</v>
      </c>
      <c r="BO110" s="2" t="n">
        <v>0</v>
      </c>
      <c r="BP110" s="2" t="n">
        <v>168.887835</v>
      </c>
      <c r="BQ110" s="2" t="n">
        <v>0</v>
      </c>
      <c r="BR110" s="2" t="n">
        <v>30022.48623836134</v>
      </c>
      <c r="BS110" s="2" t="n">
        <v>761.1080672268907</v>
      </c>
      <c r="BT110" s="2" t="n">
        <v>201.6806722689076</v>
      </c>
      <c r="BU110" s="2" t="n">
        <v>6163.277428571429</v>
      </c>
      <c r="BV110" s="2" t="n">
        <v>7126.066168067226</v>
      </c>
      <c r="BW110" s="2" t="n">
        <v>37148.55240642857</v>
      </c>
      <c r="BX110" s="2" t="n">
        <v>11057.9</v>
      </c>
      <c r="BY110" s="2" t="n">
        <v>1452.31</v>
      </c>
      <c r="BZ110" s="2" t="n">
        <v>0</v>
      </c>
      <c r="CA110" s="2" t="n">
        <v>12510.21</v>
      </c>
      <c r="CB110" s="2">
        <f>(BC110+IF(BD110="",0,BD110))-BW110</f>
        <v/>
      </c>
      <c r="CC110" t="inlineStr">
        <is>
          <t>ALERT: profit/loss &lt;= -5000</t>
        </is>
      </c>
    </row>
    <row r="111">
      <c r="A111" t="n">
        <v>1290</v>
      </c>
      <c r="B111" t="inlineStr">
        <is>
          <t>Kolumba 2, 70-035 Szczecin</t>
        </is>
      </c>
      <c r="C111" t="inlineStr">
        <is>
          <t>Szczecin</t>
        </is>
      </c>
      <c r="D111" t="inlineStr">
        <is>
          <t>FAA2000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6337.2</v>
      </c>
      <c r="L111" s="2" t="n">
        <v>527.5132222222222</v>
      </c>
      <c r="M111" s="2" t="n">
        <v>5867.777777777777</v>
      </c>
      <c r="N111" s="2" t="n">
        <v>2264.66</v>
      </c>
      <c r="O111" s="2" t="n">
        <v>3566</v>
      </c>
      <c r="P111" s="2" t="n">
        <v>506.54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20189.86</v>
      </c>
      <c r="AP111" s="2" t="n">
        <v>1570.322444444444</v>
      </c>
      <c r="AQ111" s="2" t="n">
        <v>18694.31481481481</v>
      </c>
      <c r="AR111" s="2" t="n">
        <v>7916.37</v>
      </c>
      <c r="AS111" s="2" t="n">
        <v>11350.17</v>
      </c>
      <c r="AT111" s="2" t="n">
        <v>923.3200000000001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26527.06</v>
      </c>
      <c r="BB111" s="2" t="n">
        <v>16346.03</v>
      </c>
      <c r="BC111" s="2">
        <f>F111+L111+R111+X111+AD111+AJ111+AP111+AV111+IF(BE111="",0,BE111)</f>
        <v/>
      </c>
      <c r="BD111" s="2" t="n">
        <v>251.728862</v>
      </c>
      <c r="BE111" s="2" t="n"/>
      <c r="BF111" s="2" t="n">
        <v>24562.09259259259</v>
      </c>
      <c r="BG111" s="2" t="n">
        <v>0</v>
      </c>
      <c r="BH111" s="2" t="n">
        <v>0</v>
      </c>
      <c r="BI111" s="2" t="n">
        <v>24460.80392857143</v>
      </c>
      <c r="BJ111" s="2" t="n">
        <v>50.22840336134454</v>
      </c>
      <c r="BK111" s="2" t="n">
        <v>0</v>
      </c>
      <c r="BL111" s="2" t="n">
        <v>20</v>
      </c>
      <c r="BM111" s="2" t="n">
        <v>0</v>
      </c>
      <c r="BN111" s="2" t="n">
        <v>5</v>
      </c>
      <c r="BO111" s="2" t="n">
        <v>0</v>
      </c>
      <c r="BP111" s="2" t="n">
        <v>220.671405</v>
      </c>
      <c r="BQ111" s="2" t="n">
        <v>0</v>
      </c>
      <c r="BR111" s="2" t="n">
        <v>24756.70373693277</v>
      </c>
      <c r="BS111" s="2" t="n">
        <v>761.1080672268907</v>
      </c>
      <c r="BT111" s="2" t="n">
        <v>201.6806722689076</v>
      </c>
      <c r="BU111" s="2" t="n">
        <v>5099.764214285715</v>
      </c>
      <c r="BV111" s="2" t="n">
        <v>6062.552953781513</v>
      </c>
      <c r="BW111" s="2" t="n">
        <v>30819.25669071429</v>
      </c>
      <c r="BX111" s="2" t="n">
        <v>14916.17</v>
      </c>
      <c r="BY111" s="2" t="n">
        <v>1429.86</v>
      </c>
      <c r="BZ111" s="2" t="n">
        <v>10181.03</v>
      </c>
      <c r="CA111" s="2" t="n">
        <v>16346.03</v>
      </c>
      <c r="CB111" s="2">
        <f>(BC111+IF(BD111="",0,BD111))-BW111</f>
        <v/>
      </c>
      <c r="CC111" t="inlineStr">
        <is>
          <t>ALERT: profit/loss &lt;= -5000</t>
        </is>
      </c>
    </row>
    <row r="112">
      <c r="A112" t="n">
        <v>1291</v>
      </c>
      <c r="B112" t="inlineStr">
        <is>
          <t>pl. Dworcowy 1, 82-300 Elbląg</t>
        </is>
      </c>
      <c r="C112" t="inlineStr">
        <is>
          <t>Elbląg</t>
        </is>
      </c>
      <c r="D112" t="inlineStr">
        <is>
          <t>FAA2000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2985.65</v>
      </c>
      <c r="L112" s="2" t="n">
        <v>248.5277175925926</v>
      </c>
      <c r="M112" s="2" t="n">
        <v>2764.49074074074</v>
      </c>
      <c r="N112" s="2" t="n">
        <v>713.02</v>
      </c>
      <c r="O112" s="2" t="n">
        <v>2146.23</v>
      </c>
      <c r="P112" s="2" t="n">
        <v>126.4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12737.84</v>
      </c>
      <c r="AP112" s="2" t="n">
        <v>990.7208888888888</v>
      </c>
      <c r="AQ112" s="2" t="n">
        <v>11794.29629629629</v>
      </c>
      <c r="AR112" s="2" t="n">
        <v>3797.51</v>
      </c>
      <c r="AS112" s="2" t="n">
        <v>8099.2</v>
      </c>
      <c r="AT112" s="2" t="n">
        <v>841.13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15723.49</v>
      </c>
      <c r="BB112" s="2" t="n">
        <v>11212.96</v>
      </c>
      <c r="BC112" s="2">
        <f>F112+L112+R112+X112+AD112+AJ112+AP112+AV112+IF(BE112="",0,BE112)</f>
        <v/>
      </c>
      <c r="BD112" s="2" t="n">
        <v>172.679584</v>
      </c>
      <c r="BE112" s="2" t="n"/>
      <c r="BF112" s="2" t="n">
        <v>14558.78703703703</v>
      </c>
      <c r="BG112" s="2" t="n">
        <v>0</v>
      </c>
      <c r="BH112" s="2" t="n">
        <v>0</v>
      </c>
      <c r="BI112" s="2" t="n">
        <v>29778.37</v>
      </c>
      <c r="BJ112" s="2" t="n">
        <v>50.22840336134454</v>
      </c>
      <c r="BK112" s="2" t="n">
        <v>0</v>
      </c>
      <c r="BL112" s="2" t="n">
        <v>20</v>
      </c>
      <c r="BM112" s="2" t="n">
        <v>0</v>
      </c>
      <c r="BN112" s="2" t="n">
        <v>5</v>
      </c>
      <c r="BO112" s="2" t="n">
        <v>0</v>
      </c>
      <c r="BP112" s="2" t="n">
        <v>151.37496</v>
      </c>
      <c r="BQ112" s="2" t="n">
        <v>0</v>
      </c>
      <c r="BR112" s="2" t="n">
        <v>30004.97336336134</v>
      </c>
      <c r="BS112" s="2" t="n">
        <v>761.1080672268907</v>
      </c>
      <c r="BT112" s="2" t="n">
        <v>201.6806722689076</v>
      </c>
      <c r="BU112" s="2" t="n">
        <v>6163.277428571429</v>
      </c>
      <c r="BV112" s="2" t="n">
        <v>7126.066168067226</v>
      </c>
      <c r="BW112" s="2" t="n">
        <v>37131.03953142857</v>
      </c>
      <c r="BX112" s="2" t="n">
        <v>10245.43</v>
      </c>
      <c r="BY112" s="2" t="n">
        <v>967.53</v>
      </c>
      <c r="BZ112" s="2" t="n">
        <v>4510.530000000001</v>
      </c>
      <c r="CA112" s="2" t="n">
        <v>11212.96</v>
      </c>
      <c r="CB112" s="2">
        <f>(BC112+IF(BD112="",0,BD112))-BW112</f>
        <v/>
      </c>
      <c r="CC112" t="inlineStr">
        <is>
          <t>ALERT: profit/loss &lt;= -5000</t>
        </is>
      </c>
    </row>
    <row r="113">
      <c r="A113" t="n">
        <v>1292</v>
      </c>
      <c r="B113" t="inlineStr">
        <is>
          <t>Dworcowa 8A, 84-310 Lębork</t>
        </is>
      </c>
      <c r="C113" t="inlineStr">
        <is>
          <t>Lębork</t>
        </is>
      </c>
      <c r="D113" t="inlineStr">
        <is>
          <t>FAA2000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2640.29</v>
      </c>
      <c r="L113" s="2" t="n">
        <v>219.7796953703703</v>
      </c>
      <c r="M113" s="2" t="n">
        <v>2444.712962962963</v>
      </c>
      <c r="N113" s="2" t="n">
        <v>1060.02</v>
      </c>
      <c r="O113" s="2" t="n">
        <v>1365.47</v>
      </c>
      <c r="P113" s="2" t="n">
        <v>214.8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5472.299999999999</v>
      </c>
      <c r="AP113" s="2" t="n">
        <v>4100</v>
      </c>
      <c r="AQ113" s="2" t="n">
        <v>5066.944444444443</v>
      </c>
      <c r="AR113" s="2" t="n">
        <v>2501.91</v>
      </c>
      <c r="AS113" s="2" t="n">
        <v>2831.99</v>
      </c>
      <c r="AT113" s="2" t="n">
        <v>138.4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8112.589999999999</v>
      </c>
      <c r="BB113" s="2" t="n">
        <v>4550.66</v>
      </c>
      <c r="BC113" s="2">
        <f>F113+L113+R113+X113+AD113+AJ113+AP113+AV113+IF(BE113="",0,BE113)</f>
        <v/>
      </c>
      <c r="BD113" s="2" t="n">
        <v>70.080164</v>
      </c>
      <c r="BE113" s="2" t="n"/>
      <c r="BF113" s="2" t="n">
        <v>7511.657407407406</v>
      </c>
      <c r="BG113" s="2" t="n">
        <v>0</v>
      </c>
      <c r="BH113" s="2" t="n">
        <v>0</v>
      </c>
      <c r="BI113" s="2" t="n">
        <v>29778.37</v>
      </c>
      <c r="BJ113" s="2" t="n">
        <v>50.22840336134454</v>
      </c>
      <c r="BK113" s="2" t="n">
        <v>0</v>
      </c>
      <c r="BL113" s="2" t="n">
        <v>20</v>
      </c>
      <c r="BM113" s="2" t="n">
        <v>0</v>
      </c>
      <c r="BN113" s="2" t="n">
        <v>5</v>
      </c>
      <c r="BO113" s="2" t="n">
        <v>0</v>
      </c>
      <c r="BP113" s="2" t="n">
        <v>61.43391</v>
      </c>
      <c r="BQ113" s="2" t="n">
        <v>0</v>
      </c>
      <c r="BR113" s="2" t="n">
        <v>29915.03231336134</v>
      </c>
      <c r="BS113" s="2" t="n">
        <v>761.1080672268907</v>
      </c>
      <c r="BT113" s="2" t="n">
        <v>201.6806722689076</v>
      </c>
      <c r="BU113" s="2" t="n">
        <v>6163.277428571429</v>
      </c>
      <c r="BV113" s="2" t="n">
        <v>7126.066168067226</v>
      </c>
      <c r="BW113" s="2" t="n">
        <v>37041.09848142857</v>
      </c>
      <c r="BX113" s="2" t="n">
        <v>4197.46</v>
      </c>
      <c r="BY113" s="2" t="n">
        <v>353.2</v>
      </c>
      <c r="BZ113" s="2" t="n">
        <v>3561.93</v>
      </c>
      <c r="CA113" s="2" t="n">
        <v>4550.66</v>
      </c>
      <c r="CB113" s="2">
        <f>(BC113+IF(BD113="",0,BD113))-BW113</f>
        <v/>
      </c>
      <c r="CC113" t="inlineStr">
        <is>
          <t>ALERT: profit/loss &lt;= -5000</t>
        </is>
      </c>
    </row>
    <row r="114">
      <c r="A114" t="n">
        <v>1293</v>
      </c>
      <c r="B114" t="inlineStr">
        <is>
          <t>Dworcowa 10, 84-100 Puck</t>
        </is>
      </c>
      <c r="C114" t="inlineStr">
        <is>
          <t>Puck</t>
        </is>
      </c>
      <c r="D114" t="inlineStr">
        <is>
          <t>FAA2000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1445</v>
      </c>
      <c r="AP114" s="2" t="n">
        <v>4200</v>
      </c>
      <c r="AQ114" s="2" t="n">
        <v>1337.962962962963</v>
      </c>
      <c r="AR114" s="2" t="n">
        <v>331.39</v>
      </c>
      <c r="AS114" s="2" t="n">
        <v>1051.17</v>
      </c>
      <c r="AT114" s="2" t="n">
        <v>62.44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1445</v>
      </c>
      <c r="BB114" s="2" t="n">
        <v>1113.61</v>
      </c>
      <c r="BC114" s="2">
        <f>F114+L114+R114+X114+AD114+AJ114+AP114+AV114+IF(BE114="",0,BE114)</f>
        <v/>
      </c>
      <c r="BD114" s="2" t="n">
        <v>17.149594</v>
      </c>
      <c r="BE114" s="2" t="n"/>
      <c r="BF114" s="2" t="n">
        <v>1337.962962962963</v>
      </c>
      <c r="BG114" s="2" t="n">
        <v>0</v>
      </c>
      <c r="BH114" s="2" t="n">
        <v>0</v>
      </c>
      <c r="BI114" s="2" t="n">
        <v>29778.37</v>
      </c>
      <c r="BJ114" s="2" t="n">
        <v>50.22840336134454</v>
      </c>
      <c r="BK114" s="2" t="n">
        <v>0</v>
      </c>
      <c r="BL114" s="2" t="n">
        <v>20</v>
      </c>
      <c r="BM114" s="2" t="n">
        <v>0</v>
      </c>
      <c r="BN114" s="2" t="n">
        <v>5</v>
      </c>
      <c r="BO114" s="2" t="n">
        <v>0</v>
      </c>
      <c r="BP114" s="2" t="n">
        <v>15.033735</v>
      </c>
      <c r="BQ114" s="2" t="n">
        <v>0</v>
      </c>
      <c r="BR114" s="2" t="n">
        <v>29868.63213836134</v>
      </c>
      <c r="BS114" s="2" t="n">
        <v>761.1080672268907</v>
      </c>
      <c r="BT114" s="2" t="n">
        <v>201.6806722689076</v>
      </c>
      <c r="BU114" s="2" t="n">
        <v>6163.277428571429</v>
      </c>
      <c r="BV114" s="2" t="n">
        <v>7126.066168067226</v>
      </c>
      <c r="BW114" s="2" t="n">
        <v>36994.69830642857</v>
      </c>
      <c r="BX114" s="2" t="n">
        <v>1051.17</v>
      </c>
      <c r="BY114" s="2" t="n">
        <v>62.44</v>
      </c>
      <c r="BZ114" s="2" t="n">
        <v>331.39</v>
      </c>
      <c r="CA114" s="2" t="n">
        <v>1113.61</v>
      </c>
      <c r="CB114" s="2">
        <f>(BC114+IF(BD114="",0,BD114))-BW114</f>
        <v/>
      </c>
      <c r="CC114" t="inlineStr">
        <is>
          <t>ALERT: profit/loss &lt;= -5000</t>
        </is>
      </c>
    </row>
    <row r="115">
      <c r="A115" t="n">
        <v>1294</v>
      </c>
      <c r="B115" t="inlineStr">
        <is>
          <t>Plac Dworcowy 3, 49-300 Brzeg</t>
        </is>
      </c>
      <c r="C115" t="inlineStr">
        <is>
          <t>Brzeg</t>
        </is>
      </c>
      <c r="D115" t="inlineStr">
        <is>
          <t>FAA2000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18318.54</v>
      </c>
      <c r="L115" s="2" t="n">
        <v>1524.848838888889</v>
      </c>
      <c r="M115" s="2" t="n">
        <v>16961.61111111111</v>
      </c>
      <c r="N115" s="2" t="n">
        <v>3936.03</v>
      </c>
      <c r="O115" s="2" t="n">
        <v>12844.94</v>
      </c>
      <c r="P115" s="2" t="n">
        <v>1537.57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22153.65</v>
      </c>
      <c r="AP115" s="2" t="n">
        <v>1723.061666666666</v>
      </c>
      <c r="AQ115" s="2" t="n">
        <v>20512.63888888889</v>
      </c>
      <c r="AR115" s="2" t="n">
        <v>4789.15</v>
      </c>
      <c r="AS115" s="2" t="n">
        <v>15364.63</v>
      </c>
      <c r="AT115" s="2" t="n">
        <v>1999.87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40472.19</v>
      </c>
      <c r="BB115" s="2" t="n">
        <v>31747.01</v>
      </c>
      <c r="BC115" s="2">
        <f>F115+L115+R115+X115+AD115+AJ115+AP115+AV115+IF(BE115="",0,BE115)</f>
        <v/>
      </c>
      <c r="BD115" s="2" t="n">
        <v>488.903954</v>
      </c>
      <c r="BE115" s="2" t="n"/>
      <c r="BF115" s="2" t="n">
        <v>37474.25</v>
      </c>
      <c r="BG115" s="2" t="n">
        <v>0</v>
      </c>
      <c r="BH115" s="2" t="n">
        <v>0</v>
      </c>
      <c r="BI115" s="2" t="n">
        <v>29778.37</v>
      </c>
      <c r="BJ115" s="2" t="n">
        <v>50.22840336134454</v>
      </c>
      <c r="BK115" s="2" t="n">
        <v>0</v>
      </c>
      <c r="BL115" s="2" t="n">
        <v>20</v>
      </c>
      <c r="BM115" s="2" t="n">
        <v>0</v>
      </c>
      <c r="BN115" s="2" t="n">
        <v>5</v>
      </c>
      <c r="BO115" s="2" t="n">
        <v>0</v>
      </c>
      <c r="BP115" s="2" t="n">
        <v>428.584635</v>
      </c>
      <c r="BQ115" s="2" t="n">
        <v>0</v>
      </c>
      <c r="BR115" s="2" t="n">
        <v>30282.18303836134</v>
      </c>
      <c r="BS115" s="2" t="n">
        <v>761.1080672268907</v>
      </c>
      <c r="BT115" s="2" t="n">
        <v>201.6806722689076</v>
      </c>
      <c r="BU115" s="2" t="n">
        <v>6163.277428571429</v>
      </c>
      <c r="BV115" s="2" t="n">
        <v>7126.066168067226</v>
      </c>
      <c r="BW115" s="2" t="n">
        <v>37408.24920642857</v>
      </c>
      <c r="BX115" s="2" t="n">
        <v>28209.57</v>
      </c>
      <c r="BY115" s="2" t="n">
        <v>3537.44</v>
      </c>
      <c r="BZ115" s="2" t="n">
        <v>8725.18</v>
      </c>
      <c r="CA115" s="2" t="n">
        <v>31747.01</v>
      </c>
      <c r="CB115" s="2">
        <f>(BC115+IF(BD115="",0,BD115))-BW115</f>
        <v/>
      </c>
      <c r="CC115" t="inlineStr">
        <is>
          <t>ALERT: profit/loss &lt;= -5000</t>
        </is>
      </c>
    </row>
    <row r="116">
      <c r="A116" t="n">
        <v>1295</v>
      </c>
      <c r="B116" t="inlineStr">
        <is>
          <t>Zygmunta Starego 1, 64-920 Piła</t>
        </is>
      </c>
      <c r="C116" t="inlineStr">
        <is>
          <t>Piła</t>
        </is>
      </c>
      <c r="D116" t="inlineStr">
        <is>
          <t>FAA2000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3480</v>
      </c>
      <c r="L116" s="2" t="n">
        <v>289.6777777777779</v>
      </c>
      <c r="M116" s="2" t="n">
        <v>3222.222222222223</v>
      </c>
      <c r="N116" s="2" t="n">
        <v>920.38</v>
      </c>
      <c r="O116" s="2" t="n">
        <v>2446.82</v>
      </c>
      <c r="P116" s="2" t="n">
        <v>112.8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5607.71</v>
      </c>
      <c r="AD116" s="2" t="n">
        <v>363.4626851851852</v>
      </c>
      <c r="AE116" s="2" t="n">
        <v>5192.324074074074</v>
      </c>
      <c r="AF116" s="2" t="n">
        <v>989.9</v>
      </c>
      <c r="AG116" s="2" t="n">
        <v>3974.53</v>
      </c>
      <c r="AH116" s="2" t="n">
        <v>643.28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9664.559999999999</v>
      </c>
      <c r="AP116" s="2" t="n">
        <v>751.688</v>
      </c>
      <c r="AQ116" s="2" t="n">
        <v>8948.666666666666</v>
      </c>
      <c r="AR116" s="2" t="n">
        <v>2619.59</v>
      </c>
      <c r="AS116" s="2" t="n">
        <v>6204.49</v>
      </c>
      <c r="AT116" s="2" t="n">
        <v>840.48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18752.27</v>
      </c>
      <c r="BB116" s="2" t="n">
        <v>14222.4</v>
      </c>
      <c r="BC116" s="2">
        <f>F116+L116+R116+X116+AD116+AJ116+AP116+AV116+IF(BE116="",0,BE116)</f>
        <v/>
      </c>
      <c r="BD116" s="2" t="n">
        <v>219.02496</v>
      </c>
      <c r="BE116" s="2" t="n"/>
      <c r="BF116" s="2" t="n">
        <v>17363.21296296296</v>
      </c>
      <c r="BG116" s="2" t="n">
        <v>0</v>
      </c>
      <c r="BH116" s="2" t="n">
        <v>0</v>
      </c>
      <c r="BI116" s="2" t="n">
        <v>29778.37</v>
      </c>
      <c r="BJ116" s="2" t="n">
        <v>50.22840336134454</v>
      </c>
      <c r="BK116" s="2" t="n">
        <v>0</v>
      </c>
      <c r="BL116" s="2" t="n">
        <v>20</v>
      </c>
      <c r="BM116" s="2" t="n">
        <v>0</v>
      </c>
      <c r="BN116" s="2" t="n">
        <v>5</v>
      </c>
      <c r="BO116" s="2" t="n">
        <v>0</v>
      </c>
      <c r="BP116" s="2" t="n">
        <v>192.0024</v>
      </c>
      <c r="BQ116" s="2" t="n">
        <v>0</v>
      </c>
      <c r="BR116" s="2" t="n">
        <v>30045.60080336134</v>
      </c>
      <c r="BS116" s="2" t="n">
        <v>761.1080672268907</v>
      </c>
      <c r="BT116" s="2" t="n">
        <v>201.6806722689076</v>
      </c>
      <c r="BU116" s="2" t="n">
        <v>6163.277428571429</v>
      </c>
      <c r="BV116" s="2" t="n">
        <v>7126.066168067226</v>
      </c>
      <c r="BW116" s="2" t="n">
        <v>37171.66697142857</v>
      </c>
      <c r="BX116" s="2" t="n">
        <v>12625.84</v>
      </c>
      <c r="BY116" s="2" t="n">
        <v>1596.56</v>
      </c>
      <c r="BZ116" s="2" t="n">
        <v>4529.87</v>
      </c>
      <c r="CA116" s="2" t="n">
        <v>14222.4</v>
      </c>
      <c r="CB116" s="2">
        <f>(BC116+IF(BD116="",0,BD116))-BW116</f>
        <v/>
      </c>
      <c r="CC116" t="inlineStr">
        <is>
          <t>ALERT: profit/loss &lt;= -5000</t>
        </is>
      </c>
    </row>
    <row r="117">
      <c r="A117" t="n">
        <v>1296</v>
      </c>
      <c r="B117" t="inlineStr">
        <is>
          <t>Dworcowa 2, 61-801 Poznań</t>
        </is>
      </c>
      <c r="C117" t="inlineStr">
        <is>
          <t>Poznań Główny</t>
        </is>
      </c>
      <c r="D117" t="inlineStr">
        <is>
          <t>FAA2000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9870.77</v>
      </c>
      <c r="L117" s="2" t="n">
        <v>821.6502064814816</v>
      </c>
      <c r="M117" s="2" t="n">
        <v>9139.601851851852</v>
      </c>
      <c r="N117" s="2" t="n">
        <v>2001.22</v>
      </c>
      <c r="O117" s="2" t="n">
        <v>7260.59</v>
      </c>
      <c r="P117" s="2" t="n">
        <v>608.96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17562.98</v>
      </c>
      <c r="AD117" s="2" t="n">
        <v>1138.341296296297</v>
      </c>
      <c r="AE117" s="2" t="n">
        <v>16262.01851851852</v>
      </c>
      <c r="AF117" s="2" t="n">
        <v>3274.25</v>
      </c>
      <c r="AG117" s="2" t="n">
        <v>13285.83</v>
      </c>
      <c r="AH117" s="2" t="n">
        <v>1002.9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5507</v>
      </c>
      <c r="AP117" s="2" t="n">
        <v>428.3222222222223</v>
      </c>
      <c r="AQ117" s="2" t="n">
        <v>5099.074074074074</v>
      </c>
      <c r="AR117" s="2" t="n">
        <v>874.63</v>
      </c>
      <c r="AS117" s="2" t="n">
        <v>4393.94</v>
      </c>
      <c r="AT117" s="2" t="n">
        <v>238.43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32940.75</v>
      </c>
      <c r="BB117" s="2" t="n">
        <v>26790.65</v>
      </c>
      <c r="BC117" s="2">
        <f>F117+L117+R117+X117+AD117+AJ117+AP117+AV117+IF(BE117="",0,BE117)</f>
        <v/>
      </c>
      <c r="BD117" s="2" t="n">
        <v>412.5760100000001</v>
      </c>
      <c r="BE117" s="2" t="n"/>
      <c r="BF117" s="2" t="n">
        <v>30500.69444444445</v>
      </c>
      <c r="BG117" s="2" t="n">
        <v>0</v>
      </c>
      <c r="BH117" s="2" t="n">
        <v>0</v>
      </c>
      <c r="BI117" s="2" t="n">
        <v>29778.37</v>
      </c>
      <c r="BJ117" s="2" t="n">
        <v>50.22840336134454</v>
      </c>
      <c r="BK117" s="2" t="n">
        <v>0</v>
      </c>
      <c r="BL117" s="2" t="n">
        <v>20</v>
      </c>
      <c r="BM117" s="2" t="n">
        <v>0</v>
      </c>
      <c r="BN117" s="2" t="n">
        <v>5</v>
      </c>
      <c r="BO117" s="2" t="n">
        <v>0</v>
      </c>
      <c r="BP117" s="2" t="n">
        <v>361.673775</v>
      </c>
      <c r="BQ117" s="2" t="n">
        <v>0</v>
      </c>
      <c r="BR117" s="2" t="n">
        <v>30215.27217836134</v>
      </c>
      <c r="BS117" s="2" t="n">
        <v>761.1080672268907</v>
      </c>
      <c r="BT117" s="2" t="n">
        <v>201.6806722689076</v>
      </c>
      <c r="BU117" s="2" t="n">
        <v>6163.277428571429</v>
      </c>
      <c r="BV117" s="2" t="n">
        <v>7126.066168067226</v>
      </c>
      <c r="BW117" s="2" t="n">
        <v>37341.33834642857</v>
      </c>
      <c r="BX117" s="2" t="n">
        <v>24940.36</v>
      </c>
      <c r="BY117" s="2" t="n">
        <v>1850.29</v>
      </c>
      <c r="BZ117" s="2" t="n">
        <v>6150.1</v>
      </c>
      <c r="CA117" s="2" t="n">
        <v>26790.65</v>
      </c>
      <c r="CB117" s="2">
        <f>(BC117+IF(BD117="",0,BD117))-BW117</f>
        <v/>
      </c>
      <c r="CC117" t="inlineStr">
        <is>
          <t>ALERT: profit/loss &lt;= -5000</t>
        </is>
      </c>
    </row>
    <row r="118">
      <c r="A118" t="n">
        <v>1297</v>
      </c>
      <c r="B118" t="inlineStr">
        <is>
          <t>Dworcowa 2, 61-801 Poznań</t>
        </is>
      </c>
      <c r="C118" t="inlineStr">
        <is>
          <t>Poznań Główny</t>
        </is>
      </c>
      <c r="D118" t="inlineStr">
        <is>
          <t>FAA2000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5050.150000000001</v>
      </c>
      <c r="L118" s="2" t="n">
        <v>420.3782268518519</v>
      </c>
      <c r="M118" s="2" t="n">
        <v>4676.064814814815</v>
      </c>
      <c r="N118" s="2" t="n">
        <v>808.7</v>
      </c>
      <c r="O118" s="2" t="n">
        <v>3845.06</v>
      </c>
      <c r="P118" s="2" t="n">
        <v>396.39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10840.89</v>
      </c>
      <c r="AD118" s="2" t="n">
        <v>702.6502777777778</v>
      </c>
      <c r="AE118" s="2" t="n">
        <v>10037.86111111111</v>
      </c>
      <c r="AF118" s="2" t="n">
        <v>1615.47</v>
      </c>
      <c r="AG118" s="2" t="n">
        <v>8350.360000000001</v>
      </c>
      <c r="AH118" s="2" t="n">
        <v>875.0599999999999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3787.11</v>
      </c>
      <c r="AP118" s="2" t="n">
        <v>294.5529999999999</v>
      </c>
      <c r="AQ118" s="2" t="n">
        <v>3506.583333333333</v>
      </c>
      <c r="AR118" s="2" t="n">
        <v>720.66</v>
      </c>
      <c r="AS118" s="2" t="n">
        <v>2756</v>
      </c>
      <c r="AT118" s="2" t="n">
        <v>310.45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19678.15</v>
      </c>
      <c r="BB118" s="2" t="n">
        <v>16533.32</v>
      </c>
      <c r="BC118" s="2">
        <f>F118+L118+R118+X118+AD118+AJ118+AP118+AV118+IF(BE118="",0,BE118)</f>
        <v/>
      </c>
      <c r="BD118" s="2" t="n">
        <v>254.613128</v>
      </c>
      <c r="BE118" s="2" t="n"/>
      <c r="BF118" s="2" t="n">
        <v>18220.50925925926</v>
      </c>
      <c r="BG118" s="2" t="n">
        <v>0</v>
      </c>
      <c r="BH118" s="2" t="n">
        <v>0</v>
      </c>
      <c r="BI118" s="2" t="n">
        <v>29778.37</v>
      </c>
      <c r="BJ118" s="2" t="n">
        <v>50.22840336134454</v>
      </c>
      <c r="BK118" s="2" t="n">
        <v>0</v>
      </c>
      <c r="BL118" s="2" t="n">
        <v>20</v>
      </c>
      <c r="BM118" s="2" t="n">
        <v>0</v>
      </c>
      <c r="BN118" s="2" t="n">
        <v>5</v>
      </c>
      <c r="BO118" s="2" t="n">
        <v>0</v>
      </c>
      <c r="BP118" s="2" t="n">
        <v>223.19982</v>
      </c>
      <c r="BQ118" s="2" t="n">
        <v>0</v>
      </c>
      <c r="BR118" s="2" t="n">
        <v>30076.79822336134</v>
      </c>
      <c r="BS118" s="2" t="n">
        <v>761.1080672268907</v>
      </c>
      <c r="BT118" s="2" t="n">
        <v>201.6806722689076</v>
      </c>
      <c r="BU118" s="2" t="n">
        <v>6163.277428571429</v>
      </c>
      <c r="BV118" s="2" t="n">
        <v>7126.066168067226</v>
      </c>
      <c r="BW118" s="2" t="n">
        <v>37202.86439142857</v>
      </c>
      <c r="BX118" s="2" t="n">
        <v>14951.42</v>
      </c>
      <c r="BY118" s="2" t="n">
        <v>1581.9</v>
      </c>
      <c r="BZ118" s="2" t="n">
        <v>3144.83</v>
      </c>
      <c r="CA118" s="2" t="n">
        <v>16533.32</v>
      </c>
      <c r="CB118" s="2">
        <f>(BC118+IF(BD118="",0,BD118))-BW118</f>
        <v/>
      </c>
      <c r="CC118" t="inlineStr">
        <is>
          <t>ALERT: profit/loss &lt;= -5000</t>
        </is>
      </c>
    </row>
    <row r="119">
      <c r="A119" t="n">
        <v>1298</v>
      </c>
      <c r="B119" t="inlineStr">
        <is>
          <t>Kolumba 2, 70-035 Szczecin</t>
        </is>
      </c>
      <c r="C119" t="inlineStr">
        <is>
          <t>Szczecin</t>
        </is>
      </c>
      <c r="D119" t="inlineStr">
        <is>
          <t>FAA2000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2973.4</v>
      </c>
      <c r="L119" s="2" t="n">
        <v>247.5080185185186</v>
      </c>
      <c r="M119" s="2" t="n">
        <v>2753.148148148148</v>
      </c>
      <c r="N119" s="2" t="n">
        <v>951.84</v>
      </c>
      <c r="O119" s="2" t="n">
        <v>1950.56</v>
      </c>
      <c r="P119" s="2" t="n">
        <v>71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17536.34</v>
      </c>
      <c r="AP119" s="2" t="n">
        <v>1363.937555555555</v>
      </c>
      <c r="AQ119" s="2" t="n">
        <v>16237.35185185185</v>
      </c>
      <c r="AR119" s="2" t="n">
        <v>6560.75</v>
      </c>
      <c r="AS119" s="2" t="n">
        <v>10285</v>
      </c>
      <c r="AT119" s="2" t="n">
        <v>690.59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20509.74</v>
      </c>
      <c r="BB119" s="2" t="n">
        <v>12997.15</v>
      </c>
      <c r="BC119" s="2">
        <f>F119+L119+R119+X119+AD119+AJ119+AP119+AV119+IF(BE119="",0,BE119)</f>
        <v/>
      </c>
      <c r="BD119" s="2" t="n">
        <v>200.15611</v>
      </c>
      <c r="BE119" s="2" t="n"/>
      <c r="BF119" s="2" t="n">
        <v>18990.5</v>
      </c>
      <c r="BG119" s="2" t="n">
        <v>0</v>
      </c>
      <c r="BH119" s="2" t="n">
        <v>0</v>
      </c>
      <c r="BI119" s="2" t="n">
        <v>29778.37</v>
      </c>
      <c r="BJ119" s="2" t="n">
        <v>50.22840336134454</v>
      </c>
      <c r="BK119" s="2" t="n">
        <v>0</v>
      </c>
      <c r="BL119" s="2" t="n">
        <v>20</v>
      </c>
      <c r="BM119" s="2" t="n">
        <v>0</v>
      </c>
      <c r="BN119" s="2" t="n">
        <v>5</v>
      </c>
      <c r="BO119" s="2" t="n">
        <v>0</v>
      </c>
      <c r="BP119" s="2" t="n">
        <v>175.461525</v>
      </c>
      <c r="BQ119" s="2" t="n">
        <v>0</v>
      </c>
      <c r="BR119" s="2" t="n">
        <v>30029.05992836134</v>
      </c>
      <c r="BS119" s="2" t="n">
        <v>761.1080672268907</v>
      </c>
      <c r="BT119" s="2" t="n">
        <v>201.6806722689076</v>
      </c>
      <c r="BU119" s="2" t="n">
        <v>6163.277428571429</v>
      </c>
      <c r="BV119" s="2" t="n">
        <v>7126.066168067226</v>
      </c>
      <c r="BW119" s="2" t="n">
        <v>37155.12609642857</v>
      </c>
      <c r="BX119" s="2" t="n">
        <v>12235.56</v>
      </c>
      <c r="BY119" s="2" t="n">
        <v>761.59</v>
      </c>
      <c r="BZ119" s="2" t="n">
        <v>7512.59</v>
      </c>
      <c r="CA119" s="2" t="n">
        <v>12997.15</v>
      </c>
      <c r="CB119" s="2">
        <f>(BC119+IF(BD119="",0,BD119))-BW119</f>
        <v/>
      </c>
      <c r="CC119" t="inlineStr">
        <is>
          <t>ALERT: profit/loss &lt;= -5000</t>
        </is>
      </c>
    </row>
    <row r="120">
      <c r="A120" t="n">
        <v>1299</v>
      </c>
      <c r="B120" t="inlineStr">
        <is>
          <t>Pawia 5a, 31-154 Kraków</t>
        </is>
      </c>
      <c r="C120" t="inlineStr">
        <is>
          <t>Kraków Główny</t>
        </is>
      </c>
      <c r="D120" t="inlineStr">
        <is>
          <t>FAA2000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11154.67</v>
      </c>
      <c r="L120" s="2" t="n">
        <v>928.5229935185185</v>
      </c>
      <c r="M120" s="2" t="n">
        <v>10328.39814814815</v>
      </c>
      <c r="N120" s="2" t="n">
        <v>3062.5</v>
      </c>
      <c r="O120" s="2" t="n">
        <v>7633.77</v>
      </c>
      <c r="P120" s="2" t="n">
        <v>458.4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8536.660000000002</v>
      </c>
      <c r="X120" s="2" t="n">
        <v>880</v>
      </c>
      <c r="Y120" s="2" t="n">
        <v>7904.314814814816</v>
      </c>
      <c r="Z120" s="2" t="n">
        <v>843.4</v>
      </c>
      <c r="AA120" s="2" t="n">
        <v>7495.06</v>
      </c>
      <c r="AB120" s="2" t="n">
        <v>198.2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5930.82</v>
      </c>
      <c r="AP120" s="2" t="n">
        <v>461.2859999999999</v>
      </c>
      <c r="AQ120" s="2" t="n">
        <v>5491.499999999999</v>
      </c>
      <c r="AR120" s="2" t="n">
        <v>1295.01</v>
      </c>
      <c r="AS120" s="2" t="n">
        <v>4366.86</v>
      </c>
      <c r="AT120" s="2" t="n">
        <v>268.95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25622.15</v>
      </c>
      <c r="BB120" s="2" t="n">
        <v>20421.24</v>
      </c>
      <c r="BC120" s="2">
        <f>F120+L120+R120+X120+AD120+AJ120+AP120+AV120+IF(BE120="",0,BE120)</f>
        <v/>
      </c>
      <c r="BD120" s="2" t="n">
        <v>299.869902</v>
      </c>
      <c r="BE120" s="2" t="n"/>
      <c r="BF120" s="2" t="n">
        <v>23724.21296296296</v>
      </c>
      <c r="BG120" s="2" t="n">
        <v>0</v>
      </c>
      <c r="BH120" s="2" t="n">
        <v>0</v>
      </c>
      <c r="BI120" s="2" t="n">
        <v>29778.37</v>
      </c>
      <c r="BJ120" s="2" t="n">
        <v>50.22840336134454</v>
      </c>
      <c r="BK120" s="2" t="n">
        <v>0</v>
      </c>
      <c r="BL120" s="2" t="n">
        <v>20</v>
      </c>
      <c r="BM120" s="2" t="n">
        <v>0</v>
      </c>
      <c r="BN120" s="2" t="n">
        <v>5</v>
      </c>
      <c r="BO120" s="2" t="n">
        <v>0</v>
      </c>
      <c r="BP120" s="2" t="n">
        <v>275.68674</v>
      </c>
      <c r="BQ120" s="2" t="n">
        <v>0</v>
      </c>
      <c r="BR120" s="2" t="n">
        <v>30129.28514336134</v>
      </c>
      <c r="BS120" s="2" t="n">
        <v>761.1080672268907</v>
      </c>
      <c r="BT120" s="2" t="n">
        <v>201.6806722689076</v>
      </c>
      <c r="BU120" s="2" t="n">
        <v>6163.277428571429</v>
      </c>
      <c r="BV120" s="2" t="n">
        <v>7126.066168067226</v>
      </c>
      <c r="BW120" s="2" t="n">
        <v>37255.35131142857</v>
      </c>
      <c r="BX120" s="2" t="n">
        <v>19495.69</v>
      </c>
      <c r="BY120" s="2" t="n">
        <v>925.55</v>
      </c>
      <c r="BZ120" s="2" t="n">
        <v>5200.91</v>
      </c>
      <c r="CA120" s="2" t="n">
        <v>20421.24</v>
      </c>
      <c r="CB120" s="2">
        <f>(BC120+IF(BD120="",0,BD120))-BW120</f>
        <v/>
      </c>
      <c r="CC120" t="inlineStr">
        <is>
          <t>ALERT: profit/loss &lt;= -5000</t>
        </is>
      </c>
    </row>
    <row r="121">
      <c r="A121" s="3" t="inlineStr">
        <is>
          <t>PODSUMOWANIE</t>
        </is>
      </c>
      <c r="B121" s="3" t="n"/>
      <c r="C121" s="3" t="n"/>
      <c r="D121" s="3" t="n"/>
      <c r="E121" s="4">
        <f>SUM(E2:E120)</f>
        <v/>
      </c>
      <c r="F121" s="4">
        <f>SUM(F2:F120)</f>
        <v/>
      </c>
      <c r="G121" s="4">
        <f>SUM(G2:G120)</f>
        <v/>
      </c>
      <c r="H121" s="4">
        <f>SUM(H2:H120)</f>
        <v/>
      </c>
      <c r="I121" s="4">
        <f>SUM(I2:I120)</f>
        <v/>
      </c>
      <c r="J121" s="4">
        <f>SUM(J2:J120)</f>
        <v/>
      </c>
      <c r="K121" s="4">
        <f>SUM(K2:K120)</f>
        <v/>
      </c>
      <c r="L121" s="4">
        <f>SUM(L2:L120)</f>
        <v/>
      </c>
      <c r="M121" s="4">
        <f>SUM(M2:M120)</f>
        <v/>
      </c>
      <c r="N121" s="4">
        <f>SUM(N2:N120)</f>
        <v/>
      </c>
      <c r="O121" s="4">
        <f>SUM(O2:O120)</f>
        <v/>
      </c>
      <c r="P121" s="4">
        <f>SUM(P2:P120)</f>
        <v/>
      </c>
      <c r="Q121" s="4">
        <f>SUM(Q2:Q120)</f>
        <v/>
      </c>
      <c r="R121" s="4">
        <f>SUM(R2:R120)</f>
        <v/>
      </c>
      <c r="S121" s="4">
        <f>SUM(S2:S120)</f>
        <v/>
      </c>
      <c r="T121" s="4">
        <f>SUM(T2:T120)</f>
        <v/>
      </c>
      <c r="U121" s="4">
        <f>SUM(U2:U120)</f>
        <v/>
      </c>
      <c r="V121" s="4">
        <f>SUM(V2:V120)</f>
        <v/>
      </c>
      <c r="W121" s="4">
        <f>SUM(W2:W120)</f>
        <v/>
      </c>
      <c r="X121" s="4">
        <f>SUM(X2:X120)</f>
        <v/>
      </c>
      <c r="Y121" s="4">
        <f>SUM(Y2:Y120)</f>
        <v/>
      </c>
      <c r="Z121" s="4">
        <f>SUM(Z2:Z120)</f>
        <v/>
      </c>
      <c r="AA121" s="4">
        <f>SUM(AA2:AA120)</f>
        <v/>
      </c>
      <c r="AB121" s="4">
        <f>SUM(AB2:AB120)</f>
        <v/>
      </c>
      <c r="AC121" s="4">
        <f>SUM(AC2:AC120)</f>
        <v/>
      </c>
      <c r="AD121" s="4">
        <f>SUM(AD2:AD120)</f>
        <v/>
      </c>
      <c r="AE121" s="4">
        <f>SUM(AE2:AE120)</f>
        <v/>
      </c>
      <c r="AF121" s="4">
        <f>SUM(AF2:AF120)</f>
        <v/>
      </c>
      <c r="AG121" s="4">
        <f>SUM(AG2:AG120)</f>
        <v/>
      </c>
      <c r="AH121" s="4">
        <f>SUM(AH2:AH120)</f>
        <v/>
      </c>
      <c r="AI121" s="4">
        <f>SUM(AI2:AI120)</f>
        <v/>
      </c>
      <c r="AJ121" s="4">
        <f>SUM(AJ2:AJ120)</f>
        <v/>
      </c>
      <c r="AK121" s="4">
        <f>SUM(AK2:AK120)</f>
        <v/>
      </c>
      <c r="AL121" s="4">
        <f>SUM(AL2:AL120)</f>
        <v/>
      </c>
      <c r="AM121" s="4">
        <f>SUM(AM2:AM120)</f>
        <v/>
      </c>
      <c r="AN121" s="4">
        <f>SUM(AN2:AN120)</f>
        <v/>
      </c>
      <c r="AO121" s="4">
        <f>SUM(AO2:AO120)</f>
        <v/>
      </c>
      <c r="AP121" s="4">
        <f>SUM(AP2:AP120)</f>
        <v/>
      </c>
      <c r="AQ121" s="4">
        <f>SUM(AQ2:AQ120)</f>
        <v/>
      </c>
      <c r="AR121" s="4">
        <f>SUM(AR2:AR120)</f>
        <v/>
      </c>
      <c r="AS121" s="4">
        <f>SUM(AS2:AS120)</f>
        <v/>
      </c>
      <c r="AT121" s="4">
        <f>SUM(AT2:AT120)</f>
        <v/>
      </c>
      <c r="AU121" s="4">
        <f>SUM(AU2:AU120)</f>
        <v/>
      </c>
      <c r="AV121" s="4">
        <f>SUM(AV2:AV120)</f>
        <v/>
      </c>
      <c r="AW121" s="4">
        <f>SUM(AW2:AW120)</f>
        <v/>
      </c>
      <c r="AX121" s="4">
        <f>SUM(AX2:AX120)</f>
        <v/>
      </c>
      <c r="AY121" s="4">
        <f>SUM(AY2:AY120)</f>
        <v/>
      </c>
      <c r="AZ121" s="4">
        <f>SUM(AZ2:AZ120)</f>
        <v/>
      </c>
      <c r="BA121" s="4">
        <f>SUM(BA2:BA120)</f>
        <v/>
      </c>
      <c r="BB121" s="4">
        <f>SUM(BB2:BB120)</f>
        <v/>
      </c>
      <c r="BC121" s="4">
        <f>SUM(BC2:BC120)</f>
        <v/>
      </c>
      <c r="BD121" s="4">
        <f>SUM(BD2:BD120)</f>
        <v/>
      </c>
      <c r="BE121" s="4">
        <f>SUM(BE2:BE120)</f>
        <v/>
      </c>
      <c r="BF121" s="4">
        <f>SUM(BF2:BF120)</f>
        <v/>
      </c>
      <c r="BG121" s="4">
        <f>SUM(BG2:BG120)</f>
        <v/>
      </c>
      <c r="BH121" s="4">
        <f>SUM(BH2:BH120)</f>
        <v/>
      </c>
      <c r="BI121" s="4">
        <f>SUM(BI2:BI120)</f>
        <v/>
      </c>
      <c r="BJ121" s="4">
        <f>SUM(BJ2:BJ120)</f>
        <v/>
      </c>
      <c r="BK121" s="4">
        <f>SUM(BK2:BK120)</f>
        <v/>
      </c>
      <c r="BL121" s="4">
        <f>SUM(BL2:BL120)</f>
        <v/>
      </c>
      <c r="BM121" s="4">
        <f>SUM(BM2:BM120)</f>
        <v/>
      </c>
      <c r="BN121" s="4">
        <f>SUM(BN2:BN120)</f>
        <v/>
      </c>
      <c r="BO121" s="4">
        <f>SUM(BO2:BO120)</f>
        <v/>
      </c>
      <c r="BP121" s="4">
        <f>SUM(BP2:BP120)</f>
        <v/>
      </c>
      <c r="BQ121" s="4">
        <f>SUM(BQ2:BQ120)</f>
        <v/>
      </c>
      <c r="BR121" s="4">
        <f>SUM(BR2:BR120)</f>
        <v/>
      </c>
      <c r="BS121" s="4">
        <f>SUM(BS2:BS120)</f>
        <v/>
      </c>
      <c r="BT121" s="4">
        <f>SUM(BT2:BT120)</f>
        <v/>
      </c>
      <c r="BU121" s="4">
        <f>SUM(BU2:BU120)</f>
        <v/>
      </c>
      <c r="BV121" s="4">
        <f>SUM(BV2:BV120)</f>
        <v/>
      </c>
      <c r="BW121" s="4">
        <f>SUM(BW2:BW120)</f>
        <v/>
      </c>
      <c r="BX121" s="4">
        <f>SUM(BX2:BX120)</f>
        <v/>
      </c>
      <c r="BY121" s="4">
        <f>SUM(BY2:BY120)</f>
        <v/>
      </c>
      <c r="BZ121" s="4">
        <f>SUM(BZ2:BZ120)</f>
        <v/>
      </c>
      <c r="CA121" s="4">
        <f>SUM(CA2:CA120)</f>
        <v/>
      </c>
      <c r="CB121" s="4">
        <f>SUM(CB2:CB120)</f>
        <v/>
      </c>
      <c r="CC121" s="3" t="n"/>
    </row>
  </sheetData>
  <conditionalFormatting sqref="CB2:CB120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1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5" customWidth="1" min="11" max="11"/>
    <col width="22" customWidth="1" min="12" max="12"/>
    <col width="22" customWidth="1" min="13" max="13"/>
    <col width="21" customWidth="1" min="14" max="14"/>
    <col width="21" customWidth="1" min="15" max="15"/>
    <col width="26" customWidth="1" min="16" max="16"/>
    <col width="6" customWidth="1" min="17" max="17"/>
    <col width="33" customWidth="1" min="18" max="18"/>
    <col width="13" customWidth="1" min="19" max="19"/>
    <col width="21" customWidth="1" min="20" max="20"/>
    <col width="6" customWidth="1" min="21" max="21"/>
    <col width="33" customWidth="1" min="22" max="22"/>
    <col width="13" customWidth="1" min="23" max="23"/>
    <col width="21" customWidth="1" min="24" max="24"/>
    <col width="6" customWidth="1" min="25" max="25"/>
    <col width="6" customWidth="1" min="26" max="26"/>
    <col hidden="1" width="32" customWidth="1" min="27" max="27"/>
    <col hidden="1" width="20" customWidth="1" min="28" max="28"/>
    <col hidden="1" width="20" customWidth="1" min="29" max="29"/>
    <col hidden="1" width="20" customWidth="1" min="30" max="30"/>
    <col hidden="1" width="20" customWidth="1" min="31" max="31"/>
    <col hidden="1" width="20" customWidth="1" min="32" max="32"/>
    <col hidden="1" width="20" customWidth="1" min="33" max="33"/>
    <col hidden="1" width="20" customWidth="1" min="34" max="34"/>
    <col hidden="1" width="20" customWidth="1" min="35" max="35"/>
    <col hidden="1" width="20" customWidth="1" min="36" max="36"/>
    <col hidden="1" width="20" customWidth="1" min="37" max="37"/>
    <col hidden="1" width="20" customWidth="1" min="38" max="38"/>
    <col hidden="1" width="20" customWidth="1" min="39" max="39"/>
    <col hidden="1" width="20" customWidth="1" min="40" max="40"/>
    <col hidden="1" width="20" customWidth="1" min="41" max="41"/>
    <col hidden="1" width="6" customWidth="1" min="42" max="42"/>
    <col hidden="1" width="6" customWidth="1" min="43" max="43"/>
    <col hidden="1" width="33" customWidth="1" min="44" max="44"/>
    <col hidden="1" width="9" customWidth="1" min="45" max="45"/>
    <col hidden="1" width="9" customWidth="1" min="46" max="46"/>
    <col hidden="1" width="9" customWidth="1" min="47" max="47"/>
    <col hidden="1" width="9" customWidth="1" min="48" max="48"/>
    <col hidden="1" width="9" customWidth="1" min="49" max="49"/>
    <col hidden="1" width="9" customWidth="1" min="50" max="50"/>
    <col hidden="1" width="9" customWidth="1" min="51" max="51"/>
    <col hidden="1" width="9" customWidth="1" min="52" max="52"/>
    <col hidden="1" width="9" customWidth="1" min="53" max="53"/>
    <col hidden="1" width="9" customWidth="1" min="54" max="54"/>
    <col hidden="1" width="9" customWidth="1" min="55" max="55"/>
    <col hidden="1" width="9" customWidth="1" min="56" max="56"/>
    <col hidden="1" width="9" customWidth="1" min="57" max="57"/>
    <col hidden="1" width="9" customWidth="1" min="58" max="58"/>
    <col hidden="1" width="6" customWidth="1" min="59" max="59"/>
    <col hidden="1" width="18" customWidth="1" min="60" max="60"/>
  </cols>
  <sheetData>
    <row r="1">
      <c r="A1" s="1" t="inlineStr">
        <is>
          <t>Nr aut.</t>
        </is>
      </c>
      <c r="B1" s="1" t="inlineStr">
        <is>
          <t>Profit/loss styczen</t>
        </is>
      </c>
      <c r="C1" s="1" t="inlineStr">
        <is>
          <t>Profit/loss luty</t>
        </is>
      </c>
      <c r="D1" s="1" t="inlineStr">
        <is>
          <t>Profit/loss marzec</t>
        </is>
      </c>
      <c r="E1" s="1" t="inlineStr">
        <is>
          <t>Profit/loss kwiecien</t>
        </is>
      </c>
      <c r="F1" s="1" t="inlineStr">
        <is>
          <t>Profit/loss maj</t>
        </is>
      </c>
      <c r="G1" s="1" t="inlineStr">
        <is>
          <t>Profit/loss czerwiec</t>
        </is>
      </c>
      <c r="H1" s="1" t="inlineStr">
        <is>
          <t>Profit/loss lipiec</t>
        </is>
      </c>
      <c r="I1" s="1" t="inlineStr">
        <is>
          <t>Profit/loss sierpien</t>
        </is>
      </c>
      <c r="J1" s="1" t="inlineStr">
        <is>
          <t>Profit/loss wrzesien</t>
        </is>
      </c>
      <c r="K1" s="1" t="inlineStr">
        <is>
          <t>Profit/loss pazdziernik</t>
        </is>
      </c>
      <c r="L1" s="1" t="inlineStr">
        <is>
          <t>Profit/loss listopad</t>
        </is>
      </c>
      <c r="M1" s="1" t="inlineStr">
        <is>
          <t>Profit/loss grudzien</t>
        </is>
      </c>
      <c r="N1" s="1" t="inlineStr">
        <is>
          <t>Profit/loss styczen</t>
        </is>
      </c>
      <c r="O1" s="1" t="inlineStr">
        <is>
          <t>Profit/loss luty</t>
        </is>
      </c>
      <c r="P1" s="1" t="inlineStr">
        <is>
          <t>Zestawienie roczne (+/-)</t>
        </is>
      </c>
      <c r="R1" s="5" t="inlineStr">
        <is>
          <t>Najlepszy automat (Profit/loss)</t>
        </is>
      </c>
      <c r="V1" s="6" t="inlineStr">
        <is>
          <t>Najgorszy automat (Profit/loss)</t>
        </is>
      </c>
      <c r="AA1" t="inlineStr">
        <is>
          <t>Dane pomocnicze netto (ukryte)</t>
        </is>
      </c>
      <c r="AR1" t="inlineStr">
        <is>
          <t>Dane pomocnicze bilety (ukryte)</t>
        </is>
      </c>
      <c r="BH1" t="inlineStr">
        <is>
          <t>Metryki (ukryte)</t>
        </is>
      </c>
    </row>
    <row r="2">
      <c r="A2" t="n">
        <v>1101</v>
      </c>
      <c r="B2" s="2" t="n">
        <v>-30778.64782315457</v>
      </c>
      <c r="C2" s="2" t="n">
        <v>-25346.89306307984</v>
      </c>
      <c r="D2" s="2" t="n">
        <v>-38201.01725040159</v>
      </c>
      <c r="E2" s="2" t="n">
        <v>-39743.69305926229</v>
      </c>
      <c r="F2" s="2" t="n">
        <v>-43166.56433725926</v>
      </c>
      <c r="G2" s="2" t="n">
        <v>-47545.25284649801</v>
      </c>
      <c r="H2" s="2" t="n">
        <v>-58262.12521346722</v>
      </c>
      <c r="I2" s="2" t="n">
        <v>-52761.66011514975</v>
      </c>
      <c r="J2" s="2" t="n">
        <v>-52982.76113010256</v>
      </c>
      <c r="K2" s="2" t="n">
        <v>-39138.76418946467</v>
      </c>
      <c r="L2" s="2" t="n">
        <v>-17599.83766889372</v>
      </c>
      <c r="M2" s="2" t="n">
        <v>-77142.94346435888</v>
      </c>
      <c r="N2" s="2" t="n">
        <v>-36162.79864589744</v>
      </c>
      <c r="O2" s="2" t="n">
        <v>-34105.43469120634</v>
      </c>
      <c r="P2" t="inlineStr">
        <is>
          <t>MINUS</t>
        </is>
      </c>
      <c r="R2" s="5" t="inlineStr">
        <is>
          <t>Miesiąc</t>
        </is>
      </c>
      <c r="S2" s="5" t="inlineStr">
        <is>
          <t>Nr automatu</t>
        </is>
      </c>
      <c r="T2" s="5" t="inlineStr">
        <is>
          <t>Kwota</t>
        </is>
      </c>
      <c r="V2" s="6" t="inlineStr">
        <is>
          <t>Miesiąc</t>
        </is>
      </c>
      <c r="W2" s="6" t="inlineStr">
        <is>
          <t>Nr automatu</t>
        </is>
      </c>
      <c r="X2" s="6" t="inlineStr">
        <is>
          <t>Kwota</t>
        </is>
      </c>
      <c r="AA2" t="inlineStr">
        <is>
          <t>Nr aut.</t>
        </is>
      </c>
      <c r="AB2" t="inlineStr">
        <is>
          <t>2025-01</t>
        </is>
      </c>
      <c r="AC2" t="inlineStr">
        <is>
          <t>2025-02</t>
        </is>
      </c>
      <c r="AD2" t="inlineStr">
        <is>
          <t>2025-03</t>
        </is>
      </c>
      <c r="AE2" t="inlineStr">
        <is>
          <t>2025-04</t>
        </is>
      </c>
      <c r="AF2" t="inlineStr">
        <is>
          <t>2025-05</t>
        </is>
      </c>
      <c r="AG2" t="inlineStr">
        <is>
          <t>2025-06</t>
        </is>
      </c>
      <c r="AH2" t="inlineStr">
        <is>
          <t>2025-07</t>
        </is>
      </c>
      <c r="AI2" t="inlineStr">
        <is>
          <t>2025-08</t>
        </is>
      </c>
      <c r="AJ2" t="inlineStr">
        <is>
          <t>2025-09</t>
        </is>
      </c>
      <c r="AK2" t="inlineStr">
        <is>
          <t>2025-10</t>
        </is>
      </c>
      <c r="AL2" t="inlineStr">
        <is>
          <t>2025-11</t>
        </is>
      </c>
      <c r="AM2" t="inlineStr">
        <is>
          <t>2025-12</t>
        </is>
      </c>
      <c r="AN2" t="inlineStr">
        <is>
          <t>2026-01</t>
        </is>
      </c>
      <c r="AO2" t="inlineStr">
        <is>
          <t>2026-02</t>
        </is>
      </c>
      <c r="AR2" t="inlineStr">
        <is>
          <t>Nr aut.</t>
        </is>
      </c>
      <c r="AS2" t="inlineStr">
        <is>
          <t>2025-01</t>
        </is>
      </c>
      <c r="AT2" t="inlineStr">
        <is>
          <t>2025-02</t>
        </is>
      </c>
      <c r="AU2" t="inlineStr">
        <is>
          <t>2025-03</t>
        </is>
      </c>
      <c r="AV2" t="inlineStr">
        <is>
          <t>2025-04</t>
        </is>
      </c>
      <c r="AW2" t="inlineStr">
        <is>
          <t>2025-05</t>
        </is>
      </c>
      <c r="AX2" t="inlineStr">
        <is>
          <t>2025-06</t>
        </is>
      </c>
      <c r="AY2" t="inlineStr">
        <is>
          <t>2025-07</t>
        </is>
      </c>
      <c r="AZ2" t="inlineStr">
        <is>
          <t>2025-08</t>
        </is>
      </c>
      <c r="BA2" t="inlineStr">
        <is>
          <t>2025-09</t>
        </is>
      </c>
      <c r="BB2" t="inlineStr">
        <is>
          <t>2025-10</t>
        </is>
      </c>
      <c r="BC2" t="inlineStr">
        <is>
          <t>2025-11</t>
        </is>
      </c>
      <c r="BD2" t="inlineStr">
        <is>
          <t>2025-12</t>
        </is>
      </c>
      <c r="BE2" t="inlineStr">
        <is>
          <t>2026-01</t>
        </is>
      </c>
      <c r="BF2" t="inlineStr">
        <is>
          <t>2026-02</t>
        </is>
      </c>
      <c r="BH2" t="inlineStr">
        <is>
          <t>Netto Suma</t>
        </is>
      </c>
    </row>
    <row r="3">
      <c r="A3" t="n">
        <v>1102</v>
      </c>
      <c r="B3" s="2" t="n">
        <v>-31140.7792253768</v>
      </c>
      <c r="C3" s="2" t="n">
        <v>-10309.71720759837</v>
      </c>
      <c r="D3" s="2" t="n">
        <v>-38270.88293658678</v>
      </c>
      <c r="E3" s="2" t="n">
        <v>-39900.97977952156</v>
      </c>
      <c r="F3" s="2" t="n">
        <v>-43604.35053170371</v>
      </c>
      <c r="G3" s="2" t="n">
        <v>-48290.19288727579</v>
      </c>
      <c r="H3" s="2" t="n">
        <v>-59486.00069102279</v>
      </c>
      <c r="I3" s="2" t="n">
        <v>-54144.5601138905</v>
      </c>
      <c r="J3" s="2" t="n">
        <v>-53155.88251825071</v>
      </c>
      <c r="K3" s="2" t="n">
        <v>-39277.02397472394</v>
      </c>
      <c r="L3" s="2" t="n">
        <v>-18016.95469789372</v>
      </c>
      <c r="M3" s="2" t="n">
        <v>-77727.1045758774</v>
      </c>
      <c r="N3" s="2" t="n">
        <v>-37069.65305630484</v>
      </c>
      <c r="O3" s="2" t="n">
        <v>-36388.01700924338</v>
      </c>
      <c r="P3" t="inlineStr">
        <is>
          <t>MINUS</t>
        </is>
      </c>
      <c r="R3" t="inlineStr">
        <is>
          <t>styczen</t>
        </is>
      </c>
      <c r="S3" t="n">
        <v>1121</v>
      </c>
      <c r="T3" s="2" t="n">
        <v>-24916.00124041384</v>
      </c>
      <c r="V3" t="inlineStr">
        <is>
          <t>styczen</t>
        </is>
      </c>
      <c r="W3" t="n">
        <v>1216</v>
      </c>
      <c r="X3" s="2" t="n">
        <v>-33947.98393252495</v>
      </c>
      <c r="AA3" t="n">
        <v>1101</v>
      </c>
      <c r="AB3" s="2" t="n">
        <v>44114.75</v>
      </c>
      <c r="AC3" s="2" t="n">
        <v>40467.48148148147</v>
      </c>
      <c r="AD3" s="2" t="n">
        <v>44558.64814814815</v>
      </c>
      <c r="AE3" s="2" t="n">
        <v>49016.62037037036</v>
      </c>
      <c r="AF3" s="2" t="n">
        <v>54797.68518518518</v>
      </c>
      <c r="AG3" s="2" t="n">
        <v>62316.21296296296</v>
      </c>
      <c r="AH3" s="2" t="n">
        <v>69521.56481481482</v>
      </c>
      <c r="AI3" s="2" t="n">
        <v>78193.83333333331</v>
      </c>
      <c r="AJ3" s="2" t="n">
        <v>51286.39814814815</v>
      </c>
      <c r="AK3" s="2" t="n">
        <v>47547.25</v>
      </c>
      <c r="AL3" s="2" t="n">
        <v>51743.01851851853</v>
      </c>
      <c r="AM3" s="2" t="n">
        <v>59315.52777777777</v>
      </c>
      <c r="AN3" s="2" t="n">
        <v>51097.37962962962</v>
      </c>
      <c r="AO3" s="2" t="n">
        <v>46473.53703703704</v>
      </c>
      <c r="AR3" t="n">
        <v>1101</v>
      </c>
      <c r="AS3" t="n">
        <v>2097</v>
      </c>
      <c r="AT3" t="n">
        <v>1993</v>
      </c>
      <c r="AU3" t="n">
        <v>2139</v>
      </c>
      <c r="AV3" t="n">
        <v>2411</v>
      </c>
      <c r="AW3" t="n">
        <v>2669</v>
      </c>
      <c r="AX3" t="n">
        <v>2855</v>
      </c>
      <c r="AY3" t="n">
        <v>3162</v>
      </c>
      <c r="AZ3" t="n">
        <v>3201</v>
      </c>
      <c r="BA3" t="n">
        <v>2528</v>
      </c>
      <c r="BB3" t="n">
        <v>2611</v>
      </c>
      <c r="BC3" t="n">
        <v>2633</v>
      </c>
      <c r="BD3" t="n">
        <v>2775</v>
      </c>
      <c r="BE3" t="n">
        <v>2426</v>
      </c>
      <c r="BF3" t="n">
        <v>2307</v>
      </c>
      <c r="BH3" t="inlineStr">
        <is>
          <t>Liczba biletów</t>
        </is>
      </c>
    </row>
    <row r="4">
      <c r="A4" t="n">
        <v>1103</v>
      </c>
      <c r="B4" s="2" t="n">
        <v>-31434.79041248791</v>
      </c>
      <c r="C4" s="2" t="n">
        <v>-30990.55986547138</v>
      </c>
      <c r="D4" s="2" t="n">
        <v>-5140.168475630981</v>
      </c>
      <c r="E4" s="2" t="n">
        <v>-39402.91393837341</v>
      </c>
      <c r="F4" s="2" t="n">
        <v>-43061.72864122222</v>
      </c>
      <c r="G4" s="2" t="n">
        <v>-47814.8523806832</v>
      </c>
      <c r="H4" s="2" t="n">
        <v>-58712.59697868946</v>
      </c>
      <c r="I4" s="2" t="n">
        <v>-53480.48148126086</v>
      </c>
      <c r="J4" s="2" t="n">
        <v>-52705.15319095441</v>
      </c>
      <c r="K4" s="2" t="n">
        <v>-38725.76007205727</v>
      </c>
      <c r="L4" s="2" t="n">
        <v>-17136.44079352335</v>
      </c>
      <c r="M4" s="2" t="n">
        <v>-77058.55690139592</v>
      </c>
      <c r="N4" s="2" t="n">
        <v>-36503.63094678632</v>
      </c>
      <c r="O4" s="2" t="n">
        <v>-35946.93443646561</v>
      </c>
      <c r="P4" t="inlineStr">
        <is>
          <t>MINUS</t>
        </is>
      </c>
      <c r="R4" t="inlineStr">
        <is>
          <t>luty</t>
        </is>
      </c>
      <c r="S4" t="n">
        <v>1112</v>
      </c>
      <c r="T4" s="2" t="n">
        <v>-7164.813627931699</v>
      </c>
      <c r="V4" t="inlineStr">
        <is>
          <t>luty</t>
        </is>
      </c>
      <c r="W4" t="n">
        <v>1250</v>
      </c>
      <c r="X4" s="2" t="n">
        <v>-32756.0963969899</v>
      </c>
      <c r="AA4" t="n">
        <v>1102</v>
      </c>
      <c r="AB4" s="2" t="n">
        <v>14376.87962962963</v>
      </c>
      <c r="AC4" s="2" t="n">
        <v>12277.57407407407</v>
      </c>
      <c r="AD4" s="2" t="n">
        <v>14913.44444444444</v>
      </c>
      <c r="AE4" s="2" t="n">
        <v>14123.80555555556</v>
      </c>
      <c r="AF4" s="2" t="n">
        <v>14274.65740740741</v>
      </c>
      <c r="AG4" s="2" t="n">
        <v>14457.5462962963</v>
      </c>
      <c r="AH4" s="2" t="n">
        <v>10111.14814814815</v>
      </c>
      <c r="AI4" s="2" t="n">
        <v>15496.76851851852</v>
      </c>
      <c r="AJ4" s="2" t="n">
        <v>13771.53703703704</v>
      </c>
      <c r="AK4" s="2" t="n">
        <v>10656.90740740741</v>
      </c>
      <c r="AL4" s="2" t="n">
        <v>9446.916666666666</v>
      </c>
      <c r="AM4" s="2" t="n">
        <v>12242.53703703704</v>
      </c>
      <c r="AN4" s="2" t="n">
        <v>7997.666666666666</v>
      </c>
      <c r="AO4" s="2" t="n">
        <v>9167.666666666666</v>
      </c>
      <c r="AR4" t="n">
        <v>1102</v>
      </c>
      <c r="AS4" t="n">
        <v>1105</v>
      </c>
      <c r="AT4" t="n">
        <v>912</v>
      </c>
      <c r="AU4" t="n">
        <v>1118</v>
      </c>
      <c r="AV4" t="n">
        <v>1015</v>
      </c>
      <c r="AW4" t="n">
        <v>1027</v>
      </c>
      <c r="AX4" t="n">
        <v>996</v>
      </c>
      <c r="AY4" t="n">
        <v>666</v>
      </c>
      <c r="AZ4" t="n">
        <v>964</v>
      </c>
      <c r="BA4" t="n">
        <v>927</v>
      </c>
      <c r="BB4" t="n">
        <v>766</v>
      </c>
      <c r="BC4" t="n">
        <v>703</v>
      </c>
      <c r="BD4" t="n">
        <v>822</v>
      </c>
      <c r="BE4" t="n">
        <v>636</v>
      </c>
      <c r="BF4" t="n">
        <v>689</v>
      </c>
    </row>
    <row r="5">
      <c r="A5" t="n">
        <v>1104</v>
      </c>
      <c r="B5" s="2" t="n">
        <v>-27505.77927152495</v>
      </c>
      <c r="C5" s="2" t="n">
        <v>-27528.55904921212</v>
      </c>
      <c r="D5" s="2" t="n">
        <v>-8637.57920967877</v>
      </c>
      <c r="E5" s="2" t="n">
        <v>-35565.67997826229</v>
      </c>
      <c r="F5" s="2" t="n">
        <v>-38959.15763455556</v>
      </c>
      <c r="G5" s="2" t="n">
        <v>-44075.4351649795</v>
      </c>
      <c r="H5" s="2" t="n">
        <v>-53654.83296005982</v>
      </c>
      <c r="I5" s="2" t="n">
        <v>-48941.58595948309</v>
      </c>
      <c r="J5" s="2" t="n">
        <v>-50193.90570410256</v>
      </c>
      <c r="K5" s="2" t="n">
        <v>-36013.01786502023</v>
      </c>
      <c r="L5" s="2" t="n">
        <v>-14934.9243633752</v>
      </c>
      <c r="M5" s="2" t="n">
        <v>-73994.9193182848</v>
      </c>
      <c r="N5" s="2" t="n">
        <v>-33989.44299160114</v>
      </c>
      <c r="O5" s="2" t="n">
        <v>-34416.9937077619</v>
      </c>
      <c r="P5" t="inlineStr">
        <is>
          <t>MINUS</t>
        </is>
      </c>
      <c r="R5" t="inlineStr">
        <is>
          <t>marzec</t>
        </is>
      </c>
      <c r="S5" t="n">
        <v>1122</v>
      </c>
      <c r="T5" s="2" t="n">
        <v>1864.457531968779</v>
      </c>
      <c r="V5" t="inlineStr">
        <is>
          <t>marzec</t>
        </is>
      </c>
      <c r="W5" t="n">
        <v>1250</v>
      </c>
      <c r="X5" s="2" t="n">
        <v>-40096.26916658678</v>
      </c>
      <c r="AA5" t="n">
        <v>1103</v>
      </c>
      <c r="AB5" s="2" t="n">
        <v>19471.75</v>
      </c>
      <c r="AC5" s="2" t="n">
        <v>22914.90740740741</v>
      </c>
      <c r="AD5" s="2" t="n">
        <v>26025.85185185185</v>
      </c>
      <c r="AE5" s="2" t="n">
        <v>26526.32407407407</v>
      </c>
      <c r="AF5" s="2" t="n">
        <v>28276.37962962963</v>
      </c>
      <c r="AG5" s="2" t="n">
        <v>29827.97222222222</v>
      </c>
      <c r="AH5" s="2" t="n">
        <v>32291.85185185185</v>
      </c>
      <c r="AI5" s="2" t="n">
        <v>37702.43518518518</v>
      </c>
      <c r="AJ5" s="2" t="n">
        <v>26952.31481481481</v>
      </c>
      <c r="AK5" s="2" t="n">
        <v>28686.25</v>
      </c>
      <c r="AL5" s="2" t="n">
        <v>34416.46296296296</v>
      </c>
      <c r="AM5" s="2" t="n">
        <v>34395.75</v>
      </c>
      <c r="AN5" s="2" t="n">
        <v>21989.46296296296</v>
      </c>
      <c r="AO5" s="2" t="n">
        <v>18891.78703703704</v>
      </c>
      <c r="AR5" t="n">
        <v>1103</v>
      </c>
      <c r="AS5" t="n">
        <v>1319</v>
      </c>
      <c r="AT5" t="n">
        <v>1477</v>
      </c>
      <c r="AU5" t="n">
        <v>1715</v>
      </c>
      <c r="AV5" t="n">
        <v>1675</v>
      </c>
      <c r="AW5" t="n">
        <v>1856</v>
      </c>
      <c r="AX5" t="n">
        <v>1892</v>
      </c>
      <c r="AY5" t="n">
        <v>2121</v>
      </c>
      <c r="AZ5" t="n">
        <v>2348</v>
      </c>
      <c r="BA5" t="n">
        <v>1724</v>
      </c>
      <c r="BB5" t="n">
        <v>1943</v>
      </c>
      <c r="BC5" t="n">
        <v>2207</v>
      </c>
      <c r="BD5" t="n">
        <v>2217</v>
      </c>
      <c r="BE5" t="n">
        <v>1412</v>
      </c>
      <c r="BF5" t="n">
        <v>1270</v>
      </c>
    </row>
    <row r="6">
      <c r="A6" t="n">
        <v>1105</v>
      </c>
      <c r="B6" s="2" t="n">
        <v>-31500.70785393235</v>
      </c>
      <c r="C6" s="2" t="n">
        <v>-31454.21581021212</v>
      </c>
      <c r="D6" s="2" t="n">
        <v>-8361.415451301231</v>
      </c>
      <c r="E6" s="2" t="n">
        <v>-40095.91254222525</v>
      </c>
      <c r="F6" s="2" t="n">
        <v>-43627.89943970371</v>
      </c>
      <c r="G6" s="2" t="n">
        <v>-48133.61081042394</v>
      </c>
      <c r="H6" s="2" t="n">
        <v>-58900.90685235613</v>
      </c>
      <c r="I6" s="2" t="n">
        <v>-53641.97394318679</v>
      </c>
      <c r="J6" s="2" t="n">
        <v>-53173.71456491738</v>
      </c>
      <c r="K6" s="2" t="n">
        <v>-39267.62649390912</v>
      </c>
      <c r="L6" s="2" t="n">
        <v>-18085.38946356039</v>
      </c>
      <c r="M6" s="2" t="n">
        <v>-77982.50065724776</v>
      </c>
      <c r="N6" s="2" t="n">
        <v>-37057.73701360114</v>
      </c>
      <c r="O6" s="2" t="n">
        <v>-36539.57226316931</v>
      </c>
      <c r="P6" t="inlineStr">
        <is>
          <t>MINUS</t>
        </is>
      </c>
      <c r="R6" t="inlineStr">
        <is>
          <t>kwiecien</t>
        </is>
      </c>
      <c r="S6" t="n">
        <v>1121</v>
      </c>
      <c r="T6" s="2" t="n">
        <v>6880.814390034002</v>
      </c>
      <c r="V6" t="inlineStr">
        <is>
          <t>kwiecien</t>
        </is>
      </c>
      <c r="W6" t="n">
        <v>1216</v>
      </c>
      <c r="X6" s="2" t="n">
        <v>-41513.42248170674</v>
      </c>
      <c r="AA6" t="n">
        <v>1104</v>
      </c>
      <c r="AB6" s="2" t="n">
        <v>62127.87962962963</v>
      </c>
      <c r="AC6" s="2" t="n">
        <v>62593.87037037036</v>
      </c>
      <c r="AD6" s="2" t="n">
        <v>69797.92592592593</v>
      </c>
      <c r="AE6" s="2" t="n">
        <v>71028.13888888888</v>
      </c>
      <c r="AF6" s="2" t="n">
        <v>74665.12962962964</v>
      </c>
      <c r="AG6" s="2" t="n">
        <v>70161.05555555556</v>
      </c>
      <c r="AH6" s="2" t="n">
        <v>88023.38888888889</v>
      </c>
      <c r="AI6" s="2" t="n">
        <v>84420.03703703704</v>
      </c>
      <c r="AJ6" s="2" t="n">
        <v>52209.86111111111</v>
      </c>
      <c r="AK6" s="2" t="n">
        <v>53663.14814814814</v>
      </c>
      <c r="AL6" s="2" t="n">
        <v>50291.02777777777</v>
      </c>
      <c r="AM6" s="2" t="n">
        <v>62296.10185185184</v>
      </c>
      <c r="AN6" s="2" t="n">
        <v>48657.10185185185</v>
      </c>
      <c r="AO6" s="2" t="n">
        <v>34332.99074074074</v>
      </c>
      <c r="AR6" t="n">
        <v>1104</v>
      </c>
      <c r="AS6" t="n">
        <v>3110</v>
      </c>
      <c r="AT6" t="n">
        <v>2972</v>
      </c>
      <c r="AU6" t="n">
        <v>3388</v>
      </c>
      <c r="AV6" t="n">
        <v>3273</v>
      </c>
      <c r="AW6" t="n">
        <v>3545</v>
      </c>
      <c r="AX6" t="n">
        <v>3255</v>
      </c>
      <c r="AY6" t="n">
        <v>3890</v>
      </c>
      <c r="AZ6" t="n">
        <v>3747</v>
      </c>
      <c r="BA6" t="n">
        <v>2586</v>
      </c>
      <c r="BB6" t="n">
        <v>2806</v>
      </c>
      <c r="BC6" t="n">
        <v>2578</v>
      </c>
      <c r="BD6" t="n">
        <v>3059</v>
      </c>
      <c r="BE6" t="n">
        <v>2529</v>
      </c>
      <c r="BF6" t="n">
        <v>1770</v>
      </c>
    </row>
    <row r="7">
      <c r="A7" t="n">
        <v>1106</v>
      </c>
      <c r="B7" s="2" t="n">
        <v>-29577.02050900643</v>
      </c>
      <c r="C7" s="2" t="n">
        <v>-29304.37395173064</v>
      </c>
      <c r="D7" s="2" t="n">
        <v>-5219.843387651294</v>
      </c>
      <c r="E7" s="2" t="n">
        <v>-37948.31804915118</v>
      </c>
      <c r="F7" s="2" t="n">
        <v>-41112.4861825926</v>
      </c>
      <c r="G7" s="2" t="n">
        <v>-46441.61447834986</v>
      </c>
      <c r="H7" s="2" t="n">
        <v>-56730.51832217094</v>
      </c>
      <c r="I7" s="2" t="n">
        <v>-52603.85160748308</v>
      </c>
      <c r="J7" s="2" t="n">
        <v>-51483.06127269516</v>
      </c>
      <c r="K7" s="2" t="n">
        <v>-37609.68005764986</v>
      </c>
      <c r="L7" s="2" t="n">
        <v>-16205.12565907891</v>
      </c>
      <c r="M7" s="2" t="n">
        <v>-76355.99332284035</v>
      </c>
      <c r="N7" s="2" t="n">
        <v>-35629.81978652706</v>
      </c>
      <c r="O7" s="2" t="n">
        <v>-34879.73827983598</v>
      </c>
      <c r="P7" t="inlineStr">
        <is>
          <t>MINUS</t>
        </is>
      </c>
      <c r="R7" t="inlineStr">
        <is>
          <t>maj</t>
        </is>
      </c>
      <c r="S7" t="n">
        <v>1236</v>
      </c>
      <c r="T7" s="2" t="n">
        <v>-13160.46992574194</v>
      </c>
      <c r="V7" t="inlineStr">
        <is>
          <t>maj</t>
        </is>
      </c>
      <c r="W7" t="n">
        <v>1216</v>
      </c>
      <c r="X7" s="2" t="n">
        <v>-45231.69021777777</v>
      </c>
      <c r="AA7" t="n">
        <v>1105</v>
      </c>
      <c r="AB7" s="2" t="n">
        <v>9547.092592592593</v>
      </c>
      <c r="AC7" s="2" t="n">
        <v>12147.16666666667</v>
      </c>
      <c r="AD7" s="2" t="n">
        <v>9474.12037037037</v>
      </c>
      <c r="AE7" s="2" t="n">
        <v>11967.68518518518</v>
      </c>
      <c r="AF7" s="2" t="n">
        <v>14406.07407407407</v>
      </c>
      <c r="AG7" s="2" t="n">
        <v>18514.49074074074</v>
      </c>
      <c r="AH7" s="2" t="n">
        <v>20005.48148148148</v>
      </c>
      <c r="AI7" s="2" t="n">
        <v>23907.12037037036</v>
      </c>
      <c r="AJ7" s="2" t="n">
        <v>13632.23148148148</v>
      </c>
      <c r="AK7" s="2" t="n">
        <v>12075.09259259259</v>
      </c>
      <c r="AL7" s="2" t="n">
        <v>10003.66666666667</v>
      </c>
      <c r="AM7" s="2" t="n">
        <v>9205.787037037036</v>
      </c>
      <c r="AN7" s="2" t="n">
        <v>9156.287037037036</v>
      </c>
      <c r="AO7" s="2" t="n">
        <v>7486.074074074074</v>
      </c>
      <c r="AR7" t="n">
        <v>1105</v>
      </c>
      <c r="AS7" t="n">
        <v>408</v>
      </c>
      <c r="AT7" t="n">
        <v>477</v>
      </c>
      <c r="AU7" t="n">
        <v>409</v>
      </c>
      <c r="AV7" t="n">
        <v>507</v>
      </c>
      <c r="AW7" t="n">
        <v>650</v>
      </c>
      <c r="AX7" t="n">
        <v>815</v>
      </c>
      <c r="AY7" t="n">
        <v>1005</v>
      </c>
      <c r="AZ7" t="n">
        <v>1164</v>
      </c>
      <c r="BA7" t="n">
        <v>615</v>
      </c>
      <c r="BB7" t="n">
        <v>560</v>
      </c>
      <c r="BC7" t="n">
        <v>446</v>
      </c>
      <c r="BD7" t="n">
        <v>390</v>
      </c>
      <c r="BE7" t="n">
        <v>400</v>
      </c>
      <c r="BF7" t="n">
        <v>348</v>
      </c>
    </row>
    <row r="8">
      <c r="A8" t="n">
        <v>1107</v>
      </c>
      <c r="B8" s="2" t="n">
        <v>-30507.55656296939</v>
      </c>
      <c r="C8" s="2" t="n">
        <v>-30558.33610476767</v>
      </c>
      <c r="D8" s="2" t="n">
        <v>-37304.4246252164</v>
      </c>
      <c r="E8" s="2" t="n">
        <v>-1292.613653225258</v>
      </c>
      <c r="F8" s="2" t="n">
        <v>-42505.39822403704</v>
      </c>
      <c r="G8" s="2" t="n">
        <v>-47162.38250875727</v>
      </c>
      <c r="H8" s="2" t="n">
        <v>-58203.90169576353</v>
      </c>
      <c r="I8" s="2" t="n">
        <v>-53017.36012548309</v>
      </c>
      <c r="J8" s="2" t="n">
        <v>-52341.98645699146</v>
      </c>
      <c r="K8" s="2" t="n">
        <v>-38206.78719283505</v>
      </c>
      <c r="L8" s="2" t="n">
        <v>-16888.57296441224</v>
      </c>
      <c r="M8" s="2" t="n">
        <v>-76845.72942198849</v>
      </c>
      <c r="N8" s="2" t="n">
        <v>-35928.02590874929</v>
      </c>
      <c r="O8" s="2" t="n">
        <v>-35279.32494531745</v>
      </c>
      <c r="P8" t="inlineStr">
        <is>
          <t>MINUS</t>
        </is>
      </c>
      <c r="R8" t="inlineStr">
        <is>
          <t>czerwiec</t>
        </is>
      </c>
      <c r="S8" t="n">
        <v>1210</v>
      </c>
      <c r="T8" s="2" t="n">
        <v>1434.389071464953</v>
      </c>
      <c r="V8" t="inlineStr">
        <is>
          <t>czerwiec</t>
        </is>
      </c>
      <c r="W8" t="n">
        <v>1231</v>
      </c>
      <c r="X8" s="2" t="n">
        <v>-50041.42936516468</v>
      </c>
      <c r="AA8" t="n">
        <v>1106</v>
      </c>
      <c r="AB8" s="2" t="n">
        <v>37756.59259259259</v>
      </c>
      <c r="AC8" s="2" t="n">
        <v>43873.16666666666</v>
      </c>
      <c r="AD8" s="2" t="n">
        <v>38813.24074074074</v>
      </c>
      <c r="AE8" s="2" t="n">
        <v>44260.51851851852</v>
      </c>
      <c r="AF8" s="2" t="n">
        <v>51923.75</v>
      </c>
      <c r="AG8" s="2" t="n">
        <v>44086.54629629629</v>
      </c>
      <c r="AH8" s="2" t="n">
        <v>53428.67592592593</v>
      </c>
      <c r="AI8" s="2" t="n">
        <v>41024.74074074074</v>
      </c>
      <c r="AJ8" s="2" t="n">
        <v>39033.66666666666</v>
      </c>
      <c r="AK8" s="2" t="n">
        <v>38406.41666666666</v>
      </c>
      <c r="AL8" s="2" t="n">
        <v>39622.34259259259</v>
      </c>
      <c r="AM8" s="2" t="n">
        <v>35113.26851851852</v>
      </c>
      <c r="AN8" s="2" t="n">
        <v>31864.96296296296</v>
      </c>
      <c r="AO8" s="2" t="n">
        <v>33723.80555555555</v>
      </c>
      <c r="AR8" t="n">
        <v>1106</v>
      </c>
      <c r="AS8" t="n">
        <v>1751</v>
      </c>
      <c r="AT8" t="n">
        <v>1882</v>
      </c>
      <c r="AU8" t="n">
        <v>1889</v>
      </c>
      <c r="AV8" t="n">
        <v>2075</v>
      </c>
      <c r="AW8" t="n">
        <v>2286</v>
      </c>
      <c r="AX8" t="n">
        <v>1960</v>
      </c>
      <c r="AY8" t="n">
        <v>2256</v>
      </c>
      <c r="AZ8" t="n">
        <v>1785</v>
      </c>
      <c r="BA8" t="n">
        <v>1878</v>
      </c>
      <c r="BB8" t="n">
        <v>1975</v>
      </c>
      <c r="BC8" t="n">
        <v>2045</v>
      </c>
      <c r="BD8" t="n">
        <v>1810</v>
      </c>
      <c r="BE8" t="n">
        <v>1613</v>
      </c>
      <c r="BF8" t="n">
        <v>1768</v>
      </c>
    </row>
    <row r="9">
      <c r="A9" t="n">
        <v>1108</v>
      </c>
      <c r="B9" s="2" t="n">
        <v>-31785.78783556198</v>
      </c>
      <c r="C9" s="2" t="n">
        <v>-30830.51819384174</v>
      </c>
      <c r="D9" s="2" t="n">
        <v>-37693.97664314233</v>
      </c>
      <c r="E9" s="2" t="n">
        <v>-39289.97876322526</v>
      </c>
      <c r="F9" s="2" t="n">
        <v>-42659.34499470371</v>
      </c>
      <c r="G9" s="2" t="n">
        <v>-47544.93899212764</v>
      </c>
      <c r="H9" s="2" t="n">
        <v>-58404.37382576353</v>
      </c>
      <c r="I9" s="2" t="n">
        <v>-53053.00144692754</v>
      </c>
      <c r="J9" s="2" t="n">
        <v>-52653.89921336182</v>
      </c>
      <c r="K9" s="2" t="n">
        <v>-38487.70737542764</v>
      </c>
      <c r="L9" s="2" t="n">
        <v>-17161.07101515298</v>
      </c>
      <c r="M9" s="2" t="n">
        <v>-76932.16546665518</v>
      </c>
      <c r="N9" s="2" t="n">
        <v>-36321.1837908604</v>
      </c>
      <c r="O9" s="2" t="n">
        <v>-35740.59368398412</v>
      </c>
      <c r="P9" t="inlineStr">
        <is>
          <t>MINUS</t>
        </is>
      </c>
      <c r="R9" t="inlineStr">
        <is>
          <t>lipiec</t>
        </is>
      </c>
      <c r="S9" t="n">
        <v>1206</v>
      </c>
      <c r="T9" s="2" t="n">
        <v>-14680.05458628683</v>
      </c>
      <c r="V9" t="inlineStr">
        <is>
          <t>lipiec</t>
        </is>
      </c>
      <c r="W9" t="n">
        <v>1251</v>
      </c>
      <c r="X9" s="2" t="n">
        <v>-61084.21511861538</v>
      </c>
      <c r="AA9" t="n">
        <v>1107</v>
      </c>
      <c r="AB9" s="2" t="n">
        <v>24255.07407407407</v>
      </c>
      <c r="AC9" s="2" t="n">
        <v>25011.23148148148</v>
      </c>
      <c r="AD9" s="2" t="n">
        <v>28595.98148148148</v>
      </c>
      <c r="AE9" s="2" t="n">
        <v>26523.29629629629</v>
      </c>
      <c r="AF9" s="2" t="n">
        <v>30189.13888888888</v>
      </c>
      <c r="AG9" s="2" t="n">
        <v>31427.82407407407</v>
      </c>
      <c r="AH9" s="2" t="n">
        <v>30045.35185185185</v>
      </c>
      <c r="AI9" s="2" t="n">
        <v>32697.68518518518</v>
      </c>
      <c r="AJ9" s="2" t="n">
        <v>25375.5462962963</v>
      </c>
      <c r="AK9" s="2" t="n">
        <v>27227.94444444445</v>
      </c>
      <c r="AL9" s="2" t="n">
        <v>26848.84259259259</v>
      </c>
      <c r="AM9" s="2" t="n">
        <v>25451.65740740741</v>
      </c>
      <c r="AN9" s="2" t="n">
        <v>25422.60185185185</v>
      </c>
      <c r="AO9" s="2" t="n">
        <v>25632.73148148148</v>
      </c>
      <c r="AR9" t="n">
        <v>1107</v>
      </c>
      <c r="AS9" t="n">
        <v>1733</v>
      </c>
      <c r="AT9" t="n">
        <v>1694</v>
      </c>
      <c r="AU9" t="n">
        <v>1982</v>
      </c>
      <c r="AV9" t="n">
        <v>1817</v>
      </c>
      <c r="AW9" t="n">
        <v>2054</v>
      </c>
      <c r="AX9" t="n">
        <v>2108</v>
      </c>
      <c r="AY9" t="n">
        <v>1983</v>
      </c>
      <c r="AZ9" t="n">
        <v>2129</v>
      </c>
      <c r="BA9" t="n">
        <v>1769</v>
      </c>
      <c r="BB9" t="n">
        <v>2091</v>
      </c>
      <c r="BC9" t="n">
        <v>1959</v>
      </c>
      <c r="BD9" t="n">
        <v>1729</v>
      </c>
      <c r="BE9" t="n">
        <v>1793</v>
      </c>
      <c r="BF9" t="n">
        <v>1800</v>
      </c>
    </row>
    <row r="10">
      <c r="A10" t="n">
        <v>1109</v>
      </c>
      <c r="B10" s="2" t="n">
        <v>-31577.55306919162</v>
      </c>
      <c r="C10" s="2" t="n">
        <v>-30552.69647754545</v>
      </c>
      <c r="D10" s="2" t="n">
        <v>-15661.26279060828</v>
      </c>
      <c r="E10" s="2" t="n">
        <v>-40356.52305841044</v>
      </c>
      <c r="F10" s="2" t="n">
        <v>-44068.62981051852</v>
      </c>
      <c r="G10" s="2" t="n">
        <v>-48696.07449609061</v>
      </c>
      <c r="H10" s="2" t="n">
        <v>-59763.13909531909</v>
      </c>
      <c r="I10" s="2" t="n">
        <v>-54406.07293514975</v>
      </c>
      <c r="J10" s="2" t="n">
        <v>-53483.90891662108</v>
      </c>
      <c r="K10" s="2" t="n">
        <v>-39422.72138387209</v>
      </c>
      <c r="L10" s="2" t="n">
        <v>-18251.36603422705</v>
      </c>
      <c r="M10" s="2" t="n">
        <v>-78029.8433986922</v>
      </c>
      <c r="N10" s="2" t="n">
        <v>-37081.67365593447</v>
      </c>
      <c r="O10" s="2" t="n">
        <v>-36526.03540216931</v>
      </c>
      <c r="P10" t="inlineStr">
        <is>
          <t>MINUS</t>
        </is>
      </c>
      <c r="R10" t="inlineStr">
        <is>
          <t>sierpien</t>
        </is>
      </c>
      <c r="S10" t="n">
        <v>1266</v>
      </c>
      <c r="T10" s="2" t="n">
        <v>-11746.3566123445</v>
      </c>
      <c r="V10" t="inlineStr">
        <is>
          <t>sierpien</t>
        </is>
      </c>
      <c r="W10" t="n">
        <v>1232</v>
      </c>
      <c r="X10" s="2" t="n">
        <v>-55408.51847240901</v>
      </c>
      <c r="AA10" t="n">
        <v>1108</v>
      </c>
      <c r="AB10" s="2" t="n">
        <v>23737.06481481482</v>
      </c>
      <c r="AC10" s="2" t="n">
        <v>21672.25</v>
      </c>
      <c r="AD10" s="2" t="n">
        <v>23607.85185185185</v>
      </c>
      <c r="AE10" s="2" t="n">
        <v>24030.10185185185</v>
      </c>
      <c r="AF10" s="2" t="n">
        <v>28161.67592592592</v>
      </c>
      <c r="AG10" s="2" t="n">
        <v>27262.75925925926</v>
      </c>
      <c r="AH10" s="2" t="n">
        <v>28375.9537037037</v>
      </c>
      <c r="AI10" s="2" t="n">
        <v>34293.44444444444</v>
      </c>
      <c r="AJ10" s="2" t="n">
        <v>22538.33333333333</v>
      </c>
      <c r="AK10" s="2" t="n">
        <v>23547.06481481481</v>
      </c>
      <c r="AL10" s="2" t="n">
        <v>23563.98148148147</v>
      </c>
      <c r="AM10" s="2" t="n">
        <v>25753.62962962963</v>
      </c>
      <c r="AN10" s="2" t="n">
        <v>20436.63888888889</v>
      </c>
      <c r="AO10" s="2" t="n">
        <v>19462.93518518518</v>
      </c>
      <c r="AR10" t="n">
        <v>1108</v>
      </c>
      <c r="AS10" t="n">
        <v>1762</v>
      </c>
      <c r="AT10" t="n">
        <v>1605</v>
      </c>
      <c r="AU10" t="n">
        <v>1794</v>
      </c>
      <c r="AV10" t="n">
        <v>1737</v>
      </c>
      <c r="AW10" t="n">
        <v>2068</v>
      </c>
      <c r="AX10" t="n">
        <v>2027</v>
      </c>
      <c r="AY10" t="n">
        <v>2028</v>
      </c>
      <c r="AZ10" t="n">
        <v>2299</v>
      </c>
      <c r="BA10" t="n">
        <v>1744</v>
      </c>
      <c r="BB10" t="n">
        <v>1816</v>
      </c>
      <c r="BC10" t="n">
        <v>1775</v>
      </c>
      <c r="BD10" t="n">
        <v>1898</v>
      </c>
      <c r="BE10" t="n">
        <v>1623</v>
      </c>
      <c r="BF10" t="n">
        <v>1544</v>
      </c>
    </row>
    <row r="11">
      <c r="A11" t="n">
        <v>1110</v>
      </c>
      <c r="B11" s="2" t="n">
        <v>-31648.64171774717</v>
      </c>
      <c r="C11" s="2" t="n">
        <v>-31836.46369124916</v>
      </c>
      <c r="D11" s="2" t="n">
        <v>-38861.61394766085</v>
      </c>
      <c r="E11" s="2" t="n">
        <v>-2545.48298607711</v>
      </c>
      <c r="F11" s="2" t="n">
        <v>-43977.32522107408</v>
      </c>
      <c r="G11" s="2" t="n">
        <v>-48519.78845946098</v>
      </c>
      <c r="H11" s="2" t="n">
        <v>-59498.8906931339</v>
      </c>
      <c r="I11" s="2" t="n">
        <v>-54511.30748337197</v>
      </c>
      <c r="J11" s="2" t="n">
        <v>-53521.32188739886</v>
      </c>
      <c r="K11" s="2" t="n">
        <v>-39402.7477032795</v>
      </c>
      <c r="L11" s="2" t="n">
        <v>-18216.35994448631</v>
      </c>
      <c r="M11" s="2" t="n">
        <v>-78193.12094254406</v>
      </c>
      <c r="N11" s="2" t="n">
        <v>-37155.07072715669</v>
      </c>
      <c r="O11" s="2" t="n">
        <v>-36561.96551265079</v>
      </c>
      <c r="P11" t="inlineStr">
        <is>
          <t>MINUS</t>
        </is>
      </c>
      <c r="R11" t="inlineStr">
        <is>
          <t>wrzesien</t>
        </is>
      </c>
      <c r="S11" t="n">
        <v>1240</v>
      </c>
      <c r="T11" s="2" t="n">
        <v>-47234.3340551396</v>
      </c>
      <c r="V11" t="inlineStr">
        <is>
          <t>wrzesien</t>
        </is>
      </c>
      <c r="W11" t="n">
        <v>1205</v>
      </c>
      <c r="X11" s="2" t="n">
        <v>-54941.95570776923</v>
      </c>
      <c r="AA11" t="n">
        <v>1109</v>
      </c>
      <c r="AB11" s="2" t="n">
        <v>8060.99074074074</v>
      </c>
      <c r="AC11" s="2" t="n">
        <v>7162.111111111111</v>
      </c>
      <c r="AD11" s="2" t="n">
        <v>8176.666666666667</v>
      </c>
      <c r="AE11" s="2" t="n">
        <v>6992.925925925925</v>
      </c>
      <c r="AF11" s="2" t="n">
        <v>6927.37962962963</v>
      </c>
      <c r="AG11" s="2" t="n">
        <v>8073.972222222223</v>
      </c>
      <c r="AH11" s="2" t="n">
        <v>6223.814814814814</v>
      </c>
      <c r="AI11" s="2" t="n">
        <v>10818.08333333333</v>
      </c>
      <c r="AJ11" s="2" t="n">
        <v>8291.101851851852</v>
      </c>
      <c r="AK11" s="2" t="n">
        <v>8238.444444444443</v>
      </c>
      <c r="AL11" s="2" t="n">
        <v>5982.222222222221</v>
      </c>
      <c r="AM11" s="2" t="n">
        <v>7562.842592592592</v>
      </c>
      <c r="AN11" s="2" t="n">
        <v>7497.620370370369</v>
      </c>
      <c r="AO11" s="2" t="n">
        <v>6436.712962962963</v>
      </c>
      <c r="AR11" t="n">
        <v>1109</v>
      </c>
      <c r="AS11" t="n">
        <v>667</v>
      </c>
      <c r="AT11" t="n">
        <v>576</v>
      </c>
      <c r="AU11" t="n">
        <v>738</v>
      </c>
      <c r="AV11" t="n">
        <v>580</v>
      </c>
      <c r="AW11" t="n">
        <v>587</v>
      </c>
      <c r="AX11" t="n">
        <v>646</v>
      </c>
      <c r="AY11" t="n">
        <v>483</v>
      </c>
      <c r="AZ11" t="n">
        <v>720</v>
      </c>
      <c r="BA11" t="n">
        <v>614</v>
      </c>
      <c r="BB11" t="n">
        <v>697</v>
      </c>
      <c r="BC11" t="n">
        <v>723</v>
      </c>
      <c r="BD11" t="n">
        <v>632</v>
      </c>
      <c r="BE11" t="n">
        <v>667</v>
      </c>
      <c r="BF11" t="n">
        <v>535</v>
      </c>
    </row>
    <row r="12">
      <c r="A12" t="n">
        <v>1111</v>
      </c>
      <c r="B12" s="2" t="n">
        <v>-28582.97030793235</v>
      </c>
      <c r="C12" s="2" t="n">
        <v>-28720.68077054545</v>
      </c>
      <c r="D12" s="2" t="n">
        <v>634.0962548003204</v>
      </c>
      <c r="E12" s="2" t="n">
        <v>-37314.46585644748</v>
      </c>
      <c r="F12" s="2" t="n">
        <v>-41018.15069233334</v>
      </c>
      <c r="G12" s="2" t="n">
        <v>-45708.30111505357</v>
      </c>
      <c r="H12" s="2" t="n">
        <v>-56513.46456943019</v>
      </c>
      <c r="I12" s="2" t="n">
        <v>-51529.0375772979</v>
      </c>
      <c r="J12" s="2" t="n">
        <v>-50548.41483625071</v>
      </c>
      <c r="K12" s="2" t="n">
        <v>-36475.9173729832</v>
      </c>
      <c r="L12" s="2" t="n">
        <v>-15669.25978344928</v>
      </c>
      <c r="M12" s="2" t="n">
        <v>-75594.91963665516</v>
      </c>
      <c r="N12" s="2" t="n">
        <v>-34625.54008393447</v>
      </c>
      <c r="O12" s="2" t="n">
        <v>-33994.86452920634</v>
      </c>
      <c r="P12" t="inlineStr">
        <is>
          <t>MINUS</t>
        </is>
      </c>
      <c r="R12" t="inlineStr">
        <is>
          <t>pazdziernik</t>
        </is>
      </c>
      <c r="S12" t="n">
        <v>1137</v>
      </c>
      <c r="T12" s="2" t="n">
        <v>-9037.290626909118</v>
      </c>
      <c r="V12" t="inlineStr">
        <is>
          <t>pazdziernik</t>
        </is>
      </c>
      <c r="W12" t="n">
        <v>1205</v>
      </c>
      <c r="X12" s="2" t="n">
        <v>-40867.27863498319</v>
      </c>
      <c r="AA12" t="n">
        <v>1110</v>
      </c>
      <c r="AB12" s="2" t="n">
        <v>6769.351851851851</v>
      </c>
      <c r="AC12" s="2" t="n">
        <v>6064.287037037036</v>
      </c>
      <c r="AD12" s="2" t="n">
        <v>5690.546296296296</v>
      </c>
      <c r="AE12" s="2" t="n">
        <v>7556.87037037037</v>
      </c>
      <c r="AF12" s="2" t="n">
        <v>8242.240740740741</v>
      </c>
      <c r="AG12" s="2" t="n">
        <v>10499</v>
      </c>
      <c r="AH12" s="2" t="n">
        <v>10214.49074074074</v>
      </c>
      <c r="AI12" s="2" t="n">
        <v>10162.02777777778</v>
      </c>
      <c r="AJ12" s="2" t="n">
        <v>7900.157407407407</v>
      </c>
      <c r="AK12" s="2" t="n">
        <v>8634.064814814814</v>
      </c>
      <c r="AL12" s="2" t="n">
        <v>6363.898148148148</v>
      </c>
      <c r="AM12" s="2" t="n">
        <v>5372.86111111111</v>
      </c>
      <c r="AN12" s="2" t="n">
        <v>6702.981481481481</v>
      </c>
      <c r="AO12" s="2" t="n">
        <v>6427.305555555555</v>
      </c>
      <c r="AR12" t="n">
        <v>1110</v>
      </c>
      <c r="AS12" t="n">
        <v>606</v>
      </c>
      <c r="AT12" t="n">
        <v>589</v>
      </c>
      <c r="AU12" t="n">
        <v>662</v>
      </c>
      <c r="AV12" t="n">
        <v>700</v>
      </c>
      <c r="AW12" t="n">
        <v>747</v>
      </c>
      <c r="AX12" t="n">
        <v>826</v>
      </c>
      <c r="AY12" t="n">
        <v>777</v>
      </c>
      <c r="AZ12" t="n">
        <v>854</v>
      </c>
      <c r="BA12" t="n">
        <v>668</v>
      </c>
      <c r="BB12" t="n">
        <v>828</v>
      </c>
      <c r="BC12" t="n">
        <v>675</v>
      </c>
      <c r="BD12" t="n">
        <v>565</v>
      </c>
      <c r="BE12" t="n">
        <v>665</v>
      </c>
      <c r="BF12" t="n">
        <v>627</v>
      </c>
    </row>
    <row r="13">
      <c r="A13" t="n">
        <v>1112</v>
      </c>
      <c r="B13" s="2" t="n">
        <v>-28216.37420722865</v>
      </c>
      <c r="C13" s="2" t="n">
        <v>-7164.813627931699</v>
      </c>
      <c r="D13" s="2" t="n">
        <v>-35254.22894888307</v>
      </c>
      <c r="E13" s="2" t="n">
        <v>-36862.24142963266</v>
      </c>
      <c r="F13" s="2" t="n">
        <v>-40575.08297555556</v>
      </c>
      <c r="G13" s="2" t="n">
        <v>-45174.48864820172</v>
      </c>
      <c r="H13" s="2" t="n">
        <v>-56088.23452376353</v>
      </c>
      <c r="I13" s="2" t="n">
        <v>-51106.22133733494</v>
      </c>
      <c r="J13" s="2" t="n">
        <v>-50150.98916876923</v>
      </c>
      <c r="K13" s="2" t="n">
        <v>-36029.23289231653</v>
      </c>
      <c r="L13" s="2" t="n">
        <v>-14688.56153093076</v>
      </c>
      <c r="M13" s="2" t="n">
        <v>-74507.63658069221</v>
      </c>
      <c r="N13" s="2" t="n">
        <v>-34144.06242552706</v>
      </c>
      <c r="O13" s="2" t="n">
        <v>-33609.55599165079</v>
      </c>
      <c r="P13" t="inlineStr">
        <is>
          <t>MINUS</t>
        </is>
      </c>
      <c r="R13" t="inlineStr">
        <is>
          <t>listopad</t>
        </is>
      </c>
      <c r="S13" t="n">
        <v>1277</v>
      </c>
      <c r="T13" s="2" t="n">
        <v>-5791.871063449276</v>
      </c>
      <c r="V13" t="inlineStr">
        <is>
          <t>listopad</t>
        </is>
      </c>
      <c r="W13" t="n">
        <v>1232</v>
      </c>
      <c r="X13" s="2" t="n">
        <v>-19375.7669116715</v>
      </c>
      <c r="AA13" t="n">
        <v>1111</v>
      </c>
      <c r="AB13" s="2" t="n">
        <v>3629.12037037037</v>
      </c>
      <c r="AC13" s="2" t="n">
        <v>3185.518518518518</v>
      </c>
      <c r="AD13" s="2" t="n">
        <v>3275.222222222222</v>
      </c>
      <c r="AE13" s="2" t="n">
        <v>3700.62037037037</v>
      </c>
      <c r="AF13" s="2" t="n">
        <v>5197.583333333332</v>
      </c>
      <c r="AG13" s="2" t="n">
        <v>4953.148148148147</v>
      </c>
      <c r="AH13" s="2" t="n">
        <v>12096.48148148148</v>
      </c>
      <c r="AI13" s="2" t="n">
        <v>10720.85185185185</v>
      </c>
      <c r="AJ13" s="2" t="n">
        <v>3550.037037037037</v>
      </c>
      <c r="AK13" s="2" t="n">
        <v>3501.99074074074</v>
      </c>
      <c r="AL13" s="2" t="n">
        <v>3128.907407407407</v>
      </c>
      <c r="AM13" s="2" t="n">
        <v>3533.212962962963</v>
      </c>
      <c r="AN13" s="2" t="n">
        <v>3879.453703703703</v>
      </c>
      <c r="AO13" s="2" t="n">
        <v>5588.935185185184</v>
      </c>
      <c r="AR13" t="n">
        <v>1111</v>
      </c>
      <c r="AS13" t="n">
        <v>312</v>
      </c>
      <c r="AT13" t="n">
        <v>300</v>
      </c>
      <c r="AU13" t="n">
        <v>283</v>
      </c>
      <c r="AV13" t="n">
        <v>272</v>
      </c>
      <c r="AW13" t="n">
        <v>343</v>
      </c>
      <c r="AX13" t="n">
        <v>343</v>
      </c>
      <c r="AY13" t="n">
        <v>630</v>
      </c>
      <c r="AZ13" t="n">
        <v>543</v>
      </c>
      <c r="BA13" t="n">
        <v>281</v>
      </c>
      <c r="BB13" t="n">
        <v>287</v>
      </c>
      <c r="BC13" t="n">
        <v>251</v>
      </c>
      <c r="BD13" t="n">
        <v>280</v>
      </c>
      <c r="BE13" t="n">
        <v>320</v>
      </c>
      <c r="BF13" t="n">
        <v>446</v>
      </c>
    </row>
    <row r="14">
      <c r="A14" t="n">
        <v>1113</v>
      </c>
      <c r="B14" s="2" t="n">
        <v>-26626.13527122865</v>
      </c>
      <c r="C14" s="2" t="n">
        <v>-26884.16631536027</v>
      </c>
      <c r="D14" s="2" t="n">
        <v>-33665.887886809</v>
      </c>
      <c r="E14" s="2" t="n">
        <v>-35378.75734329933</v>
      </c>
      <c r="F14" s="2" t="n">
        <v>-39008.11783585185</v>
      </c>
      <c r="G14" s="2" t="n">
        <v>-43927.94125620172</v>
      </c>
      <c r="H14" s="2" t="n">
        <v>-55087.46017928205</v>
      </c>
      <c r="I14" s="2" t="n">
        <v>-50142.70703166828</v>
      </c>
      <c r="J14" s="2" t="n">
        <v>-49312.30805995441</v>
      </c>
      <c r="K14" s="2" t="n">
        <v>-35329.36467364986</v>
      </c>
      <c r="L14" s="2" t="n">
        <v>-14520.8602880789</v>
      </c>
      <c r="M14" s="2" t="n">
        <v>-74177.33316076628</v>
      </c>
      <c r="N14" s="2" t="n">
        <v>-33118.45068293447</v>
      </c>
      <c r="O14" s="2" t="n">
        <v>-32887.69586350265</v>
      </c>
      <c r="P14" t="inlineStr">
        <is>
          <t>MINUS</t>
        </is>
      </c>
      <c r="R14" t="inlineStr">
        <is>
          <t>grudzien</t>
        </is>
      </c>
      <c r="S14" t="n">
        <v>1268</v>
      </c>
      <c r="T14" s="2" t="n">
        <v>-37850.94499936485</v>
      </c>
      <c r="V14" t="inlineStr">
        <is>
          <t>grudzien</t>
        </is>
      </c>
      <c r="W14" t="n">
        <v>1128</v>
      </c>
      <c r="X14" s="2" t="n">
        <v>-79103.83895709962</v>
      </c>
      <c r="AA14" t="n">
        <v>1112</v>
      </c>
      <c r="AB14" s="2" t="n">
        <v>5423.685185185184</v>
      </c>
      <c r="AC14" s="2" t="n">
        <v>7497.5</v>
      </c>
      <c r="AD14" s="2" t="n">
        <v>8607.064814814814</v>
      </c>
      <c r="AE14" s="2" t="n">
        <v>9003.611111111111</v>
      </c>
      <c r="AF14" s="2" t="n">
        <v>10124.72222222222</v>
      </c>
      <c r="AG14" s="2" t="n">
        <v>12462.73148148148</v>
      </c>
      <c r="AH14" s="2" t="n">
        <v>12335.28703703704</v>
      </c>
      <c r="AI14" s="2" t="n">
        <v>12842.91666666667</v>
      </c>
      <c r="AJ14" s="2" t="n">
        <v>7405.305555555555</v>
      </c>
      <c r="AK14" s="2" t="n">
        <v>7646.027777777776</v>
      </c>
      <c r="AL14" s="2" t="n">
        <v>7587.342592592591</v>
      </c>
      <c r="AM14" s="2" t="n">
        <v>8928.092592592591</v>
      </c>
      <c r="AN14" s="2" t="n">
        <v>8634.583333333332</v>
      </c>
      <c r="AO14" s="2" t="n">
        <v>6209.796296296297</v>
      </c>
      <c r="AR14" t="n">
        <v>1112</v>
      </c>
      <c r="AS14" t="n">
        <v>239</v>
      </c>
      <c r="AT14" t="n">
        <v>339</v>
      </c>
      <c r="AU14" t="n">
        <v>416</v>
      </c>
      <c r="AV14" t="n">
        <v>440</v>
      </c>
      <c r="AW14" t="n">
        <v>467</v>
      </c>
      <c r="AX14" t="n">
        <v>533</v>
      </c>
      <c r="AY14" t="n">
        <v>483</v>
      </c>
      <c r="AZ14" t="n">
        <v>497</v>
      </c>
      <c r="BA14" t="n">
        <v>374</v>
      </c>
      <c r="BB14" t="n">
        <v>365</v>
      </c>
      <c r="BC14" t="n">
        <v>348</v>
      </c>
      <c r="BD14" t="n">
        <v>370</v>
      </c>
      <c r="BE14" t="n">
        <v>383</v>
      </c>
      <c r="BF14" t="n">
        <v>312</v>
      </c>
    </row>
    <row r="15">
      <c r="A15" t="n">
        <v>1114</v>
      </c>
      <c r="B15" s="2" t="n">
        <v>-28592.3932033768</v>
      </c>
      <c r="C15" s="2" t="n">
        <v>-7603.430815116883</v>
      </c>
      <c r="D15" s="2" t="n">
        <v>-35692.71736906825</v>
      </c>
      <c r="E15" s="2" t="n">
        <v>-37312.47192652155</v>
      </c>
      <c r="F15" s="2" t="n">
        <v>-41016.18246477778</v>
      </c>
      <c r="G15" s="2" t="n">
        <v>-45737.39064275727</v>
      </c>
      <c r="H15" s="2" t="n">
        <v>-56663.43189017093</v>
      </c>
      <c r="I15" s="2" t="n">
        <v>-51644.84358307568</v>
      </c>
      <c r="J15" s="2" t="n">
        <v>-50549.71082447293</v>
      </c>
      <c r="K15" s="2" t="n">
        <v>-36478.44530050172</v>
      </c>
      <c r="L15" s="2" t="n">
        <v>-15674.38589322705</v>
      </c>
      <c r="M15" s="2" t="n">
        <v>-75596.5028548774</v>
      </c>
      <c r="N15" s="2" t="n">
        <v>-34635.60422300854</v>
      </c>
      <c r="O15" s="2" t="n">
        <v>-34016.92240131745</v>
      </c>
      <c r="P15" t="inlineStr">
        <is>
          <t>MINUS</t>
        </is>
      </c>
      <c r="R15" t="inlineStr">
        <is>
          <t>styczen</t>
        </is>
      </c>
      <c r="S15" t="n">
        <v>1205</v>
      </c>
      <c r="T15" s="2" t="n">
        <v>-28441.76817692013</v>
      </c>
      <c r="V15" t="inlineStr">
        <is>
          <t>styczen</t>
        </is>
      </c>
      <c r="W15" t="n">
        <v>1128</v>
      </c>
      <c r="X15" s="2" t="n">
        <v>-38170.31191323077</v>
      </c>
      <c r="AA15" t="n">
        <v>1113</v>
      </c>
      <c r="AB15" s="2" t="n">
        <v>34542.37962962963</v>
      </c>
      <c r="AC15" s="2" t="n">
        <v>31707.09259259259</v>
      </c>
      <c r="AD15" s="2" t="n">
        <v>34445.97222222223</v>
      </c>
      <c r="AE15" s="2" t="n">
        <v>34141.4537037037</v>
      </c>
      <c r="AF15" s="2" t="n">
        <v>33431.84259259259</v>
      </c>
      <c r="AG15" s="2" t="n">
        <v>30567.52777777778</v>
      </c>
      <c r="AH15" s="2" t="n">
        <v>23095.72222222222</v>
      </c>
      <c r="AI15" s="2" t="n">
        <v>22858.25</v>
      </c>
      <c r="AJ15" s="2" t="n">
        <v>16585.87037037037</v>
      </c>
      <c r="AK15" s="2" t="n">
        <v>14599.57407407407</v>
      </c>
      <c r="AL15" s="2" t="n">
        <v>15326.59259259259</v>
      </c>
      <c r="AM15" s="2" t="n">
        <v>18631.34259259259</v>
      </c>
      <c r="AN15" s="2" t="n">
        <v>16933.19444444444</v>
      </c>
      <c r="AO15" s="2" t="n">
        <v>11190.76851851852</v>
      </c>
      <c r="AR15" t="n">
        <v>1113</v>
      </c>
      <c r="AS15" t="n">
        <v>2591</v>
      </c>
      <c r="AT15" t="n">
        <v>2359</v>
      </c>
      <c r="AU15" t="n">
        <v>2549</v>
      </c>
      <c r="AV15" t="n">
        <v>2645</v>
      </c>
      <c r="AW15" t="n">
        <v>2511</v>
      </c>
      <c r="AX15" t="n">
        <v>2329</v>
      </c>
      <c r="AY15" t="n">
        <v>1580</v>
      </c>
      <c r="AZ15" t="n">
        <v>1608</v>
      </c>
      <c r="BA15" t="n">
        <v>1226</v>
      </c>
      <c r="BB15" t="n">
        <v>1247</v>
      </c>
      <c r="BC15" t="n">
        <v>1226</v>
      </c>
      <c r="BD15" t="n">
        <v>1509</v>
      </c>
      <c r="BE15" t="n">
        <v>1300</v>
      </c>
      <c r="BF15" t="n">
        <v>888</v>
      </c>
    </row>
    <row r="16">
      <c r="A16" t="n">
        <v>1115</v>
      </c>
      <c r="B16" s="2" t="n">
        <v>-28019.30008859902</v>
      </c>
      <c r="C16" s="2" t="n">
        <v>-27699.66612928619</v>
      </c>
      <c r="D16" s="2" t="n">
        <v>-34948.47131447567</v>
      </c>
      <c r="E16" s="2" t="n">
        <v>-36411.19427285489</v>
      </c>
      <c r="F16" s="2" t="n">
        <v>-40018.82966151852</v>
      </c>
      <c r="G16" s="2" t="n">
        <v>-44559.22248223876</v>
      </c>
      <c r="H16" s="2" t="n">
        <v>-55895.8413627265</v>
      </c>
      <c r="I16" s="2" t="n">
        <v>-50304.84565381643</v>
      </c>
      <c r="J16" s="2" t="n">
        <v>-49719.89155065813</v>
      </c>
      <c r="K16" s="2" t="n">
        <v>-35902.60116887208</v>
      </c>
      <c r="L16" s="2" t="n">
        <v>-14900.04590615298</v>
      </c>
      <c r="M16" s="2" t="n">
        <v>-74658.45737928481</v>
      </c>
      <c r="N16" s="2" t="n">
        <v>-33598.7137265641</v>
      </c>
      <c r="O16" s="2" t="n">
        <v>-31588.7198264656</v>
      </c>
      <c r="P16" t="inlineStr">
        <is>
          <t>MINUS</t>
        </is>
      </c>
      <c r="R16" t="inlineStr">
        <is>
          <t>luty</t>
        </is>
      </c>
      <c r="S16" t="n">
        <v>1240</v>
      </c>
      <c r="T16" s="2" t="n">
        <v>-2213.594090328041</v>
      </c>
      <c r="V16" t="inlineStr">
        <is>
          <t>luty</t>
        </is>
      </c>
      <c r="W16" t="n">
        <v>1282</v>
      </c>
      <c r="X16" s="2" t="n">
        <v>-36979.61135242857</v>
      </c>
      <c r="AA16" t="n">
        <v>1114</v>
      </c>
      <c r="AB16" s="2" t="n">
        <v>3127.925925925926</v>
      </c>
      <c r="AC16" s="2" t="n">
        <v>1788.166666666667</v>
      </c>
      <c r="AD16" s="2" t="n">
        <v>2280.537037037037</v>
      </c>
      <c r="AE16" s="2" t="n">
        <v>2157.25</v>
      </c>
      <c r="AF16" s="2" t="n">
        <v>2465.99074074074</v>
      </c>
      <c r="AG16" s="2" t="n">
        <v>2637.444444444444</v>
      </c>
      <c r="AH16" s="2" t="n">
        <v>3225.231481481482</v>
      </c>
      <c r="AI16" s="2" t="n">
        <v>3110.092592592593</v>
      </c>
      <c r="AJ16" s="2" t="n">
        <v>2216.574074074074</v>
      </c>
      <c r="AK16" s="2" t="n">
        <v>2188.925925925926</v>
      </c>
      <c r="AL16" s="2" t="n">
        <v>2677.722222222222</v>
      </c>
      <c r="AM16" s="2" t="n">
        <v>2212.064814814815</v>
      </c>
      <c r="AN16" s="2" t="n">
        <v>2162.925925925926</v>
      </c>
      <c r="AO16" s="2" t="n">
        <v>1767.694444444445</v>
      </c>
      <c r="AR16" t="n">
        <v>1114</v>
      </c>
      <c r="AS16" t="n">
        <v>152</v>
      </c>
      <c r="AT16" t="n">
        <v>111</v>
      </c>
      <c r="AU16" t="n">
        <v>114</v>
      </c>
      <c r="AV16" t="n">
        <v>119</v>
      </c>
      <c r="AW16" t="n">
        <v>131</v>
      </c>
      <c r="AX16" t="n">
        <v>138</v>
      </c>
      <c r="AY16" t="n">
        <v>146</v>
      </c>
      <c r="AZ16" t="n">
        <v>161</v>
      </c>
      <c r="BA16" t="n">
        <v>122</v>
      </c>
      <c r="BB16" t="n">
        <v>116</v>
      </c>
      <c r="BC16" t="n">
        <v>138</v>
      </c>
      <c r="BD16" t="n">
        <v>127</v>
      </c>
      <c r="BE16" t="n">
        <v>147</v>
      </c>
      <c r="BF16" t="n">
        <v>92</v>
      </c>
    </row>
    <row r="17">
      <c r="A17" t="n">
        <v>1116</v>
      </c>
      <c r="B17" s="2" t="n">
        <v>-28600.36664256198</v>
      </c>
      <c r="C17" s="2" t="n">
        <v>-28725.21947154545</v>
      </c>
      <c r="D17" s="2" t="n">
        <v>-35715.13199358677</v>
      </c>
      <c r="E17" s="2" t="n">
        <v>-37331.72653281785</v>
      </c>
      <c r="F17" s="2" t="n">
        <v>-41028.74141800001</v>
      </c>
      <c r="G17" s="2" t="n">
        <v>-45752.08427301653</v>
      </c>
      <c r="H17" s="2" t="n">
        <v>-56674.15540961538</v>
      </c>
      <c r="I17" s="2" t="n">
        <v>-51658.91796826086</v>
      </c>
      <c r="J17" s="2" t="n">
        <v>-50556.89608976923</v>
      </c>
      <c r="K17" s="2" t="n">
        <v>-36482.1580459832</v>
      </c>
      <c r="L17" s="2" t="n">
        <v>-15678.56071278261</v>
      </c>
      <c r="M17" s="2" t="n">
        <v>-75585.51391243296</v>
      </c>
      <c r="N17" s="2" t="n">
        <v>-34640.4130395641</v>
      </c>
      <c r="O17" s="2" t="n">
        <v>-34019.47608772486</v>
      </c>
      <c r="P17" t="inlineStr">
        <is>
          <t>MINUS</t>
        </is>
      </c>
      <c r="AA17" t="n">
        <v>1115</v>
      </c>
      <c r="AB17" s="2" t="n">
        <v>33934.62962962963</v>
      </c>
      <c r="AC17" s="2" t="n">
        <v>41441.88888888888</v>
      </c>
      <c r="AD17" s="2" t="n">
        <v>47755.78703703703</v>
      </c>
      <c r="AE17" s="2" t="n">
        <v>54791.68518518518</v>
      </c>
      <c r="AF17" s="2" t="n">
        <v>63187.62962962963</v>
      </c>
      <c r="AG17" s="2" t="n">
        <v>66098</v>
      </c>
      <c r="AH17" s="2" t="n">
        <v>59944.91666666666</v>
      </c>
      <c r="AI17" s="2" t="n">
        <v>72663.69444444444</v>
      </c>
      <c r="AJ17" s="2" t="n">
        <v>54877.28703703702</v>
      </c>
      <c r="AK17" s="2" t="n">
        <v>54464.32407407407</v>
      </c>
      <c r="AL17" s="2" t="n">
        <v>64194.67592592593</v>
      </c>
      <c r="AM17" s="2" t="n">
        <v>66364.97222222222</v>
      </c>
      <c r="AN17" s="2" t="n">
        <v>58380.74999999999</v>
      </c>
      <c r="AO17" s="2" t="n">
        <v>47882.41666666666</v>
      </c>
      <c r="AR17" t="n">
        <v>1115</v>
      </c>
      <c r="AS17" t="n">
        <v>1454</v>
      </c>
      <c r="AT17" t="n">
        <v>1680</v>
      </c>
      <c r="AU17" t="n">
        <v>2058</v>
      </c>
      <c r="AV17" t="n">
        <v>2197</v>
      </c>
      <c r="AW17" t="n">
        <v>2496</v>
      </c>
      <c r="AX17" t="n">
        <v>2631</v>
      </c>
      <c r="AY17" t="n">
        <v>2435</v>
      </c>
      <c r="AZ17" t="n">
        <v>2837</v>
      </c>
      <c r="BA17" t="n">
        <v>2255</v>
      </c>
      <c r="BB17" t="n">
        <v>2428</v>
      </c>
      <c r="BC17" t="n">
        <v>2821</v>
      </c>
      <c r="BD17" t="n">
        <v>2565</v>
      </c>
      <c r="BE17" t="n">
        <v>2327</v>
      </c>
      <c r="BF17" t="n">
        <v>2022</v>
      </c>
    </row>
    <row r="18">
      <c r="A18" t="n">
        <v>1117</v>
      </c>
      <c r="B18" s="2" t="n">
        <v>-27154.27272419161</v>
      </c>
      <c r="C18" s="2" t="n">
        <v>-27366.55410150841</v>
      </c>
      <c r="D18" s="2" t="n">
        <v>-34364.90623536456</v>
      </c>
      <c r="E18" s="2" t="n">
        <v>180.4328340710381</v>
      </c>
      <c r="F18" s="2" t="n">
        <v>-39941.86575092593</v>
      </c>
      <c r="G18" s="2" t="n">
        <v>-44591.77495586838</v>
      </c>
      <c r="H18" s="2" t="n">
        <v>-55275.87346628205</v>
      </c>
      <c r="I18" s="2" t="n">
        <v>-50084.93809340901</v>
      </c>
      <c r="J18" s="2" t="n">
        <v>-49320.31458691737</v>
      </c>
      <c r="K18" s="2" t="n">
        <v>-35483.34103502023</v>
      </c>
      <c r="L18" s="2" t="n">
        <v>-14516.93838359742</v>
      </c>
      <c r="M18" s="2" t="n">
        <v>-73937.00099502555</v>
      </c>
      <c r="N18" s="2" t="n">
        <v>-32977.10248204558</v>
      </c>
      <c r="O18" s="2" t="n">
        <v>-32484.71786428042</v>
      </c>
      <c r="P18" t="inlineStr">
        <is>
          <t>MINUS</t>
        </is>
      </c>
      <c r="AA18" t="n">
        <v>1116</v>
      </c>
      <c r="AB18" s="2" t="n">
        <v>1155.092592592593</v>
      </c>
      <c r="AC18" s="2" t="n">
        <v>973.6759259259258</v>
      </c>
      <c r="AD18" s="2" t="n">
        <v>1133.555555555555</v>
      </c>
      <c r="AE18" s="2" t="n">
        <v>1333.268518518519</v>
      </c>
      <c r="AF18" s="2" t="n">
        <v>1672.018518518518</v>
      </c>
      <c r="AG18" s="2" t="n">
        <v>884.5833333333333</v>
      </c>
      <c r="AH18" s="2" t="n">
        <v>1912.268518518518</v>
      </c>
      <c r="AI18" s="2" t="n">
        <v>1936.018518518518</v>
      </c>
      <c r="AJ18" s="2" t="n">
        <v>1526.287037037037</v>
      </c>
      <c r="AK18" s="2" t="n">
        <v>1556</v>
      </c>
      <c r="AL18" s="2" t="n">
        <v>1517.018518518518</v>
      </c>
      <c r="AM18" s="2" t="n">
        <v>1423.564814814815</v>
      </c>
      <c r="AN18" s="2" t="n">
        <v>1430.342592592592</v>
      </c>
      <c r="AO18" s="2" t="n">
        <v>1071.25</v>
      </c>
      <c r="AR18" t="n">
        <v>1116</v>
      </c>
      <c r="AS18" t="n">
        <v>115</v>
      </c>
      <c r="AT18" t="n">
        <v>100</v>
      </c>
      <c r="AU18" t="n">
        <v>105</v>
      </c>
      <c r="AV18" t="n">
        <v>125</v>
      </c>
      <c r="AW18" t="n">
        <v>126</v>
      </c>
      <c r="AX18" t="n">
        <v>94</v>
      </c>
      <c r="AY18" t="n">
        <v>160</v>
      </c>
      <c r="AZ18" t="n">
        <v>145</v>
      </c>
      <c r="BA18" t="n">
        <v>136</v>
      </c>
      <c r="BB18" t="n">
        <v>146</v>
      </c>
      <c r="BC18" t="n">
        <v>127</v>
      </c>
      <c r="BD18" t="n">
        <v>136</v>
      </c>
      <c r="BE18" t="n">
        <v>133</v>
      </c>
      <c r="BF18" t="n">
        <v>112</v>
      </c>
    </row>
    <row r="19">
      <c r="A19" t="n">
        <v>1118</v>
      </c>
      <c r="B19" s="2" t="n">
        <v>-27582.65003345087</v>
      </c>
      <c r="C19" s="2" t="n">
        <v>-26340.32804943434</v>
      </c>
      <c r="D19" s="2" t="n">
        <v>-33293.45447084604</v>
      </c>
      <c r="E19" s="2" t="n">
        <v>-34933.55431985489</v>
      </c>
      <c r="F19" s="2" t="n">
        <v>-38602.77610462964</v>
      </c>
      <c r="G19" s="2" t="n">
        <v>-43280.59577360912</v>
      </c>
      <c r="H19" s="2" t="n">
        <v>-53965.71067724501</v>
      </c>
      <c r="I19" s="2" t="n">
        <v>-48565.14213081641</v>
      </c>
      <c r="J19" s="2" t="n">
        <v>-48169.9731247322</v>
      </c>
      <c r="K19" s="2" t="n">
        <v>-33876.79510494616</v>
      </c>
      <c r="L19" s="2" t="n">
        <v>-12818.21761289372</v>
      </c>
      <c r="M19" s="2" t="n">
        <v>-71921.00022717369</v>
      </c>
      <c r="N19" s="2" t="n">
        <v>-31900.94437752706</v>
      </c>
      <c r="O19" s="2" t="n">
        <v>-31141.1658021693</v>
      </c>
      <c r="P19" t="inlineStr">
        <is>
          <t>MINUS</t>
        </is>
      </c>
      <c r="AA19" t="n">
        <v>1117</v>
      </c>
      <c r="AB19" s="2" t="n">
        <v>10283.72222222222</v>
      </c>
      <c r="AC19" s="2" t="n">
        <v>9233</v>
      </c>
      <c r="AD19" s="2" t="n">
        <v>9289.518518518518</v>
      </c>
      <c r="AE19" s="2" t="n">
        <v>5246.342592592592</v>
      </c>
      <c r="AF19" s="2" t="n">
        <v>6161.805555555555</v>
      </c>
      <c r="AG19" s="2" t="n">
        <v>7323.712962962964</v>
      </c>
      <c r="AH19" s="2" t="n">
        <v>11298.75</v>
      </c>
      <c r="AI19" s="2" t="n">
        <v>15103.30555555555</v>
      </c>
      <c r="AJ19" s="2" t="n">
        <v>8317.296296296296</v>
      </c>
      <c r="AK19" s="2" t="n">
        <v>4868.194444444443</v>
      </c>
      <c r="AL19" s="2" t="n">
        <v>7224.898148148148</v>
      </c>
      <c r="AM19" s="2" t="n">
        <v>14245.69444444445</v>
      </c>
      <c r="AN19" s="2" t="n">
        <v>13549.84259259259</v>
      </c>
      <c r="AO19" s="2" t="n">
        <v>11499.40740740741</v>
      </c>
      <c r="AR19" t="n">
        <v>1117</v>
      </c>
      <c r="AS19" t="n">
        <v>196</v>
      </c>
      <c r="AT19" t="n">
        <v>152</v>
      </c>
      <c r="AU19" t="n">
        <v>212</v>
      </c>
      <c r="AV19" t="n">
        <v>127</v>
      </c>
      <c r="AW19" t="n">
        <v>173</v>
      </c>
      <c r="AX19" t="n">
        <v>216</v>
      </c>
      <c r="AY19" t="n">
        <v>378</v>
      </c>
      <c r="AZ19" t="n">
        <v>563</v>
      </c>
      <c r="BA19" t="n">
        <v>264</v>
      </c>
      <c r="BB19" t="n">
        <v>168</v>
      </c>
      <c r="BC19" t="n">
        <v>279</v>
      </c>
      <c r="BD19" t="n">
        <v>334</v>
      </c>
      <c r="BE19" t="n">
        <v>334</v>
      </c>
      <c r="BF19" t="n">
        <v>269</v>
      </c>
    </row>
    <row r="20">
      <c r="A20" t="n">
        <v>1119</v>
      </c>
      <c r="B20" s="2" t="n">
        <v>-28829.77281319161</v>
      </c>
      <c r="C20" s="2" t="n">
        <v>-27308.55504098989</v>
      </c>
      <c r="D20" s="2" t="n">
        <v>-34369.19963703123</v>
      </c>
      <c r="E20" s="2" t="n">
        <v>-36443.74447215119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t="inlineStr">
        <is>
          <t>MINUS</t>
        </is>
      </c>
      <c r="AA20" t="n">
        <v>1118</v>
      </c>
      <c r="AB20" s="2" t="n">
        <v>25592.98148148148</v>
      </c>
      <c r="AC20" s="2" t="n">
        <v>28159.5</v>
      </c>
      <c r="AD20" s="2" t="n">
        <v>28646.77777777778</v>
      </c>
      <c r="AE20" s="2" t="n">
        <v>27917.52777777778</v>
      </c>
      <c r="AF20" s="2" t="n">
        <v>28856.71296296296</v>
      </c>
      <c r="AG20" s="2" t="n">
        <v>29374.56481481481</v>
      </c>
      <c r="AH20" s="2" t="n">
        <v>32638.4074074074</v>
      </c>
      <c r="AI20" s="2" t="n">
        <v>38870.71296296296</v>
      </c>
      <c r="AJ20" s="2" t="n">
        <v>28155.56481481481</v>
      </c>
      <c r="AK20" s="2" t="n">
        <v>31939.25</v>
      </c>
      <c r="AL20" s="2" t="n">
        <v>34654</v>
      </c>
      <c r="AM20" s="2" t="n">
        <v>45122.9074074074</v>
      </c>
      <c r="AN20" s="2" t="n">
        <v>31264.13888888889</v>
      </c>
      <c r="AO20" s="2" t="n">
        <v>32661.01851851852</v>
      </c>
      <c r="AR20" t="n">
        <v>1118</v>
      </c>
      <c r="AS20" t="n">
        <v>1830</v>
      </c>
      <c r="AT20" t="n">
        <v>1988</v>
      </c>
      <c r="AU20" t="n">
        <v>1974</v>
      </c>
      <c r="AV20" t="n">
        <v>1874</v>
      </c>
      <c r="AW20" t="n">
        <v>1929</v>
      </c>
      <c r="AX20" t="n">
        <v>2038</v>
      </c>
      <c r="AY20" t="n">
        <v>2191</v>
      </c>
      <c r="AZ20" t="n">
        <v>2524</v>
      </c>
      <c r="BA20" t="n">
        <v>1918</v>
      </c>
      <c r="BB20" t="n">
        <v>2261</v>
      </c>
      <c r="BC20" t="n">
        <v>2313</v>
      </c>
      <c r="BD20" t="n">
        <v>2870</v>
      </c>
      <c r="BE20" t="n">
        <v>2194</v>
      </c>
      <c r="BF20" t="n">
        <v>2124</v>
      </c>
    </row>
    <row r="21">
      <c r="A21" t="n">
        <v>1120</v>
      </c>
      <c r="B21" s="2" t="n">
        <v>-28957.4928467842</v>
      </c>
      <c r="C21" s="2" t="n">
        <v>-27898.17449421211</v>
      </c>
      <c r="D21" s="2" t="n">
        <v>-34801.71592221641</v>
      </c>
      <c r="E21" s="2" t="n">
        <v>2651.554384330297</v>
      </c>
      <c r="F21" s="2" t="n">
        <v>-40191.47602503705</v>
      </c>
      <c r="G21" s="2" t="n">
        <v>-44926.53949368319</v>
      </c>
      <c r="H21" s="2" t="n">
        <v>-55796.21402768946</v>
      </c>
      <c r="I21" s="2" t="n">
        <v>-50809.59501037197</v>
      </c>
      <c r="J21" s="2" t="n">
        <v>-49752.16233832479</v>
      </c>
      <c r="K21" s="2" t="n">
        <v>-35735.75489153875</v>
      </c>
      <c r="L21" s="2" t="n">
        <v>-14952.00236981965</v>
      </c>
      <c r="M21" s="2" t="n">
        <v>-74789.78314421071</v>
      </c>
      <c r="N21" s="2" t="n">
        <v>-33786.37247060114</v>
      </c>
      <c r="O21" s="2" t="n">
        <v>-32774.33690391005</v>
      </c>
      <c r="P21" t="inlineStr">
        <is>
          <t>MINUS</t>
        </is>
      </c>
      <c r="AA21" t="n">
        <v>1119</v>
      </c>
      <c r="AB21" s="2" t="n">
        <v>4368.388888888889</v>
      </c>
      <c r="AC21" s="2" t="n">
        <v>10615.34259259259</v>
      </c>
      <c r="AD21" s="2" t="n">
        <v>10070.86111111111</v>
      </c>
      <c r="AE21" s="2" t="n">
        <v>3512.444444444444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R21" t="n">
        <v>1119</v>
      </c>
      <c r="AS21" t="n">
        <v>264</v>
      </c>
      <c r="AT21" t="n">
        <v>578</v>
      </c>
      <c r="AU21" t="n">
        <v>577</v>
      </c>
      <c r="AV21" t="n">
        <v>202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1121</v>
      </c>
      <c r="B22" s="2" t="n">
        <v>-24916.00124041384</v>
      </c>
      <c r="C22" s="2" t="n">
        <v>-23865.24757980471</v>
      </c>
      <c r="D22" s="2" t="n">
        <v>-30628.38041695714</v>
      </c>
      <c r="E22" s="2" t="n">
        <v>6880.814390034002</v>
      </c>
      <c r="F22" s="2" t="n">
        <v>-35928.90222385185</v>
      </c>
      <c r="G22" s="2" t="n">
        <v>-40664.0231969795</v>
      </c>
      <c r="H22" s="2" t="n">
        <v>-51665.06917820798</v>
      </c>
      <c r="I22" s="2" t="n">
        <v>-46585.26276207568</v>
      </c>
      <c r="J22" s="2" t="n">
        <v>-49560.16578202849</v>
      </c>
      <c r="K22" s="2" t="n">
        <v>-35676.67802983505</v>
      </c>
      <c r="L22" s="2" t="n">
        <v>-14900.5320313752</v>
      </c>
      <c r="M22" s="2" t="n">
        <v>-74784.10001509961</v>
      </c>
      <c r="N22" s="2" t="n">
        <v>-33914.38650011965</v>
      </c>
      <c r="O22" s="2" t="n">
        <v>-33250.03500928041</v>
      </c>
      <c r="P22" t="inlineStr">
        <is>
          <t>MINUS</t>
        </is>
      </c>
      <c r="AA22" t="n">
        <v>1120</v>
      </c>
      <c r="AB22" s="2" t="n">
        <v>5128.907407407407</v>
      </c>
      <c r="AC22" s="2" t="n">
        <v>4848.222222222222</v>
      </c>
      <c r="AD22" s="2" t="n">
        <v>6925.259259259259</v>
      </c>
      <c r="AE22" s="2" t="n">
        <v>5718.925925925925</v>
      </c>
      <c r="AF22" s="2" t="n">
        <v>5049.287037037036</v>
      </c>
      <c r="AG22" s="2" t="n">
        <v>5506.657407407407</v>
      </c>
      <c r="AH22" s="2" t="n">
        <v>6590.5</v>
      </c>
      <c r="AI22" s="2" t="n">
        <v>6385.101851851852</v>
      </c>
      <c r="AJ22" s="2" t="n">
        <v>4488.814814814815</v>
      </c>
      <c r="AK22" s="2" t="n">
        <v>3934.148148148148</v>
      </c>
      <c r="AL22" s="2" t="n">
        <v>3713.731481481481</v>
      </c>
      <c r="AM22" s="2" t="n">
        <v>5576.425925925925</v>
      </c>
      <c r="AN22" s="2" t="n">
        <v>5923.157407407407</v>
      </c>
      <c r="AO22" s="2" t="n">
        <v>15883.99074074074</v>
      </c>
      <c r="AR22" t="n">
        <v>1120</v>
      </c>
      <c r="AS22" t="n">
        <v>349</v>
      </c>
      <c r="AT22" t="n">
        <v>343</v>
      </c>
      <c r="AU22" t="n">
        <v>483</v>
      </c>
      <c r="AV22" t="n">
        <v>409</v>
      </c>
      <c r="AW22" t="n">
        <v>375</v>
      </c>
      <c r="AX22" t="n">
        <v>390</v>
      </c>
      <c r="AY22" t="n">
        <v>444</v>
      </c>
      <c r="AZ22" t="n">
        <v>449</v>
      </c>
      <c r="BA22" t="n">
        <v>315</v>
      </c>
      <c r="BB22" t="n">
        <v>309</v>
      </c>
      <c r="BC22" t="n">
        <v>280</v>
      </c>
      <c r="BD22" t="n">
        <v>395</v>
      </c>
      <c r="BE22" t="n">
        <v>395</v>
      </c>
      <c r="BF22" t="n">
        <v>909</v>
      </c>
    </row>
    <row r="23">
      <c r="A23" t="n">
        <v>1122</v>
      </c>
      <c r="B23" s="2" t="n">
        <v>-28581.25234171013</v>
      </c>
      <c r="C23" s="2" t="n">
        <v>-28691.68463317508</v>
      </c>
      <c r="D23" s="2" t="n">
        <v>1864.457531968779</v>
      </c>
      <c r="E23" s="2" t="n">
        <v>-37297.43685015118</v>
      </c>
      <c r="F23" s="2" t="n">
        <v>-40983.08806448149</v>
      </c>
      <c r="G23" s="2" t="n">
        <v>-45700.76864690542</v>
      </c>
      <c r="H23" s="2" t="n">
        <v>-56623.0963421339</v>
      </c>
      <c r="I23" s="2" t="n">
        <v>-51627.12951240901</v>
      </c>
      <c r="J23" s="2" t="n">
        <v>-50536.29940310256</v>
      </c>
      <c r="K23" s="2" t="n">
        <v>-36481.48242516838</v>
      </c>
      <c r="L23" s="2" t="n">
        <v>-15118.39838207891</v>
      </c>
      <c r="M23" s="2" t="n">
        <v>-75040.0504532848</v>
      </c>
      <c r="N23" s="2" t="n">
        <v>-34628.87656367521</v>
      </c>
      <c r="O23" s="2" t="n">
        <v>-34028.36717531746</v>
      </c>
      <c r="P23" t="inlineStr">
        <is>
          <t>MINUS</t>
        </is>
      </c>
      <c r="AA23" t="n">
        <v>1121</v>
      </c>
      <c r="AB23" s="2" t="n">
        <v>4088.342592592592</v>
      </c>
      <c r="AC23" s="2" t="n">
        <v>4069.777777777777</v>
      </c>
      <c r="AD23" s="2" t="n">
        <v>12321.40740740741</v>
      </c>
      <c r="AE23" s="2" t="n">
        <v>11325.71296296296</v>
      </c>
      <c r="AF23" s="2" t="n">
        <v>12184.13888888889</v>
      </c>
      <c r="AG23" s="2" t="n">
        <v>11521.67592592593</v>
      </c>
      <c r="AH23" s="2" t="n">
        <v>11627.50925925926</v>
      </c>
      <c r="AI23" s="2" t="n">
        <v>13305.5462962963</v>
      </c>
      <c r="AJ23" s="2" t="n">
        <v>10828.30555555555</v>
      </c>
      <c r="AK23" s="2" t="n">
        <v>9952.731481481482</v>
      </c>
      <c r="AL23" s="2" t="n">
        <v>7600.777777777776</v>
      </c>
      <c r="AM23" s="2" t="n">
        <v>10757.64814814815</v>
      </c>
      <c r="AN23" s="2" t="n">
        <v>7175.75925925926</v>
      </c>
      <c r="AO23" s="2" t="n">
        <v>7897.509259259259</v>
      </c>
      <c r="AR23" t="n">
        <v>1121</v>
      </c>
      <c r="AS23" t="n">
        <v>335</v>
      </c>
      <c r="AT23" t="n">
        <v>332</v>
      </c>
      <c r="AU23" t="n">
        <v>865</v>
      </c>
      <c r="AV23" t="n">
        <v>811</v>
      </c>
      <c r="AW23" t="n">
        <v>913</v>
      </c>
      <c r="AX23" t="n">
        <v>884</v>
      </c>
      <c r="AY23" t="n">
        <v>885</v>
      </c>
      <c r="AZ23" t="n">
        <v>1006</v>
      </c>
      <c r="BA23" t="n">
        <v>736</v>
      </c>
      <c r="BB23" t="n">
        <v>782</v>
      </c>
      <c r="BC23" t="n">
        <v>659</v>
      </c>
      <c r="BD23" t="n">
        <v>816</v>
      </c>
      <c r="BE23" t="n">
        <v>622</v>
      </c>
      <c r="BF23" t="n">
        <v>588</v>
      </c>
    </row>
    <row r="24">
      <c r="A24" t="n">
        <v>1123</v>
      </c>
      <c r="B24" s="2" t="n">
        <v>-27374.75287919161</v>
      </c>
      <c r="C24" s="2" t="n">
        <v>-27754.330025101</v>
      </c>
      <c r="D24" s="2" t="n">
        <v>-34540.02266032752</v>
      </c>
      <c r="E24" s="2" t="n">
        <v>-35474.05405929933</v>
      </c>
      <c r="F24" s="2" t="n">
        <v>-39127.60129196297</v>
      </c>
      <c r="G24" s="2" t="n">
        <v>-44014.88417327579</v>
      </c>
      <c r="H24" s="2" t="n">
        <v>-54275.34597854131</v>
      </c>
      <c r="I24" s="2" t="n">
        <v>-49578.41916122384</v>
      </c>
      <c r="J24" s="2" t="n">
        <v>-48941.75082754701</v>
      </c>
      <c r="K24" s="2" t="n">
        <v>-34968.3201946869</v>
      </c>
      <c r="L24" s="2" t="n">
        <v>-13848.8583289678</v>
      </c>
      <c r="M24" s="2" t="n">
        <v>-73760.32753687739</v>
      </c>
      <c r="N24" s="2" t="n">
        <v>-33562.20546100855</v>
      </c>
      <c r="O24" s="2" t="n">
        <v>-32788.50684372486</v>
      </c>
      <c r="P24" t="inlineStr">
        <is>
          <t>MINUS</t>
        </is>
      </c>
      <c r="AA24" t="n">
        <v>1122</v>
      </c>
      <c r="AB24" s="2" t="n">
        <v>1015.009259259259</v>
      </c>
      <c r="AC24" s="2" t="n">
        <v>1162.537037037037</v>
      </c>
      <c r="AD24" s="2" t="n">
        <v>993.5555555555554</v>
      </c>
      <c r="AE24" s="2" t="n">
        <v>1271.361111111111</v>
      </c>
      <c r="AF24" s="2" t="n">
        <v>1449.703703703703</v>
      </c>
      <c r="AG24" s="2" t="n">
        <v>1461.527777777778</v>
      </c>
      <c r="AH24" s="2" t="n">
        <v>2424.481481481481</v>
      </c>
      <c r="AI24" s="2" t="n">
        <v>2327.833333333333</v>
      </c>
      <c r="AJ24" s="2" t="n">
        <v>1043.462962962963</v>
      </c>
      <c r="AK24" s="2" t="n">
        <v>570.111111111111</v>
      </c>
      <c r="AL24" s="2" t="n">
        <v>757.3703703703702</v>
      </c>
      <c r="AM24" s="2" t="n">
        <v>814.7129629629629</v>
      </c>
      <c r="AN24" s="2" t="n">
        <v>1034.490740740741</v>
      </c>
      <c r="AO24" s="2" t="n">
        <v>297.5925925925926</v>
      </c>
      <c r="AR24" t="n">
        <v>1122</v>
      </c>
      <c r="AS24" t="n">
        <v>70</v>
      </c>
      <c r="AT24" t="n">
        <v>82</v>
      </c>
      <c r="AU24" t="n">
        <v>71</v>
      </c>
      <c r="AV24" t="n">
        <v>93</v>
      </c>
      <c r="AW24" t="n">
        <v>76</v>
      </c>
      <c r="AX24" t="n">
        <v>84</v>
      </c>
      <c r="AY24" t="n">
        <v>132</v>
      </c>
      <c r="AZ24" t="n">
        <v>119</v>
      </c>
      <c r="BA24" t="n">
        <v>66</v>
      </c>
      <c r="BB24" t="n">
        <v>44</v>
      </c>
      <c r="BC24" t="n">
        <v>50</v>
      </c>
      <c r="BD24" t="n">
        <v>55</v>
      </c>
      <c r="BE24" t="n">
        <v>72</v>
      </c>
      <c r="BF24" t="n">
        <v>21</v>
      </c>
    </row>
    <row r="25">
      <c r="A25" t="n">
        <v>1124</v>
      </c>
      <c r="B25" s="2" t="n">
        <v>-27885.26441285828</v>
      </c>
      <c r="C25" s="2" t="n">
        <v>-27999.19860480471</v>
      </c>
      <c r="D25" s="2" t="n">
        <v>-35007.88685225344</v>
      </c>
      <c r="E25" s="2" t="n">
        <v>-36616.78030359563</v>
      </c>
      <c r="F25" s="2" t="n">
        <v>-40328.34595244445</v>
      </c>
      <c r="G25" s="2" t="n">
        <v>-45029.38508701653</v>
      </c>
      <c r="H25" s="2" t="n">
        <v>-60177.95366161539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t="inlineStr">
        <is>
          <t>MINUS</t>
        </is>
      </c>
      <c r="AA25" t="n">
        <v>1123</v>
      </c>
      <c r="AB25" s="2" t="n">
        <v>31547.19444444445</v>
      </c>
      <c r="AC25" s="2" t="n">
        <v>22805.69444444444</v>
      </c>
      <c r="AD25" s="2" t="n">
        <v>24458.98148148148</v>
      </c>
      <c r="AE25" s="2" t="n">
        <v>35239.47222222222</v>
      </c>
      <c r="AF25" s="2" t="n">
        <v>36587.58333333333</v>
      </c>
      <c r="AG25" s="2" t="n">
        <v>35618.94444444444</v>
      </c>
      <c r="AH25" s="2" t="n">
        <v>42744.24074074074</v>
      </c>
      <c r="AI25" s="2" t="n">
        <v>41239.07407407407</v>
      </c>
      <c r="AJ25" s="2" t="n">
        <v>30023.60185185185</v>
      </c>
      <c r="AK25" s="2" t="n">
        <v>31044.37962962963</v>
      </c>
      <c r="AL25" s="2" t="n">
        <v>25609.62037037037</v>
      </c>
      <c r="AM25" s="2" t="n">
        <v>24815.97222222222</v>
      </c>
      <c r="AN25" s="2" t="n">
        <v>21693</v>
      </c>
      <c r="AO25" s="2" t="n">
        <v>26233.06481481481</v>
      </c>
      <c r="AR25" t="n">
        <v>1123</v>
      </c>
      <c r="AS25" t="n">
        <v>2278</v>
      </c>
      <c r="AT25" t="n">
        <v>1598</v>
      </c>
      <c r="AU25" t="n">
        <v>1973</v>
      </c>
      <c r="AV25" t="n">
        <v>2550</v>
      </c>
      <c r="AW25" t="n">
        <v>2636</v>
      </c>
      <c r="AX25" t="n">
        <v>2662</v>
      </c>
      <c r="AY25" t="n">
        <v>2917</v>
      </c>
      <c r="AZ25" t="n">
        <v>2806</v>
      </c>
      <c r="BA25" t="n">
        <v>2277</v>
      </c>
      <c r="BB25" t="n">
        <v>2466</v>
      </c>
      <c r="BC25" t="n">
        <v>2066</v>
      </c>
      <c r="BD25" t="n">
        <v>1870</v>
      </c>
      <c r="BE25" t="n">
        <v>1685</v>
      </c>
      <c r="BF25" t="n">
        <v>2078</v>
      </c>
    </row>
    <row r="26">
      <c r="A26" t="n">
        <v>1125</v>
      </c>
      <c r="B26" s="2" t="n">
        <v>-28946.75855904346</v>
      </c>
      <c r="C26" s="2" t="n">
        <v>-27902.51790902693</v>
      </c>
      <c r="D26" s="2" t="n">
        <v>-34856.88094566084</v>
      </c>
      <c r="E26" s="2" t="n">
        <v>-36444.68277611415</v>
      </c>
      <c r="F26" s="2" t="n">
        <v>-40270.7330255926</v>
      </c>
      <c r="G26" s="2" t="n">
        <v>-44645.33991990542</v>
      </c>
      <c r="H26" s="2" t="n">
        <v>-55497.91960791167</v>
      </c>
      <c r="I26" s="2" t="n">
        <v>-50029.30162481642</v>
      </c>
      <c r="J26" s="2" t="n">
        <v>-49303.40319288035</v>
      </c>
      <c r="K26" s="2" t="n">
        <v>-35103.44646187209</v>
      </c>
      <c r="L26" s="2" t="n">
        <v>-14102.05978278261</v>
      </c>
      <c r="M26" s="2" t="n">
        <v>-74200.26676846997</v>
      </c>
      <c r="N26" s="2" t="n">
        <v>-33214.80410737891</v>
      </c>
      <c r="O26" s="2" t="n">
        <v>-32605.89566557671</v>
      </c>
      <c r="P26" t="inlineStr">
        <is>
          <t>MINUS</t>
        </is>
      </c>
      <c r="AA26" t="n">
        <v>1124</v>
      </c>
      <c r="AB26" s="2" t="n">
        <v>2353.74074074074</v>
      </c>
      <c r="AC26" s="2" t="n">
        <v>1565.842592592592</v>
      </c>
      <c r="AD26" s="2" t="n">
        <v>2017.416666666667</v>
      </c>
      <c r="AE26" s="2" t="n">
        <v>1611.305555555555</v>
      </c>
      <c r="AF26" s="2" t="n">
        <v>1333.037037037037</v>
      </c>
      <c r="AG26" s="2" t="n">
        <v>966.2407407407406</v>
      </c>
      <c r="AH26" s="2" t="n">
        <v>61.26851851851851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R26" t="n">
        <v>1124</v>
      </c>
      <c r="AS26" t="n">
        <v>167</v>
      </c>
      <c r="AT26" t="n">
        <v>111</v>
      </c>
      <c r="AU26" t="n">
        <v>157</v>
      </c>
      <c r="AV26" t="n">
        <v>126</v>
      </c>
      <c r="AW26" t="n">
        <v>102</v>
      </c>
      <c r="AX26" t="n">
        <v>64</v>
      </c>
      <c r="AY26" t="n">
        <v>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1126</v>
      </c>
      <c r="B27" s="2" t="n">
        <v>-32518.66367941383</v>
      </c>
      <c r="C27" s="2" t="n">
        <v>-31192.82622002693</v>
      </c>
      <c r="D27" s="2" t="n">
        <v>-37934.99544329048</v>
      </c>
      <c r="E27" s="2" t="n">
        <v>-39616.02517229933</v>
      </c>
      <c r="F27" s="2" t="n">
        <v>-42161.23610185185</v>
      </c>
      <c r="G27" s="2" t="n">
        <v>-47798.07787494246</v>
      </c>
      <c r="H27" s="2" t="n">
        <v>-57145.95303135612</v>
      </c>
      <c r="I27" s="2" t="n">
        <v>-50383.66129607568</v>
      </c>
      <c r="J27" s="2" t="n">
        <v>-49636.59797539886</v>
      </c>
      <c r="K27" s="2" t="n">
        <v>-35579.56343716838</v>
      </c>
      <c r="L27" s="2" t="n">
        <v>-16055.91861974557</v>
      </c>
      <c r="M27" s="2" t="n">
        <v>-74845.17383043295</v>
      </c>
      <c r="N27" s="2" t="n">
        <v>-35913.29999200854</v>
      </c>
      <c r="O27" s="2" t="n">
        <v>-34334.98000494709</v>
      </c>
      <c r="P27" t="inlineStr">
        <is>
          <t>MINUS</t>
        </is>
      </c>
      <c r="AA27" t="n">
        <v>1125</v>
      </c>
      <c r="AB27" s="2" t="n">
        <v>3795</v>
      </c>
      <c r="AC27" s="2" t="n">
        <v>2819.055555555556</v>
      </c>
      <c r="AD27" s="2" t="n">
        <v>3884.833333333333</v>
      </c>
      <c r="AE27" s="2" t="n">
        <v>4048.425925925925</v>
      </c>
      <c r="AF27" s="2" t="n">
        <v>2041.833333333333</v>
      </c>
      <c r="AG27" s="2" t="n">
        <v>5741.462962962962</v>
      </c>
      <c r="AH27" s="2" t="n">
        <v>6813.351851851851</v>
      </c>
      <c r="AI27" s="2" t="n">
        <v>12526.49074074074</v>
      </c>
      <c r="AJ27" s="2" t="n">
        <v>7697.416666666666</v>
      </c>
      <c r="AK27" s="2" t="n">
        <v>9723.98148148148</v>
      </c>
      <c r="AL27" s="2" t="n">
        <v>12751.23148148148</v>
      </c>
      <c r="AM27" s="2" t="n">
        <v>10643.92592592593</v>
      </c>
      <c r="AN27" s="2" t="n">
        <v>9910.787037037036</v>
      </c>
      <c r="AO27" s="2" t="n">
        <v>10256.62962962963</v>
      </c>
      <c r="AR27" t="n">
        <v>1125</v>
      </c>
      <c r="AS27" t="n">
        <v>197</v>
      </c>
      <c r="AT27" t="n">
        <v>161</v>
      </c>
      <c r="AU27" t="n">
        <v>230</v>
      </c>
      <c r="AV27" t="n">
        <v>217</v>
      </c>
      <c r="AW27" t="n">
        <v>147</v>
      </c>
      <c r="AX27" t="n">
        <v>243</v>
      </c>
      <c r="AY27" t="n">
        <v>263</v>
      </c>
      <c r="AZ27" t="n">
        <v>450</v>
      </c>
      <c r="BA27" t="n">
        <v>301</v>
      </c>
      <c r="BB27" t="n">
        <v>435</v>
      </c>
      <c r="BC27" t="n">
        <v>638</v>
      </c>
      <c r="BD27" t="n">
        <v>510</v>
      </c>
      <c r="BE27" t="n">
        <v>521</v>
      </c>
      <c r="BF27" t="n">
        <v>513</v>
      </c>
    </row>
    <row r="28">
      <c r="A28" t="n">
        <v>1127</v>
      </c>
      <c r="B28" s="2" t="n">
        <v>-32550.74012800643</v>
      </c>
      <c r="C28" s="2" t="n">
        <v>-31336.36633424916</v>
      </c>
      <c r="D28" s="2" t="n">
        <v>-38014.67040614233</v>
      </c>
      <c r="E28" s="2" t="n">
        <v>-39703.88992155859</v>
      </c>
      <c r="F28" s="2" t="n">
        <v>-43279.60636448149</v>
      </c>
      <c r="G28" s="2" t="n">
        <v>-48375.8236189795</v>
      </c>
      <c r="H28" s="2" t="n">
        <v>-57546.22725861538</v>
      </c>
      <c r="I28" s="2" t="n">
        <v>-52014.05353470531</v>
      </c>
      <c r="J28" s="2" t="n">
        <v>-51020.15028436183</v>
      </c>
      <c r="K28" s="2" t="n">
        <v>-37241.88621494616</v>
      </c>
      <c r="L28" s="2" t="n">
        <v>-16947.76165663446</v>
      </c>
      <c r="M28" s="2" t="n">
        <v>-75854.70953780333</v>
      </c>
      <c r="N28" s="2" t="n">
        <v>-36874.17215823076</v>
      </c>
      <c r="O28" s="2" t="n">
        <v>-35044.90760072486</v>
      </c>
      <c r="P28" t="inlineStr">
        <is>
          <t>MINUS</t>
        </is>
      </c>
      <c r="AA28" t="n">
        <v>1126</v>
      </c>
      <c r="AB28" s="2" t="n">
        <v>24124.39814814815</v>
      </c>
      <c r="AC28" s="2" t="n">
        <v>22684.38888888889</v>
      </c>
      <c r="AD28" s="2" t="n">
        <v>28895.04629629629</v>
      </c>
      <c r="AE28" s="2" t="n">
        <v>28611.44444444444</v>
      </c>
      <c r="AF28" s="2" t="n">
        <v>41132.63888888889</v>
      </c>
      <c r="AG28" s="2" t="n">
        <v>31099.59259259259</v>
      </c>
      <c r="AH28" s="2" t="n">
        <v>33161.58333333333</v>
      </c>
      <c r="AI28" s="2" t="n">
        <v>52553.36111111111</v>
      </c>
      <c r="AJ28" s="2" t="n">
        <v>48453.37962962963</v>
      </c>
      <c r="AK28" s="2" t="n">
        <v>48253.92592592592</v>
      </c>
      <c r="AL28" s="2" t="n">
        <v>28219.78703703704</v>
      </c>
      <c r="AM28" s="2" t="n">
        <v>40591.18518518518</v>
      </c>
      <c r="AN28" s="2" t="n">
        <v>33211.2962962963</v>
      </c>
      <c r="AO28" s="2" t="n">
        <v>28934.39814814815</v>
      </c>
      <c r="AR28" t="n">
        <v>1126</v>
      </c>
      <c r="AS28" t="n">
        <v>427</v>
      </c>
      <c r="AT28" t="n">
        <v>425</v>
      </c>
      <c r="AU28" t="n">
        <v>488</v>
      </c>
      <c r="AV28" t="n">
        <v>495</v>
      </c>
      <c r="AW28" t="n">
        <v>703</v>
      </c>
      <c r="AX28" t="n">
        <v>582</v>
      </c>
      <c r="AY28" t="n">
        <v>548</v>
      </c>
      <c r="AZ28" t="n">
        <v>856</v>
      </c>
      <c r="BA28" t="n">
        <v>904</v>
      </c>
      <c r="BB28" t="n">
        <v>979</v>
      </c>
      <c r="BC28" t="n">
        <v>574</v>
      </c>
      <c r="BD28" t="n">
        <v>698</v>
      </c>
      <c r="BE28" t="n">
        <v>662</v>
      </c>
      <c r="BF28" t="n">
        <v>629</v>
      </c>
    </row>
    <row r="29">
      <c r="A29" t="n">
        <v>1128</v>
      </c>
      <c r="B29" s="2" t="n">
        <v>-33889.90736830272</v>
      </c>
      <c r="C29" s="2" t="n">
        <v>-32361.69490502693</v>
      </c>
      <c r="D29" s="2" t="n">
        <v>-39746.678557809</v>
      </c>
      <c r="E29" s="2" t="n">
        <v>-41304.63957515118</v>
      </c>
      <c r="F29" s="2" t="n">
        <v>-45081.52002155556</v>
      </c>
      <c r="G29" s="2" t="n">
        <v>-49697.93446023876</v>
      </c>
      <c r="H29" s="2" t="n">
        <v>-60507.44559350427</v>
      </c>
      <c r="I29" s="2" t="n">
        <v>-55405.42079089049</v>
      </c>
      <c r="J29" s="2" t="n">
        <v>-54577.24345691738</v>
      </c>
      <c r="K29" s="2" t="n">
        <v>-40493.07020113135</v>
      </c>
      <c r="L29" s="2" t="n">
        <v>-19226.37296615298</v>
      </c>
      <c r="M29" s="2" t="n">
        <v>-79103.83895709962</v>
      </c>
      <c r="N29" s="2" t="n">
        <v>-38170.31191323077</v>
      </c>
      <c r="O29" s="2" t="n">
        <v>-36528.68498861375</v>
      </c>
      <c r="P29" t="inlineStr">
        <is>
          <t>MINUS</t>
        </is>
      </c>
      <c r="AA29" t="n">
        <v>1127</v>
      </c>
      <c r="AB29" s="2" t="n">
        <v>23700.33333333333</v>
      </c>
      <c r="AC29" s="2" t="n">
        <v>21144.40740740741</v>
      </c>
      <c r="AD29" s="2" t="n">
        <v>28009.91666666667</v>
      </c>
      <c r="AE29" s="2" t="n">
        <v>27544.4537037037</v>
      </c>
      <c r="AF29" s="2" t="n">
        <v>29038.12962962963</v>
      </c>
      <c r="AG29" s="2" t="n">
        <v>24894.47222222222</v>
      </c>
      <c r="AH29" s="2" t="n">
        <v>28951.88888888889</v>
      </c>
      <c r="AI29" s="2" t="n">
        <v>34540.29629629629</v>
      </c>
      <c r="AJ29" s="2" t="n">
        <v>33382.46296296296</v>
      </c>
      <c r="AK29" s="2" t="n">
        <v>30187.25925925926</v>
      </c>
      <c r="AL29" s="2" t="n">
        <v>18553.88888888889</v>
      </c>
      <c r="AM29" s="2" t="n">
        <v>29702.5462962963</v>
      </c>
      <c r="AN29" s="2" t="n">
        <v>22765.22222222222</v>
      </c>
      <c r="AO29" s="2" t="n">
        <v>21204.56481481482</v>
      </c>
      <c r="AR29" t="n">
        <v>1127</v>
      </c>
      <c r="AS29" t="n">
        <v>406</v>
      </c>
      <c r="AT29" t="n">
        <v>414</v>
      </c>
      <c r="AU29" t="n">
        <v>517</v>
      </c>
      <c r="AV29" t="n">
        <v>510</v>
      </c>
      <c r="AW29" t="n">
        <v>611</v>
      </c>
      <c r="AX29" t="n">
        <v>573</v>
      </c>
      <c r="AY29" t="n">
        <v>560</v>
      </c>
      <c r="AZ29" t="n">
        <v>655</v>
      </c>
      <c r="BA29" t="n">
        <v>782</v>
      </c>
      <c r="BB29" t="n">
        <v>712</v>
      </c>
      <c r="BC29" t="n">
        <v>498</v>
      </c>
      <c r="BD29" t="n">
        <v>696</v>
      </c>
      <c r="BE29" t="n">
        <v>647</v>
      </c>
      <c r="BF29" t="n">
        <v>568</v>
      </c>
    </row>
    <row r="30">
      <c r="A30" t="n">
        <v>1129</v>
      </c>
      <c r="B30" s="2" t="n">
        <v>0</v>
      </c>
      <c r="C30" s="2" t="n">
        <v>0</v>
      </c>
      <c r="D30" s="2" t="n">
        <v>0</v>
      </c>
      <c r="E30" s="2" t="n">
        <v>-13548.4180513734</v>
      </c>
      <c r="F30" s="2" t="n">
        <v>-44730.5262704815</v>
      </c>
      <c r="G30" s="2" t="n">
        <v>-49572.61685457209</v>
      </c>
      <c r="H30" s="2" t="n">
        <v>-60212.30632691168</v>
      </c>
      <c r="I30" s="2" t="n">
        <v>-55241.72186655716</v>
      </c>
      <c r="J30" s="2" t="n">
        <v>-54160.38661847293</v>
      </c>
      <c r="K30" s="2" t="n">
        <v>-40048.69066164986</v>
      </c>
      <c r="L30" s="2" t="n">
        <v>-18763.95318656039</v>
      </c>
      <c r="M30" s="2" t="n">
        <v>-78603.25788365517</v>
      </c>
      <c r="N30" s="2" t="n">
        <v>-37754.0918378604</v>
      </c>
      <c r="O30" s="2" t="n">
        <v>-36343.4432250582</v>
      </c>
      <c r="P30" t="inlineStr">
        <is>
          <t>MINUS</t>
        </is>
      </c>
      <c r="AA30" t="n">
        <v>1128</v>
      </c>
      <c r="AB30" s="2" t="n">
        <v>4808.194444444443</v>
      </c>
      <c r="AC30" s="2" t="n">
        <v>5316.657407407407</v>
      </c>
      <c r="AD30" s="2" t="n">
        <v>5451.675925925925</v>
      </c>
      <c r="AE30" s="2" t="n">
        <v>6394.509259259259</v>
      </c>
      <c r="AF30" s="2" t="n">
        <v>5501.953703703703</v>
      </c>
      <c r="AG30" s="2" t="n">
        <v>6731.018518518518</v>
      </c>
      <c r="AH30" s="2" t="n">
        <v>8012.453703703703</v>
      </c>
      <c r="AI30" s="2" t="n">
        <v>9042.064814814814</v>
      </c>
      <c r="AJ30" s="2" t="n">
        <v>6151.74074074074</v>
      </c>
      <c r="AK30" s="2" t="n">
        <v>6190.231481481481</v>
      </c>
      <c r="AL30" s="2" t="n">
        <v>5272.277777777777</v>
      </c>
      <c r="AM30" s="2" t="n">
        <v>5740.814814814814</v>
      </c>
      <c r="AN30" s="2" t="n">
        <v>5305.777777777777</v>
      </c>
      <c r="AO30" s="2" t="n">
        <v>5189.555555555555</v>
      </c>
      <c r="AR30" t="n">
        <v>1128</v>
      </c>
      <c r="AS30" t="n">
        <v>200</v>
      </c>
      <c r="AT30" t="n">
        <v>206</v>
      </c>
      <c r="AU30" t="n">
        <v>224</v>
      </c>
      <c r="AV30" t="n">
        <v>222</v>
      </c>
      <c r="AW30" t="n">
        <v>232</v>
      </c>
      <c r="AX30" t="n">
        <v>240</v>
      </c>
      <c r="AY30" t="n">
        <v>306</v>
      </c>
      <c r="AZ30" t="n">
        <v>318</v>
      </c>
      <c r="BA30" t="n">
        <v>232</v>
      </c>
      <c r="BB30" t="n">
        <v>229</v>
      </c>
      <c r="BC30" t="n">
        <v>231</v>
      </c>
      <c r="BD30" t="n">
        <v>239</v>
      </c>
      <c r="BE30" t="n">
        <v>227</v>
      </c>
      <c r="BF30" t="n">
        <v>227</v>
      </c>
    </row>
    <row r="31">
      <c r="A31" t="n">
        <v>1130</v>
      </c>
      <c r="B31" s="2" t="n">
        <v>0</v>
      </c>
      <c r="C31" s="2" t="n">
        <v>0</v>
      </c>
      <c r="D31" s="2" t="n">
        <v>0</v>
      </c>
      <c r="E31" s="2" t="n">
        <v>-18923.50066748451</v>
      </c>
      <c r="F31" s="2" t="n">
        <v>-44813.70192866666</v>
      </c>
      <c r="G31" s="2" t="n">
        <v>-49509.9037539795</v>
      </c>
      <c r="H31" s="2" t="n">
        <v>-60489.20942635612</v>
      </c>
      <c r="I31" s="2" t="n">
        <v>-55237.01191170531</v>
      </c>
      <c r="J31" s="2" t="n">
        <v>-54388.76938328776</v>
      </c>
      <c r="K31" s="2" t="n">
        <v>-40285.10614642764</v>
      </c>
      <c r="L31" s="2" t="n">
        <v>-18896.78770363446</v>
      </c>
      <c r="M31" s="2" t="n">
        <v>-78602.01703350701</v>
      </c>
      <c r="N31" s="2" t="n">
        <v>-37870.55812623077</v>
      </c>
      <c r="O31" s="2" t="n">
        <v>-36463.77180031745</v>
      </c>
      <c r="P31" t="inlineStr">
        <is>
          <t>MINUS</t>
        </is>
      </c>
      <c r="AA31" t="n">
        <v>1129</v>
      </c>
      <c r="AB31" s="2" t="n">
        <v>0</v>
      </c>
      <c r="AC31" s="2" t="n">
        <v>0</v>
      </c>
      <c r="AD31" s="2" t="n">
        <v>0</v>
      </c>
      <c r="AE31" s="2" t="n">
        <v>3974.453703703703</v>
      </c>
      <c r="AF31" s="2" t="n">
        <v>7668.925925925925</v>
      </c>
      <c r="AG31" s="2" t="n">
        <v>6195.888888888889</v>
      </c>
      <c r="AH31" s="2" t="n">
        <v>9813.111111111109</v>
      </c>
      <c r="AI31" s="2" t="n">
        <v>9413.027777777779</v>
      </c>
      <c r="AJ31" s="2" t="n">
        <v>8880.685185185184</v>
      </c>
      <c r="AK31" s="2" t="n">
        <v>9553.953703703703</v>
      </c>
      <c r="AL31" s="2" t="n">
        <v>8620.638888888889</v>
      </c>
      <c r="AM31" s="2" t="n">
        <v>9666.657407407405</v>
      </c>
      <c r="AN31" s="2" t="n">
        <v>8142.999999999999</v>
      </c>
      <c r="AO31" s="2" t="n">
        <v>8451.194444444445</v>
      </c>
      <c r="AR31" t="n">
        <v>1129</v>
      </c>
      <c r="AS31" t="n">
        <v>0</v>
      </c>
      <c r="AT31" t="n">
        <v>0</v>
      </c>
      <c r="AU31" t="n">
        <v>0</v>
      </c>
      <c r="AV31" t="n">
        <v>247</v>
      </c>
      <c r="AW31" t="n">
        <v>455</v>
      </c>
      <c r="AX31" t="n">
        <v>377</v>
      </c>
      <c r="AY31" t="n">
        <v>575</v>
      </c>
      <c r="AZ31" t="n">
        <v>559</v>
      </c>
      <c r="BA31" t="n">
        <v>538</v>
      </c>
      <c r="BB31" t="n">
        <v>581</v>
      </c>
      <c r="BC31" t="n">
        <v>542</v>
      </c>
      <c r="BD31" t="n">
        <v>576</v>
      </c>
      <c r="BE31" t="n">
        <v>522</v>
      </c>
      <c r="BF31" t="n">
        <v>544</v>
      </c>
    </row>
    <row r="32">
      <c r="A32" t="n">
        <v>1131</v>
      </c>
      <c r="B32" s="2" t="n">
        <v>0</v>
      </c>
      <c r="C32" s="2" t="n">
        <v>0</v>
      </c>
      <c r="D32" s="2" t="n">
        <v>0</v>
      </c>
      <c r="E32" s="2" t="n">
        <v>-38986.74449496599</v>
      </c>
      <c r="F32" s="2" t="n">
        <v>-44665.35422314815</v>
      </c>
      <c r="G32" s="2" t="n">
        <v>-49338.24427886838</v>
      </c>
      <c r="H32" s="2" t="n">
        <v>-60145.91504428205</v>
      </c>
      <c r="I32" s="2" t="n">
        <v>-55164.38221892754</v>
      </c>
      <c r="J32" s="2" t="n">
        <v>-54167.80050336182</v>
      </c>
      <c r="K32" s="2" t="n">
        <v>-40160.95384590912</v>
      </c>
      <c r="L32" s="2" t="n">
        <v>-18662.18931078261</v>
      </c>
      <c r="M32" s="2" t="n">
        <v>-78670.20622180332</v>
      </c>
      <c r="N32" s="2" t="n">
        <v>-37734.31563974929</v>
      </c>
      <c r="O32" s="2" t="n">
        <v>-36333.88747539153</v>
      </c>
      <c r="P32" t="inlineStr">
        <is>
          <t>MINUS</t>
        </is>
      </c>
      <c r="AA32" t="n">
        <v>1130</v>
      </c>
      <c r="AB32" s="2" t="n">
        <v>0</v>
      </c>
      <c r="AC32" s="2" t="n">
        <v>0</v>
      </c>
      <c r="AD32" s="2" t="n">
        <v>0</v>
      </c>
      <c r="AE32" s="2" t="n">
        <v>2564.314814814815</v>
      </c>
      <c r="AF32" s="2" t="n">
        <v>5737.055555555555</v>
      </c>
      <c r="AG32" s="2" t="n">
        <v>5979.518518518518</v>
      </c>
      <c r="AH32" s="2" t="n">
        <v>5314.546296296296</v>
      </c>
      <c r="AI32" s="2" t="n">
        <v>8394.157407407407</v>
      </c>
      <c r="AJ32" s="2" t="n">
        <v>5115.87037037037</v>
      </c>
      <c r="AK32" s="2" t="n">
        <v>5486.101851851852</v>
      </c>
      <c r="AL32" s="2" t="n">
        <v>5989.416666666666</v>
      </c>
      <c r="AM32" s="2" t="n">
        <v>8565.111111111109</v>
      </c>
      <c r="AN32" s="2" t="n">
        <v>5665.018518518518</v>
      </c>
      <c r="AO32" s="2" t="n">
        <v>6432.314814814814</v>
      </c>
      <c r="AR32" t="n">
        <v>1130</v>
      </c>
      <c r="AS32" t="n">
        <v>0</v>
      </c>
      <c r="AT32" t="n">
        <v>0</v>
      </c>
      <c r="AU32" t="n">
        <v>0</v>
      </c>
      <c r="AV32" t="n">
        <v>132</v>
      </c>
      <c r="AW32" t="n">
        <v>254</v>
      </c>
      <c r="AX32" t="n">
        <v>256</v>
      </c>
      <c r="AY32" t="n">
        <v>226</v>
      </c>
      <c r="AZ32" t="n">
        <v>336</v>
      </c>
      <c r="BA32" t="n">
        <v>258</v>
      </c>
      <c r="BB32" t="n">
        <v>285</v>
      </c>
      <c r="BC32" t="n">
        <v>323</v>
      </c>
      <c r="BD32" t="n">
        <v>376</v>
      </c>
      <c r="BE32" t="n">
        <v>289</v>
      </c>
      <c r="BF32" t="n">
        <v>318</v>
      </c>
    </row>
    <row r="33">
      <c r="A33" t="n">
        <v>1132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-38889.02960999283</v>
      </c>
      <c r="G33" s="2" t="n">
        <v>-49462.02338160912</v>
      </c>
      <c r="H33" s="2" t="n">
        <v>-60279.60536498575</v>
      </c>
      <c r="I33" s="2" t="n">
        <v>-55278.81368474234</v>
      </c>
      <c r="J33" s="2" t="n">
        <v>-54235.7933488433</v>
      </c>
      <c r="K33" s="2" t="n">
        <v>-40098.93622731653</v>
      </c>
      <c r="L33" s="2" t="n">
        <v>-18755.49399715298</v>
      </c>
      <c r="M33" s="2" t="n">
        <v>-78789.76029576629</v>
      </c>
      <c r="N33" s="2" t="n">
        <v>-37795.9774578604</v>
      </c>
      <c r="O33" s="2" t="n">
        <v>-36600.73783798412</v>
      </c>
      <c r="P33" t="inlineStr">
        <is>
          <t>MINUS</t>
        </is>
      </c>
      <c r="AA33" t="n">
        <v>1131</v>
      </c>
      <c r="AB33" s="2" t="n">
        <v>0</v>
      </c>
      <c r="AC33" s="2" t="n">
        <v>0</v>
      </c>
      <c r="AD33" s="2" t="n">
        <v>0</v>
      </c>
      <c r="AE33" s="2" t="n">
        <v>148.0277777777778</v>
      </c>
      <c r="AF33" s="2" t="n">
        <v>7753.703703703703</v>
      </c>
      <c r="AG33" s="2" t="n">
        <v>8381.888888888887</v>
      </c>
      <c r="AH33" s="2" t="n">
        <v>9667.157407407407</v>
      </c>
      <c r="AI33" s="2" t="n">
        <v>9507.675925925925</v>
      </c>
      <c r="AJ33" s="2" t="n">
        <v>8074.814814814815</v>
      </c>
      <c r="AK33" s="2" t="n">
        <v>7225.25</v>
      </c>
      <c r="AL33" s="2" t="n">
        <v>9038.85185185185</v>
      </c>
      <c r="AM33" s="2" t="n">
        <v>7987.398148148148</v>
      </c>
      <c r="AN33" s="2" t="n">
        <v>7614.74074074074</v>
      </c>
      <c r="AO33" s="2" t="n">
        <v>7710.75</v>
      </c>
      <c r="AR33" t="n">
        <v>1131</v>
      </c>
      <c r="AS33" t="n">
        <v>0</v>
      </c>
      <c r="AT33" t="n">
        <v>0</v>
      </c>
      <c r="AU33" t="n">
        <v>0</v>
      </c>
      <c r="AV33" t="n">
        <v>12</v>
      </c>
      <c r="AW33" t="n">
        <v>455</v>
      </c>
      <c r="AX33" t="n">
        <v>515</v>
      </c>
      <c r="AY33" t="n">
        <v>519</v>
      </c>
      <c r="AZ33" t="n">
        <v>551</v>
      </c>
      <c r="BA33" t="n">
        <v>489</v>
      </c>
      <c r="BB33" t="n">
        <v>467</v>
      </c>
      <c r="BC33" t="n">
        <v>604</v>
      </c>
      <c r="BD33" t="n">
        <v>561</v>
      </c>
      <c r="BE33" t="n">
        <v>538</v>
      </c>
      <c r="BF33" t="n">
        <v>492</v>
      </c>
    </row>
    <row r="34">
      <c r="A34" t="n">
        <v>1133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-60006.04744065242</v>
      </c>
      <c r="I34" s="2" t="n">
        <v>-54884.39971726087</v>
      </c>
      <c r="J34" s="2" t="n">
        <v>-53723.93657265812</v>
      </c>
      <c r="K34" s="2" t="n">
        <v>-39644.86028224246</v>
      </c>
      <c r="L34" s="2" t="n">
        <v>-18314.8167990789</v>
      </c>
      <c r="M34" s="2" t="n">
        <v>-78163.0966443959</v>
      </c>
      <c r="N34" s="2" t="n">
        <v>-37173.19411852706</v>
      </c>
      <c r="O34" s="2" t="n">
        <v>-36489.50599457671</v>
      </c>
      <c r="P34" t="inlineStr">
        <is>
          <t>MINUS</t>
        </is>
      </c>
      <c r="AA34" t="n">
        <v>1132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484.8333333333333</v>
      </c>
      <c r="AG34" s="2" t="n">
        <v>3558.064814814815</v>
      </c>
      <c r="AH34" s="2" t="n">
        <v>4818.148148148148</v>
      </c>
      <c r="AI34" s="2" t="n">
        <v>4672.453703703703</v>
      </c>
      <c r="AJ34" s="2" t="n">
        <v>3979.157407407407</v>
      </c>
      <c r="AK34" s="2" t="n">
        <v>4613.018518518518</v>
      </c>
      <c r="AL34" s="2" t="n">
        <v>4574.138888888889</v>
      </c>
      <c r="AM34" s="2" t="n">
        <v>3224.259259259259</v>
      </c>
      <c r="AN34" s="2" t="n">
        <v>3502.212962962963</v>
      </c>
      <c r="AO34" s="2" t="n">
        <v>4254.222222222222</v>
      </c>
      <c r="AR34" t="n">
        <v>1132</v>
      </c>
      <c r="AS34" t="n">
        <v>0</v>
      </c>
      <c r="AT34" t="n">
        <v>0</v>
      </c>
      <c r="AU34" t="n">
        <v>0</v>
      </c>
      <c r="AV34" t="n">
        <v>0</v>
      </c>
      <c r="AW34" t="n">
        <v>22</v>
      </c>
      <c r="AX34" t="n">
        <v>164</v>
      </c>
      <c r="AY34" t="n">
        <v>192</v>
      </c>
      <c r="AZ34" t="n">
        <v>225</v>
      </c>
      <c r="BA34" t="n">
        <v>194</v>
      </c>
      <c r="BB34" t="n">
        <v>228</v>
      </c>
      <c r="BC34" t="n">
        <v>234</v>
      </c>
      <c r="BD34" t="n">
        <v>177</v>
      </c>
      <c r="BE34" t="n">
        <v>189</v>
      </c>
      <c r="BF34" t="n">
        <v>214</v>
      </c>
    </row>
    <row r="35">
      <c r="A35" t="n">
        <v>1134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-60374.04420917094</v>
      </c>
      <c r="I35" s="2" t="n">
        <v>-55096.23822503864</v>
      </c>
      <c r="J35" s="2" t="n">
        <v>-54072.85582910256</v>
      </c>
      <c r="K35" s="2" t="n">
        <v>-40006.33296005728</v>
      </c>
      <c r="L35" s="2" t="n">
        <v>-18861.80461181965</v>
      </c>
      <c r="M35" s="2" t="n">
        <v>-78639.89953202553</v>
      </c>
      <c r="N35" s="2" t="n">
        <v>-37632.76190086039</v>
      </c>
      <c r="O35" s="2" t="n">
        <v>-36480.67281353968</v>
      </c>
      <c r="P35" t="inlineStr">
        <is>
          <t>MINUS</t>
        </is>
      </c>
      <c r="AA35" t="n">
        <v>1133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2331.009259259259</v>
      </c>
      <c r="AI35" s="2" t="n">
        <v>3825.638888888889</v>
      </c>
      <c r="AJ35" s="2" t="n">
        <v>4589.472222222222</v>
      </c>
      <c r="AK35" s="2" t="n">
        <v>4686.249999999999</v>
      </c>
      <c r="AL35" s="2" t="n">
        <v>4346.555555555555</v>
      </c>
      <c r="AM35" s="2" t="n">
        <v>5328.648148148148</v>
      </c>
      <c r="AN35" s="2" t="n">
        <v>5609.37962962963</v>
      </c>
      <c r="AO35" s="2" t="n">
        <v>6581.25</v>
      </c>
      <c r="AR35" t="n">
        <v>1133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207</v>
      </c>
      <c r="AZ35" t="n">
        <v>301</v>
      </c>
      <c r="BA35" t="n">
        <v>390</v>
      </c>
      <c r="BB35" t="n">
        <v>405</v>
      </c>
      <c r="BC35" t="n">
        <v>388</v>
      </c>
      <c r="BD35" t="n">
        <v>541</v>
      </c>
      <c r="BE35" t="n">
        <v>573</v>
      </c>
      <c r="BF35" t="n">
        <v>667</v>
      </c>
    </row>
    <row r="36">
      <c r="A36" t="n">
        <v>1135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-36425.69454105357</v>
      </c>
      <c r="H36" s="2" t="n">
        <v>-58922.33487750427</v>
      </c>
      <c r="I36" s="2" t="n">
        <v>-53533.63807652012</v>
      </c>
      <c r="J36" s="2" t="n">
        <v>-52825.78347621368</v>
      </c>
      <c r="K36" s="2" t="n">
        <v>-38742.88005976097</v>
      </c>
      <c r="L36" s="2" t="n">
        <v>-17581.31939633817</v>
      </c>
      <c r="M36" s="2" t="n">
        <v>-77524.2042342848</v>
      </c>
      <c r="N36" s="2" t="n">
        <v>-36620.9261148604</v>
      </c>
      <c r="O36" s="2" t="n">
        <v>-36116.46945246561</v>
      </c>
      <c r="P36" t="inlineStr">
        <is>
          <t>MINUS</t>
        </is>
      </c>
      <c r="AA36" t="n">
        <v>1134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4371.055555555556</v>
      </c>
      <c r="AI36" s="2" t="n">
        <v>8451.37962962963</v>
      </c>
      <c r="AJ36" s="2" t="n">
        <v>7506.62037037037</v>
      </c>
      <c r="AK36" s="2" t="n">
        <v>7456.833333333332</v>
      </c>
      <c r="AL36" s="2" t="n">
        <v>4923.75</v>
      </c>
      <c r="AM36" s="2" t="n">
        <v>6722.333333333332</v>
      </c>
      <c r="AN36" s="2" t="n">
        <v>7217.75</v>
      </c>
      <c r="AO36" s="2" t="n">
        <v>6161.814814814815</v>
      </c>
      <c r="AR36" t="n">
        <v>1134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215</v>
      </c>
      <c r="AZ36" t="n">
        <v>375</v>
      </c>
      <c r="BA36" t="n">
        <v>352</v>
      </c>
      <c r="BB36" t="n">
        <v>372</v>
      </c>
      <c r="BC36" t="n">
        <v>312</v>
      </c>
      <c r="BD36" t="n">
        <v>356</v>
      </c>
      <c r="BE36" t="n">
        <v>368</v>
      </c>
      <c r="BF36" t="n">
        <v>336</v>
      </c>
    </row>
    <row r="37">
      <c r="A37" t="n">
        <v>1136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-54060.02770776923</v>
      </c>
      <c r="K37" s="2" t="n">
        <v>-18225.33859979801</v>
      </c>
      <c r="L37" s="2" t="n">
        <v>-17850.62392241224</v>
      </c>
      <c r="M37" s="2" t="n">
        <v>-77725.45766261814</v>
      </c>
      <c r="N37" s="2" t="n">
        <v>-36874.85358511966</v>
      </c>
      <c r="O37" s="2" t="n">
        <v>-36248.28416420635</v>
      </c>
      <c r="P37" t="inlineStr">
        <is>
          <t>MINUS</t>
        </is>
      </c>
      <c r="AA37" t="n">
        <v>1135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1623.018518518518</v>
      </c>
      <c r="AH37" s="2" t="n">
        <v>14803.55555555555</v>
      </c>
      <c r="AI37" s="2" t="n">
        <v>18944.38888888889</v>
      </c>
      <c r="AJ37" s="2" t="n">
        <v>14244.63888888889</v>
      </c>
      <c r="AK37" s="2" t="n">
        <v>14386.37962962963</v>
      </c>
      <c r="AL37" s="2" t="n">
        <v>12319.4537037037</v>
      </c>
      <c r="AM37" s="2" t="n">
        <v>12124.44444444444</v>
      </c>
      <c r="AN37" s="2" t="n">
        <v>11017</v>
      </c>
      <c r="AO37" s="2" t="n">
        <v>9739.342592592591</v>
      </c>
      <c r="AR37" t="n">
        <v>1135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147</v>
      </c>
      <c r="AY37" t="n">
        <v>988</v>
      </c>
      <c r="AZ37" t="n">
        <v>1054</v>
      </c>
      <c r="BA37" t="n">
        <v>806</v>
      </c>
      <c r="BB37" t="n">
        <v>946</v>
      </c>
      <c r="BC37" t="n">
        <v>828</v>
      </c>
      <c r="BD37" t="n">
        <v>810</v>
      </c>
      <c r="BE37" t="n">
        <v>748</v>
      </c>
      <c r="BF37" t="n">
        <v>640</v>
      </c>
    </row>
    <row r="38">
      <c r="A38" t="n">
        <v>1137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-9037.290626909118</v>
      </c>
      <c r="L38" s="2" t="n">
        <v>-18901.47389556039</v>
      </c>
      <c r="M38" s="2" t="n">
        <v>-78835.09998880333</v>
      </c>
      <c r="N38" s="2" t="n">
        <v>-37875.53700760114</v>
      </c>
      <c r="O38" s="2" t="n">
        <v>-36973.49222698412</v>
      </c>
      <c r="P38" t="inlineStr">
        <is>
          <t>MINUS</t>
        </is>
      </c>
      <c r="AA38" t="n">
        <v>1136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0.1574074074074074</v>
      </c>
      <c r="AK38" s="2" t="n">
        <v>3613.916666666666</v>
      </c>
      <c r="AL38" s="2" t="n">
        <v>8244.62962962963</v>
      </c>
      <c r="AM38" s="2" t="n">
        <v>10119.5</v>
      </c>
      <c r="AN38" s="2" t="n">
        <v>10516.48148148148</v>
      </c>
      <c r="AO38" s="2" t="n">
        <v>10183.50925925926</v>
      </c>
      <c r="AR38" t="n">
        <v>1136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371</v>
      </c>
      <c r="BC38" t="n">
        <v>695</v>
      </c>
      <c r="BD38" t="n">
        <v>772</v>
      </c>
      <c r="BE38" t="n">
        <v>820</v>
      </c>
      <c r="BF38" t="n">
        <v>785</v>
      </c>
    </row>
    <row r="39">
      <c r="A39" t="n">
        <v>1138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-10616.73802976097</v>
      </c>
      <c r="L39" s="2" t="n">
        <v>-16871.40147570854</v>
      </c>
      <c r="M39" s="2" t="n">
        <v>-76582.98043221072</v>
      </c>
      <c r="N39" s="2" t="n">
        <v>-35495.61716067521</v>
      </c>
      <c r="O39" s="2" t="n">
        <v>-35343.2082567619</v>
      </c>
      <c r="P39" t="inlineStr">
        <is>
          <t>MINUS</t>
        </is>
      </c>
      <c r="AA39" t="n">
        <v>1137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191</v>
      </c>
      <c r="AL39" s="2" t="n">
        <v>377.9444444444444</v>
      </c>
      <c r="AM39" s="2" t="n">
        <v>198.8055555555555</v>
      </c>
      <c r="AN39" s="2" t="n">
        <v>204.4259259259259</v>
      </c>
      <c r="AO39" s="2" t="n">
        <v>83.33333333333333</v>
      </c>
      <c r="AR39" t="n">
        <v>1137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18</v>
      </c>
      <c r="BC39" t="n">
        <v>15</v>
      </c>
      <c r="BD39" t="n">
        <v>6</v>
      </c>
      <c r="BE39" t="n">
        <v>7</v>
      </c>
      <c r="BF39" t="n">
        <v>7</v>
      </c>
    </row>
    <row r="40">
      <c r="A40" t="n">
        <v>1203</v>
      </c>
      <c r="B40" s="2" t="n">
        <v>-30204.14641411754</v>
      </c>
      <c r="C40" s="2" t="n">
        <v>-27725.91210821212</v>
      </c>
      <c r="D40" s="2" t="n">
        <v>-33830.94662373493</v>
      </c>
      <c r="E40" s="2" t="n">
        <v>-35656.8048842623</v>
      </c>
      <c r="F40" s="2" t="n">
        <v>-38832.12869544444</v>
      </c>
      <c r="G40" s="2" t="n">
        <v>-15161.30981605357</v>
      </c>
      <c r="H40" s="2" t="n">
        <v>-54341.66881105983</v>
      </c>
      <c r="I40" s="2" t="n">
        <v>-48861.17724700161</v>
      </c>
      <c r="J40" s="2" t="n">
        <v>-49156.2992014359</v>
      </c>
      <c r="K40" s="2" t="n">
        <v>-35529.35524290912</v>
      </c>
      <c r="L40" s="2" t="n">
        <v>-14677.29979270853</v>
      </c>
      <c r="M40" s="2" t="n">
        <v>-74147.66417306257</v>
      </c>
      <c r="N40" s="2" t="n">
        <v>-33615.06117578632</v>
      </c>
      <c r="O40" s="2" t="n">
        <v>-33086.04168009524</v>
      </c>
      <c r="P40" t="inlineStr">
        <is>
          <t>MINUS</t>
        </is>
      </c>
      <c r="AA40" t="n">
        <v>1138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7505.083333333332</v>
      </c>
      <c r="AL40" s="2" t="n">
        <v>20540.41666666666</v>
      </c>
      <c r="AM40" s="2" t="n">
        <v>23079.64814814815</v>
      </c>
      <c r="AN40" s="2" t="n">
        <v>23793.39814814815</v>
      </c>
      <c r="AO40" s="2" t="n">
        <v>18500.62037037037</v>
      </c>
      <c r="AR40" t="n">
        <v>1138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670</v>
      </c>
      <c r="BC40" t="n">
        <v>1670</v>
      </c>
      <c r="BD40" t="n">
        <v>1702</v>
      </c>
      <c r="BE40" t="n">
        <v>1793</v>
      </c>
      <c r="BF40" t="n">
        <v>1405</v>
      </c>
    </row>
    <row r="41">
      <c r="A41" t="n">
        <v>1204</v>
      </c>
      <c r="B41" s="2" t="n">
        <v>-32613.95032774717</v>
      </c>
      <c r="C41" s="2" t="n">
        <v>-29873.39646295286</v>
      </c>
      <c r="D41" s="2" t="n">
        <v>-36765.34096166085</v>
      </c>
      <c r="E41" s="2" t="n">
        <v>-38511.5337352623</v>
      </c>
      <c r="F41" s="2" t="n">
        <v>-41881.6395005926</v>
      </c>
      <c r="G41" s="2" t="n">
        <v>-18167.57564890542</v>
      </c>
      <c r="H41" s="2" t="n">
        <v>-57674.64625750428</v>
      </c>
      <c r="I41" s="2" t="n">
        <v>-52511.31674248309</v>
      </c>
      <c r="J41" s="2" t="n">
        <v>-52051.38417695442</v>
      </c>
      <c r="K41" s="2" t="n">
        <v>-37870.14639287208</v>
      </c>
      <c r="L41" s="2" t="n">
        <v>-16549.20831930113</v>
      </c>
      <c r="M41" s="2" t="n">
        <v>-76180.15287265516</v>
      </c>
      <c r="N41" s="2" t="n">
        <v>-34944.24366171224</v>
      </c>
      <c r="O41" s="2" t="n">
        <v>-34343.18917598412</v>
      </c>
      <c r="P41" t="inlineStr">
        <is>
          <t>MINUS</t>
        </is>
      </c>
      <c r="AA41" t="n">
        <v>1203</v>
      </c>
      <c r="AB41" s="2" t="n">
        <v>56293.88888888888</v>
      </c>
      <c r="AC41" s="2" t="n">
        <v>53443.73148148147</v>
      </c>
      <c r="AD41" s="2" t="n">
        <v>65086.21296296295</v>
      </c>
      <c r="AE41" s="2" t="n">
        <v>65052.25925925926</v>
      </c>
      <c r="AF41" s="2" t="n">
        <v>66413.23148148147</v>
      </c>
      <c r="AG41" s="2" t="n">
        <v>65684.5</v>
      </c>
      <c r="AH41" s="2" t="n">
        <v>73650.84259259258</v>
      </c>
      <c r="AI41" s="2" t="n">
        <v>86545.28703703702</v>
      </c>
      <c r="AJ41" s="2" t="n">
        <v>57373.71296296296</v>
      </c>
      <c r="AK41" s="2" t="n">
        <v>53461.02777777777</v>
      </c>
      <c r="AL41" s="2" t="n">
        <v>45838.19444444444</v>
      </c>
      <c r="AM41" s="2" t="n">
        <v>55197.26851851852</v>
      </c>
      <c r="AN41" s="2" t="n">
        <v>48824.62962962963</v>
      </c>
      <c r="AO41" s="2" t="n">
        <v>47659</v>
      </c>
      <c r="AR41" t="n">
        <v>1203</v>
      </c>
      <c r="AS41" t="n">
        <v>3194</v>
      </c>
      <c r="AT41" t="n">
        <v>2961</v>
      </c>
      <c r="AU41" t="n">
        <v>3599</v>
      </c>
      <c r="AV41" t="n">
        <v>3527</v>
      </c>
      <c r="AW41" t="n">
        <v>3233</v>
      </c>
      <c r="AX41" t="n">
        <v>3378</v>
      </c>
      <c r="AY41" t="n">
        <v>3647</v>
      </c>
      <c r="AZ41" t="n">
        <v>4351</v>
      </c>
      <c r="BA41" t="n">
        <v>2971</v>
      </c>
      <c r="BB41" t="n">
        <v>3076</v>
      </c>
      <c r="BC41" t="n">
        <v>2812</v>
      </c>
      <c r="BD41" t="n">
        <v>3000</v>
      </c>
      <c r="BE41" t="n">
        <v>2841</v>
      </c>
      <c r="BF41" t="n">
        <v>2813</v>
      </c>
    </row>
    <row r="42">
      <c r="A42" t="n">
        <v>1205</v>
      </c>
      <c r="B42" s="2" t="n">
        <v>-31625.62187237679</v>
      </c>
      <c r="C42" s="2" t="n">
        <v>-28525.99487073064</v>
      </c>
      <c r="D42" s="2" t="n">
        <v>-35638.10390899418</v>
      </c>
      <c r="E42" s="2" t="n">
        <v>-39659.799184966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-54941.95570776923</v>
      </c>
      <c r="K42" s="2" t="n">
        <v>-40867.27863498319</v>
      </c>
      <c r="L42" s="2" t="n">
        <v>0</v>
      </c>
      <c r="M42" s="2" t="n">
        <v>0</v>
      </c>
      <c r="N42" s="2" t="n">
        <v>-28441.76817692013</v>
      </c>
      <c r="O42" s="2" t="n">
        <v>-32438.1468584656</v>
      </c>
      <c r="P42" t="inlineStr">
        <is>
          <t>MINUS</t>
        </is>
      </c>
      <c r="AA42" t="n">
        <v>1204</v>
      </c>
      <c r="AB42" s="2" t="n">
        <v>37237.37037037037</v>
      </c>
      <c r="AC42" s="2" t="n">
        <v>35691.60185185185</v>
      </c>
      <c r="AD42" s="2" t="n">
        <v>39377.21296296296</v>
      </c>
      <c r="AE42" s="2" t="n">
        <v>38270.61111111111</v>
      </c>
      <c r="AF42" s="2" t="n">
        <v>45280.74074074074</v>
      </c>
      <c r="AG42" s="2" t="n">
        <v>41221.37037037036</v>
      </c>
      <c r="AH42" s="2" t="n">
        <v>43514.79629629629</v>
      </c>
      <c r="AI42" s="2" t="n">
        <v>45681.77777777777</v>
      </c>
      <c r="AJ42" s="2" t="n">
        <v>31284.12962962963</v>
      </c>
      <c r="AK42" s="2" t="n">
        <v>33340.49074074074</v>
      </c>
      <c r="AL42" s="2" t="n">
        <v>35203.25</v>
      </c>
      <c r="AM42" s="2" t="n">
        <v>41407.03703703704</v>
      </c>
      <c r="AN42" s="2" t="n">
        <v>29207.57407407407</v>
      </c>
      <c r="AO42" s="2" t="n">
        <v>27800.38888888889</v>
      </c>
      <c r="AR42" t="n">
        <v>1204</v>
      </c>
      <c r="AS42" t="n">
        <v>2330</v>
      </c>
      <c r="AT42" t="n">
        <v>2197</v>
      </c>
      <c r="AU42" t="n">
        <v>2346</v>
      </c>
      <c r="AV42" t="n">
        <v>2278</v>
      </c>
      <c r="AW42" t="n">
        <v>2614</v>
      </c>
      <c r="AX42" t="n">
        <v>2362</v>
      </c>
      <c r="AY42" t="n">
        <v>2495</v>
      </c>
      <c r="AZ42" t="n">
        <v>2554</v>
      </c>
      <c r="BA42" t="n">
        <v>1882</v>
      </c>
      <c r="BB42" t="n">
        <v>2071</v>
      </c>
      <c r="BC42" t="n">
        <v>2126</v>
      </c>
      <c r="BD42" t="n">
        <v>2380</v>
      </c>
      <c r="BE42" t="n">
        <v>1872</v>
      </c>
      <c r="BF42" t="n">
        <v>1731</v>
      </c>
    </row>
    <row r="43">
      <c r="A43" t="n">
        <v>1206</v>
      </c>
      <c r="B43" s="2" t="n">
        <v>-33348.37343426568</v>
      </c>
      <c r="C43" s="2" t="n">
        <v>-30633.20793532323</v>
      </c>
      <c r="D43" s="2" t="n">
        <v>-37565.05507403122</v>
      </c>
      <c r="E43" s="2" t="n">
        <v>-38301.34295222526</v>
      </c>
      <c r="F43" s="2" t="n">
        <v>-40744.45637000001</v>
      </c>
      <c r="G43" s="2" t="n">
        <v>-45536.30360186838</v>
      </c>
      <c r="H43" s="2" t="n">
        <v>-14680.05458628683</v>
      </c>
      <c r="I43" s="2" t="n">
        <v>-51294.17275107568</v>
      </c>
      <c r="J43" s="2" t="n">
        <v>-50639.6903490285</v>
      </c>
      <c r="K43" s="2" t="n">
        <v>-37026.8328710943</v>
      </c>
      <c r="L43" s="2" t="n">
        <v>-16226.33645078261</v>
      </c>
      <c r="M43" s="2" t="n">
        <v>-75579.86364565516</v>
      </c>
      <c r="N43" s="2" t="n">
        <v>-34377.92425697151</v>
      </c>
      <c r="O43" s="2" t="n">
        <v>-33858.16181268782</v>
      </c>
      <c r="P43" t="inlineStr">
        <is>
          <t>MINUS</t>
        </is>
      </c>
      <c r="AA43" t="n">
        <v>1205</v>
      </c>
      <c r="AB43" s="2" t="n">
        <v>61283.00925925926</v>
      </c>
      <c r="AC43" s="2" t="n">
        <v>69947.08333333334</v>
      </c>
      <c r="AD43" s="2" t="n">
        <v>71363.45370370371</v>
      </c>
      <c r="AE43" s="2" t="n">
        <v>32100.94444444445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0.1574074074074074</v>
      </c>
      <c r="AK43" s="2" t="n">
        <v>0.1574074074074074</v>
      </c>
      <c r="AL43" s="2" t="n">
        <v>0</v>
      </c>
      <c r="AM43" s="2" t="n">
        <v>0</v>
      </c>
      <c r="AN43" s="2" t="n">
        <v>31.82407407407408</v>
      </c>
      <c r="AO43" s="2" t="n">
        <v>2741.537037037036</v>
      </c>
      <c r="AR43" t="n">
        <v>1205</v>
      </c>
      <c r="AS43" t="n">
        <v>3831</v>
      </c>
      <c r="AT43" t="n">
        <v>4215</v>
      </c>
      <c r="AU43" t="n">
        <v>4252</v>
      </c>
      <c r="AV43" t="n">
        <v>1919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0</v>
      </c>
      <c r="BE43" t="n">
        <v>13</v>
      </c>
      <c r="BF43" t="n">
        <v>508</v>
      </c>
    </row>
    <row r="44">
      <c r="A44" t="n">
        <v>1207</v>
      </c>
      <c r="B44" s="2" t="n">
        <v>-33574.3497156731</v>
      </c>
      <c r="C44" s="2" t="n">
        <v>-30871.38382673063</v>
      </c>
      <c r="D44" s="2" t="n">
        <v>-37934.11065314233</v>
      </c>
      <c r="E44" s="2" t="n">
        <v>-38572.61619900304</v>
      </c>
      <c r="F44" s="2" t="n">
        <v>-41474.04767618519</v>
      </c>
      <c r="G44" s="2" t="n">
        <v>-46083.63807246098</v>
      </c>
      <c r="H44" s="2" t="n">
        <v>-15508.25785032387</v>
      </c>
      <c r="I44" s="2" t="n">
        <v>-51913.40777266827</v>
      </c>
      <c r="J44" s="2" t="n">
        <v>-51398.5124821396</v>
      </c>
      <c r="K44" s="2" t="n">
        <v>-37374.97569057579</v>
      </c>
      <c r="L44" s="2" t="n">
        <v>-16351.20477352335</v>
      </c>
      <c r="M44" s="2" t="n">
        <v>-77109.68558976628</v>
      </c>
      <c r="N44" s="2" t="n">
        <v>-34801.06029949003</v>
      </c>
      <c r="O44" s="2" t="n">
        <v>-34227.64401839153</v>
      </c>
      <c r="P44" t="inlineStr">
        <is>
          <t>MINUS</t>
        </is>
      </c>
      <c r="AA44" t="n">
        <v>1206</v>
      </c>
      <c r="AB44" s="2" t="n">
        <v>20234.68518518519</v>
      </c>
      <c r="AC44" s="2" t="n">
        <v>18890.4537037037</v>
      </c>
      <c r="AD44" s="2" t="n">
        <v>22340.2037037037</v>
      </c>
      <c r="AE44" s="2" t="n">
        <v>46673.2037037037</v>
      </c>
      <c r="AF44" s="2" t="n">
        <v>74231.30555555555</v>
      </c>
      <c r="AG44" s="2" t="n">
        <v>74738.95370370369</v>
      </c>
      <c r="AH44" s="2" t="n">
        <v>85957.59259259258</v>
      </c>
      <c r="AI44" s="2" t="n">
        <v>81585.27777777778</v>
      </c>
      <c r="AJ44" s="2" t="n">
        <v>65890.8148148148</v>
      </c>
      <c r="AK44" s="2" t="n">
        <v>61667.97222222222</v>
      </c>
      <c r="AL44" s="2" t="n">
        <v>46669.5925925926</v>
      </c>
      <c r="AM44" s="2" t="n">
        <v>65289.42592592593</v>
      </c>
      <c r="AN44" s="2" t="n">
        <v>48494.64814814815</v>
      </c>
      <c r="AO44" s="2" t="n">
        <v>45436.75925925926</v>
      </c>
      <c r="AR44" t="n">
        <v>1206</v>
      </c>
      <c r="AS44" t="n">
        <v>1209</v>
      </c>
      <c r="AT44" t="n">
        <v>1141</v>
      </c>
      <c r="AU44" t="n">
        <v>1294</v>
      </c>
      <c r="AV44" t="n">
        <v>2777</v>
      </c>
      <c r="AW44" t="n">
        <v>4428</v>
      </c>
      <c r="AX44" t="n">
        <v>4504</v>
      </c>
      <c r="AY44" t="n">
        <v>5074</v>
      </c>
      <c r="AZ44" t="n">
        <v>4771</v>
      </c>
      <c r="BA44" t="n">
        <v>4032</v>
      </c>
      <c r="BB44" t="n">
        <v>4020</v>
      </c>
      <c r="BC44" t="n">
        <v>3127</v>
      </c>
      <c r="BD44" t="n">
        <v>4179</v>
      </c>
      <c r="BE44" t="n">
        <v>3185</v>
      </c>
      <c r="BF44" t="n">
        <v>2957</v>
      </c>
    </row>
    <row r="45">
      <c r="A45" t="n">
        <v>1208</v>
      </c>
      <c r="B45" s="2" t="n">
        <v>-33479.99148448791</v>
      </c>
      <c r="C45" s="2" t="n">
        <v>-30813.91580295286</v>
      </c>
      <c r="D45" s="2" t="n">
        <v>-37776.64061173492</v>
      </c>
      <c r="E45" s="2" t="n">
        <v>-39135.81736833638</v>
      </c>
      <c r="F45" s="2" t="n">
        <v>-42274.5020502963</v>
      </c>
      <c r="G45" s="2" t="n">
        <v>-46935.44550383135</v>
      </c>
      <c r="H45" s="2" t="n">
        <v>-16501.95982706461</v>
      </c>
      <c r="I45" s="2" t="n">
        <v>-52962.6702115942</v>
      </c>
      <c r="J45" s="2" t="n">
        <v>-52032.50610669515</v>
      </c>
      <c r="K45" s="2" t="n">
        <v>-38125.72504864986</v>
      </c>
      <c r="L45" s="2" t="n">
        <v>-17074.70353719001</v>
      </c>
      <c r="M45" s="2" t="n">
        <v>-76952.5101740996</v>
      </c>
      <c r="N45" s="2" t="n">
        <v>-35436.51780971225</v>
      </c>
      <c r="O45" s="2" t="n">
        <v>-34772.37596642857</v>
      </c>
      <c r="P45" t="inlineStr">
        <is>
          <t>MINUS</t>
        </is>
      </c>
      <c r="AA45" t="n">
        <v>1207</v>
      </c>
      <c r="AB45" s="2" t="n">
        <v>12499.07407407407</v>
      </c>
      <c r="AC45" s="2" t="n">
        <v>12402.7962962963</v>
      </c>
      <c r="AD45" s="2" t="n">
        <v>12683.55555555555</v>
      </c>
      <c r="AE45" s="2" t="n">
        <v>36956.58333333333</v>
      </c>
      <c r="AF45" s="2" t="n">
        <v>57039.82407407407</v>
      </c>
      <c r="AG45" s="2" t="n">
        <v>62614.75925925926</v>
      </c>
      <c r="AH45" s="2" t="n">
        <v>64476.4537037037</v>
      </c>
      <c r="AI45" s="2" t="n">
        <v>65658.51851851851</v>
      </c>
      <c r="AJ45" s="2" t="n">
        <v>47785.75</v>
      </c>
      <c r="AK45" s="2" t="n">
        <v>51986.17592592593</v>
      </c>
      <c r="AL45" s="2" t="n">
        <v>46726.26851851851</v>
      </c>
      <c r="AM45" s="2" t="n">
        <v>24079.68518518518</v>
      </c>
      <c r="AN45" s="2" t="n">
        <v>37463.64814814815</v>
      </c>
      <c r="AO45" s="2" t="n">
        <v>32347.72222222223</v>
      </c>
      <c r="AR45" t="n">
        <v>1207</v>
      </c>
      <c r="AS45" t="n">
        <v>703</v>
      </c>
      <c r="AT45" t="n">
        <v>752</v>
      </c>
      <c r="AU45" t="n">
        <v>756</v>
      </c>
      <c r="AV45" t="n">
        <v>2085</v>
      </c>
      <c r="AW45" t="n">
        <v>3281</v>
      </c>
      <c r="AX45" t="n">
        <v>3676</v>
      </c>
      <c r="AY45" t="n">
        <v>3802</v>
      </c>
      <c r="AZ45" t="n">
        <v>3871</v>
      </c>
      <c r="BA45" t="n">
        <v>2884</v>
      </c>
      <c r="BB45" t="n">
        <v>3334</v>
      </c>
      <c r="BC45" t="n">
        <v>3015</v>
      </c>
      <c r="BD45" t="n">
        <v>1618</v>
      </c>
      <c r="BE45" t="n">
        <v>2336</v>
      </c>
      <c r="BF45" t="n">
        <v>1971</v>
      </c>
    </row>
    <row r="46">
      <c r="A46" t="n">
        <v>1209</v>
      </c>
      <c r="B46" s="2" t="n">
        <v>-32292.40383226569</v>
      </c>
      <c r="C46" s="2" t="n">
        <v>-29424.74807402693</v>
      </c>
      <c r="D46" s="2" t="n">
        <v>-36018.93920777196</v>
      </c>
      <c r="E46" s="2" t="n">
        <v>-39990.67603533637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t="inlineStr">
        <is>
          <t>MINUS</t>
        </is>
      </c>
      <c r="AA46" t="n">
        <v>1208</v>
      </c>
      <c r="AB46" s="2" t="n">
        <v>16313.58333333333</v>
      </c>
      <c r="AC46" s="2" t="n">
        <v>13297.81481481481</v>
      </c>
      <c r="AD46" s="2" t="n">
        <v>17212.7037037037</v>
      </c>
      <c r="AE46" s="2" t="n">
        <v>25616.00925925926</v>
      </c>
      <c r="AF46" s="2" t="n">
        <v>35808.77777777777</v>
      </c>
      <c r="AG46" s="2" t="n">
        <v>38325.36111111111</v>
      </c>
      <c r="AH46" s="2" t="n">
        <v>35206.19444444445</v>
      </c>
      <c r="AI46" s="2" t="n">
        <v>37740.73148148148</v>
      </c>
      <c r="AJ46" s="2" t="n">
        <v>30300.42592592592</v>
      </c>
      <c r="AK46" s="2" t="n">
        <v>29854.62962962963</v>
      </c>
      <c r="AL46" s="2" t="n">
        <v>26042.18518518518</v>
      </c>
      <c r="AM46" s="2" t="n">
        <v>27115.86111111111</v>
      </c>
      <c r="AN46" s="2" t="n">
        <v>18347.78703703704</v>
      </c>
      <c r="AO46" s="2" t="n">
        <v>17752.9537037037</v>
      </c>
      <c r="AR46" t="n">
        <v>1208</v>
      </c>
      <c r="AS46" t="n">
        <v>1023</v>
      </c>
      <c r="AT46" t="n">
        <v>790</v>
      </c>
      <c r="AU46" t="n">
        <v>1027</v>
      </c>
      <c r="AV46" t="n">
        <v>1503</v>
      </c>
      <c r="AW46" t="n">
        <v>2105</v>
      </c>
      <c r="AX46" t="n">
        <v>2196</v>
      </c>
      <c r="AY46" t="n">
        <v>1989</v>
      </c>
      <c r="AZ46" t="n">
        <v>2186</v>
      </c>
      <c r="BA46" t="n">
        <v>1775</v>
      </c>
      <c r="BB46" t="n">
        <v>1858</v>
      </c>
      <c r="BC46" t="n">
        <v>1632</v>
      </c>
      <c r="BD46" t="n">
        <v>1664</v>
      </c>
      <c r="BE46" t="n">
        <v>1162</v>
      </c>
      <c r="BF46" t="n">
        <v>1125</v>
      </c>
    </row>
    <row r="47">
      <c r="A47" t="n">
        <v>1210</v>
      </c>
      <c r="B47" s="2" t="n">
        <v>-31199.29394993235</v>
      </c>
      <c r="C47" s="2" t="n">
        <v>-28833.7421509899</v>
      </c>
      <c r="D47" s="2" t="n">
        <v>-35967.75207106826</v>
      </c>
      <c r="E47" s="2" t="n">
        <v>-36268.52626641044</v>
      </c>
      <c r="F47" s="2" t="n">
        <v>-39152.34040048148</v>
      </c>
      <c r="G47" s="2" t="n">
        <v>1434.389071464953</v>
      </c>
      <c r="H47" s="2" t="n">
        <v>-55417.12959631909</v>
      </c>
      <c r="I47" s="2" t="n">
        <v>-50262.6129200016</v>
      </c>
      <c r="J47" s="2" t="n">
        <v>-50212.23072399145</v>
      </c>
      <c r="K47" s="2" t="n">
        <v>-36363.64394313135</v>
      </c>
      <c r="L47" s="2" t="n">
        <v>-15670.66728911594</v>
      </c>
      <c r="M47" s="2" t="n">
        <v>-75427.00495646999</v>
      </c>
      <c r="N47" s="2" t="n">
        <v>-34930.72278978633</v>
      </c>
      <c r="O47" s="2" t="n">
        <v>-34563.99706698413</v>
      </c>
      <c r="P47" t="inlineStr">
        <is>
          <t>MINUS</t>
        </is>
      </c>
      <c r="AA47" t="n">
        <v>1209</v>
      </c>
      <c r="AB47" s="2" t="n">
        <v>48411.82407407407</v>
      </c>
      <c r="AC47" s="2" t="n">
        <v>49701.87962962962</v>
      </c>
      <c r="AD47" s="2" t="n">
        <v>59886.90740740741</v>
      </c>
      <c r="AE47" s="2" t="n">
        <v>24639.06481481481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R47" t="n">
        <v>1209</v>
      </c>
      <c r="AS47" t="n">
        <v>2936</v>
      </c>
      <c r="AT47" t="n">
        <v>2957</v>
      </c>
      <c r="AU47" t="n">
        <v>3526</v>
      </c>
      <c r="AV47" t="n">
        <v>1491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1211</v>
      </c>
      <c r="B48" s="2" t="n">
        <v>-33404.45011556198</v>
      </c>
      <c r="C48" s="2" t="n">
        <v>-30600.68800154545</v>
      </c>
      <c r="D48" s="2" t="n">
        <v>-37717.66370158678</v>
      </c>
      <c r="E48" s="2" t="n">
        <v>-39345.11923026229</v>
      </c>
      <c r="F48" s="2" t="n">
        <v>-43035.314863</v>
      </c>
      <c r="G48" s="2" t="n">
        <v>-47758.67422901652</v>
      </c>
      <c r="H48" s="2" t="n">
        <v>-58679.25700061538</v>
      </c>
      <c r="I48" s="2" t="n">
        <v>-53661.65820126086</v>
      </c>
      <c r="J48" s="2" t="n">
        <v>-52566.74325376924</v>
      </c>
      <c r="K48" s="2" t="n">
        <v>-38357.0930939832</v>
      </c>
      <c r="L48" s="2" t="n">
        <v>-17004.95735478261</v>
      </c>
      <c r="M48" s="2" t="n">
        <v>-76923.44933265517</v>
      </c>
      <c r="N48" s="2" t="n">
        <v>-35972.6052705641</v>
      </c>
      <c r="O48" s="2" t="n">
        <v>-34561.94281542857</v>
      </c>
      <c r="P48" t="inlineStr">
        <is>
          <t>MINUS</t>
        </is>
      </c>
      <c r="AA48" t="n">
        <v>1210</v>
      </c>
      <c r="AB48" s="2" t="n">
        <v>56427.78703703704</v>
      </c>
      <c r="AC48" s="2" t="n">
        <v>48304.87962962963</v>
      </c>
      <c r="AD48" s="2" t="n">
        <v>49045.20370370369</v>
      </c>
      <c r="AE48" s="2" t="n">
        <v>71704.97222222222</v>
      </c>
      <c r="AF48" s="2" t="n">
        <v>81853.84259259258</v>
      </c>
      <c r="AG48" s="2" t="n">
        <v>72678.48148148147</v>
      </c>
      <c r="AH48" s="2" t="n">
        <v>76004.93518518517</v>
      </c>
      <c r="AI48" s="2" t="n">
        <v>78520.1574074074</v>
      </c>
      <c r="AJ48" s="2" t="n">
        <v>59127.49999999999</v>
      </c>
      <c r="AK48" s="2" t="n">
        <v>55999.61111111111</v>
      </c>
      <c r="AL48" s="2" t="n">
        <v>49644.84259259258</v>
      </c>
      <c r="AM48" s="2" t="n">
        <v>50053.27777777778</v>
      </c>
      <c r="AN48" s="2" t="n">
        <v>44564.15740740741</v>
      </c>
      <c r="AO48" s="2" t="n">
        <v>39675.98148148147</v>
      </c>
      <c r="AR48" t="n">
        <v>1210</v>
      </c>
      <c r="AS48" t="n">
        <v>2825</v>
      </c>
      <c r="AT48" t="n">
        <v>2532</v>
      </c>
      <c r="AU48" t="n">
        <v>2557</v>
      </c>
      <c r="AV48" t="n">
        <v>3420</v>
      </c>
      <c r="AW48" t="n">
        <v>3668</v>
      </c>
      <c r="AX48" t="n">
        <v>3463</v>
      </c>
      <c r="AY48" t="n">
        <v>3382</v>
      </c>
      <c r="AZ48" t="n">
        <v>3443</v>
      </c>
      <c r="BA48" t="n">
        <v>2750</v>
      </c>
      <c r="BB48" t="n">
        <v>2896</v>
      </c>
      <c r="BC48" t="n">
        <v>2847</v>
      </c>
      <c r="BD48" t="n">
        <v>2477</v>
      </c>
      <c r="BE48" t="n">
        <v>2383</v>
      </c>
      <c r="BF48" t="n">
        <v>2174</v>
      </c>
    </row>
    <row r="49">
      <c r="A49" t="n">
        <v>1212</v>
      </c>
      <c r="B49" s="2" t="n">
        <v>-33894.73465704347</v>
      </c>
      <c r="C49" s="2" t="n">
        <v>-31135.76443317508</v>
      </c>
      <c r="D49" s="2" t="n">
        <v>-38163.6331375127</v>
      </c>
      <c r="E49" s="2" t="n">
        <v>-39812.90216322526</v>
      </c>
      <c r="F49" s="2" t="n">
        <v>-43488.52628577779</v>
      </c>
      <c r="G49" s="2" t="n">
        <v>-48178.13322312765</v>
      </c>
      <c r="H49" s="2" t="n">
        <v>-59123.80423876353</v>
      </c>
      <c r="I49" s="2" t="n">
        <v>-54011.42115811272</v>
      </c>
      <c r="J49" s="2" t="n">
        <v>-53032.68565450997</v>
      </c>
      <c r="K49" s="2" t="n">
        <v>-39057.45054757578</v>
      </c>
      <c r="L49" s="2" t="n">
        <v>-17727.35366126409</v>
      </c>
      <c r="M49" s="2" t="n">
        <v>-53769.38133430153</v>
      </c>
      <c r="N49" s="2" t="n">
        <v>-36660.57811671225</v>
      </c>
      <c r="O49" s="2" t="n">
        <v>-35233.58649379894</v>
      </c>
      <c r="P49" t="inlineStr">
        <is>
          <t>MINUS</t>
        </is>
      </c>
      <c r="AA49" t="n">
        <v>1211</v>
      </c>
      <c r="AB49" s="2" t="n">
        <v>22664.38888888888</v>
      </c>
      <c r="AC49" s="2" t="n">
        <v>21694.25</v>
      </c>
      <c r="AD49" s="2" t="n">
        <v>27999.32407407407</v>
      </c>
      <c r="AE49" s="2" t="n">
        <v>22553.39814814815</v>
      </c>
      <c r="AF49" s="2" t="n">
        <v>25586.12962962963</v>
      </c>
      <c r="AG49" s="2" t="n">
        <v>25581.40740740741</v>
      </c>
      <c r="AH49" s="2" t="n">
        <v>26464.42592592592</v>
      </c>
      <c r="AI49" s="2" t="n">
        <v>28827.9537037037</v>
      </c>
      <c r="AJ49" s="2" t="n">
        <v>23307.30555555555</v>
      </c>
      <c r="AK49" s="2" t="n">
        <v>24035.13888888888</v>
      </c>
      <c r="AL49" s="2" t="n">
        <v>21890.93518518518</v>
      </c>
      <c r="AM49" s="2" t="n">
        <v>23648.83333333333</v>
      </c>
      <c r="AN49" s="2" t="n">
        <v>15898.90740740741</v>
      </c>
      <c r="AO49" s="2" t="n">
        <v>15692.68518518518</v>
      </c>
      <c r="AR49" t="n">
        <v>1211</v>
      </c>
      <c r="AS49" t="n">
        <v>1465</v>
      </c>
      <c r="AT49" t="n">
        <v>1416</v>
      </c>
      <c r="AU49" t="n">
        <v>1777</v>
      </c>
      <c r="AV49" t="n">
        <v>1504</v>
      </c>
      <c r="AW49" t="n">
        <v>1683</v>
      </c>
      <c r="AX49" t="n">
        <v>1699</v>
      </c>
      <c r="AY49" t="n">
        <v>1707</v>
      </c>
      <c r="AZ49" t="n">
        <v>1876</v>
      </c>
      <c r="BA49" t="n">
        <v>1474</v>
      </c>
      <c r="BB49" t="n">
        <v>1567</v>
      </c>
      <c r="BC49" t="n">
        <v>1416</v>
      </c>
      <c r="BD49" t="n">
        <v>1445</v>
      </c>
      <c r="BE49" t="n">
        <v>1021</v>
      </c>
      <c r="BF49" t="n">
        <v>983</v>
      </c>
    </row>
    <row r="50">
      <c r="A50" t="n">
        <v>1213</v>
      </c>
      <c r="B50" s="2" t="n">
        <v>-33490.76545515457</v>
      </c>
      <c r="C50" s="2" t="n">
        <v>-29812.0276999899</v>
      </c>
      <c r="D50" s="2" t="n">
        <v>-36782.54763317937</v>
      </c>
      <c r="E50" s="2" t="n">
        <v>-37915.02856411414</v>
      </c>
      <c r="F50" s="2" t="n">
        <v>-41890.16274144444</v>
      </c>
      <c r="G50" s="2" t="n">
        <v>-47358.60446349801</v>
      </c>
      <c r="H50" s="2" t="n">
        <v>-58454.9537204302</v>
      </c>
      <c r="I50" s="2" t="n">
        <v>-53357.31632637198</v>
      </c>
      <c r="J50" s="2" t="n">
        <v>-52382.59090773219</v>
      </c>
      <c r="K50" s="2" t="n">
        <v>-32090.92372972393</v>
      </c>
      <c r="L50" s="2" t="n">
        <v>-17243.44135159742</v>
      </c>
      <c r="M50" s="2" t="n">
        <v>-77224.47649195147</v>
      </c>
      <c r="N50" s="2" t="n">
        <v>-36379.32154704558</v>
      </c>
      <c r="O50" s="2" t="n">
        <v>-34987.49239902116</v>
      </c>
      <c r="P50" t="inlineStr">
        <is>
          <t>MINUS</t>
        </is>
      </c>
      <c r="AA50" t="n">
        <v>1212</v>
      </c>
      <c r="AB50" s="2" t="n">
        <v>9154.472222222223</v>
      </c>
      <c r="AC50" s="2" t="n">
        <v>7068.416666666666</v>
      </c>
      <c r="AD50" s="2" t="n">
        <v>9041.749999999998</v>
      </c>
      <c r="AE50" s="2" t="n">
        <v>10346.51851851852</v>
      </c>
      <c r="AF50" s="2" t="n">
        <v>11362.9537037037</v>
      </c>
      <c r="AG50" s="2" t="n">
        <v>12694.25925925926</v>
      </c>
      <c r="AH50" s="2" t="n">
        <v>13221.72222222222</v>
      </c>
      <c r="AI50" s="2" t="n">
        <v>16472.08333333333</v>
      </c>
      <c r="AJ50" s="2" t="n">
        <v>10010.97222222222</v>
      </c>
      <c r="AK50" s="2" t="n">
        <v>9827.87962962963</v>
      </c>
      <c r="AL50" s="2" t="n">
        <v>9333.027777777777</v>
      </c>
      <c r="AM50" s="2" t="n">
        <v>8353.768518518518</v>
      </c>
      <c r="AN50" s="2" t="n">
        <v>7010.175925925926</v>
      </c>
      <c r="AO50" s="2" t="n">
        <v>6827.25</v>
      </c>
      <c r="AR50" t="n">
        <v>1212</v>
      </c>
      <c r="AS50" t="n">
        <v>455</v>
      </c>
      <c r="AT50" t="n">
        <v>393</v>
      </c>
      <c r="AU50" t="n">
        <v>458</v>
      </c>
      <c r="AV50" t="n">
        <v>500</v>
      </c>
      <c r="AW50" t="n">
        <v>557</v>
      </c>
      <c r="AX50" t="n">
        <v>619</v>
      </c>
      <c r="AY50" t="n">
        <v>665</v>
      </c>
      <c r="AZ50" t="n">
        <v>794</v>
      </c>
      <c r="BA50" t="n">
        <v>506</v>
      </c>
      <c r="BB50" t="n">
        <v>526</v>
      </c>
      <c r="BC50" t="n">
        <v>535</v>
      </c>
      <c r="BD50" t="n">
        <v>452</v>
      </c>
      <c r="BE50" t="n">
        <v>374</v>
      </c>
      <c r="BF50" t="n">
        <v>378</v>
      </c>
    </row>
    <row r="51">
      <c r="A51" t="n">
        <v>1214</v>
      </c>
      <c r="B51" s="2" t="n">
        <v>-32912.91049426569</v>
      </c>
      <c r="C51" s="2" t="n">
        <v>-32175.83365587879</v>
      </c>
      <c r="D51" s="2" t="n">
        <v>-38994.24773899419</v>
      </c>
      <c r="E51" s="2" t="n">
        <v>-40691.40452311414</v>
      </c>
      <c r="F51" s="2" t="n">
        <v>-44159.80088166666</v>
      </c>
      <c r="G51" s="2" t="n">
        <v>-49053.02548286838</v>
      </c>
      <c r="H51" s="2" t="n">
        <v>-60012.92685298575</v>
      </c>
      <c r="I51" s="2" t="n">
        <v>-54824.54922274235</v>
      </c>
      <c r="J51" s="2" t="n">
        <v>-54031.56790176923</v>
      </c>
      <c r="K51" s="2" t="n">
        <v>-40083.64142476097</v>
      </c>
      <c r="L51" s="2" t="n">
        <v>-18669.7937659678</v>
      </c>
      <c r="M51" s="2" t="n">
        <v>-78642.65811532183</v>
      </c>
      <c r="N51" s="2" t="n">
        <v>-37809.23875841595</v>
      </c>
      <c r="O51" s="2" t="n">
        <v>-36725.93241231745</v>
      </c>
      <c r="P51" t="inlineStr">
        <is>
          <t>MINUS</t>
        </is>
      </c>
      <c r="AA51" t="n">
        <v>1213</v>
      </c>
      <c r="AB51" s="2" t="n">
        <v>24549.50925925926</v>
      </c>
      <c r="AC51" s="2" t="n">
        <v>43659.09259259259</v>
      </c>
      <c r="AD51" s="2" t="n">
        <v>43901.53703703703</v>
      </c>
      <c r="AE51" s="2" t="n">
        <v>42525.03703703704</v>
      </c>
      <c r="AF51" s="2" t="n">
        <v>42887.33333333333</v>
      </c>
      <c r="AG51" s="2" t="n">
        <v>39060.92592592592</v>
      </c>
      <c r="AH51" s="2" t="n">
        <v>37325.83333333334</v>
      </c>
      <c r="AI51" s="2" t="n">
        <v>38670.80555555555</v>
      </c>
      <c r="AJ51" s="2" t="n">
        <v>29825.98148148148</v>
      </c>
      <c r="AK51" s="2" t="n">
        <v>31523.18518518518</v>
      </c>
      <c r="AL51" s="2" t="n">
        <v>27631.69444444444</v>
      </c>
      <c r="AM51" s="2" t="n">
        <v>26457.46296296296</v>
      </c>
      <c r="AN51" s="2" t="n">
        <v>23567.16666666666</v>
      </c>
      <c r="AO51" s="2" t="n">
        <v>21296.69444444445</v>
      </c>
      <c r="AR51" t="n">
        <v>1213</v>
      </c>
      <c r="AS51" t="n">
        <v>1495</v>
      </c>
      <c r="AT51" t="n">
        <v>2381</v>
      </c>
      <c r="AU51" t="n">
        <v>2290</v>
      </c>
      <c r="AV51" t="n">
        <v>1950</v>
      </c>
      <c r="AW51" t="n">
        <v>2271</v>
      </c>
      <c r="AX51" t="n">
        <v>2345</v>
      </c>
      <c r="AY51" t="n">
        <v>2104</v>
      </c>
      <c r="AZ51" t="n">
        <v>2308</v>
      </c>
      <c r="BA51" t="n">
        <v>1905</v>
      </c>
      <c r="BB51" t="n">
        <v>2060</v>
      </c>
      <c r="BC51" t="n">
        <v>1846</v>
      </c>
      <c r="BD51" t="n">
        <v>1649</v>
      </c>
      <c r="BE51" t="n">
        <v>1471</v>
      </c>
      <c r="BF51" t="n">
        <v>1335</v>
      </c>
    </row>
    <row r="52">
      <c r="A52" t="n">
        <v>1215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-74040.59844939591</v>
      </c>
      <c r="N52" s="2" t="n">
        <v>-33064.9418828604</v>
      </c>
      <c r="O52" s="2" t="n">
        <v>-32444.14910291005</v>
      </c>
      <c r="P52" t="inlineStr">
        <is>
          <t>MINUS</t>
        </is>
      </c>
      <c r="AA52" t="n">
        <v>1214</v>
      </c>
      <c r="AB52" s="2" t="n">
        <v>9200.12037037037</v>
      </c>
      <c r="AC52" s="2" t="n">
        <v>5474.083333333333</v>
      </c>
      <c r="AD52" s="2" t="n">
        <v>7919.240740740741</v>
      </c>
      <c r="AE52" s="2" t="n">
        <v>7261.685185185184</v>
      </c>
      <c r="AF52" s="2" t="n">
        <v>9772.916666666666</v>
      </c>
      <c r="AG52" s="2" t="n">
        <v>7866.185185185184</v>
      </c>
      <c r="AH52" s="2" t="n">
        <v>7478.787037037036</v>
      </c>
      <c r="AI52" s="2" t="n">
        <v>9360.398148148148</v>
      </c>
      <c r="AJ52" s="2" t="n">
        <v>5988.999999999999</v>
      </c>
      <c r="AK52" s="2" t="n">
        <v>4579.277777777777</v>
      </c>
      <c r="AL52" s="2" t="n">
        <v>5250.018518518518</v>
      </c>
      <c r="AM52" s="2" t="n">
        <v>4677.166666666666</v>
      </c>
      <c r="AN52" s="2" t="n">
        <v>3302.685185185185</v>
      </c>
      <c r="AO52" s="2" t="n">
        <v>2783.638888888889</v>
      </c>
      <c r="AR52" t="n">
        <v>1214</v>
      </c>
      <c r="AS52" t="n">
        <v>137</v>
      </c>
      <c r="AT52" t="n">
        <v>85</v>
      </c>
      <c r="AU52" t="n">
        <v>124</v>
      </c>
      <c r="AV52" t="n">
        <v>115</v>
      </c>
      <c r="AW52" t="n">
        <v>139</v>
      </c>
      <c r="AX52" t="n">
        <v>124</v>
      </c>
      <c r="AY52" t="n">
        <v>123</v>
      </c>
      <c r="AZ52" t="n">
        <v>144</v>
      </c>
      <c r="BA52" t="n">
        <v>92</v>
      </c>
      <c r="BB52" t="n">
        <v>81</v>
      </c>
      <c r="BC52" t="n">
        <v>91</v>
      </c>
      <c r="BD52" t="n">
        <v>72</v>
      </c>
      <c r="BE52" t="n">
        <v>58</v>
      </c>
      <c r="BF52" t="n">
        <v>45</v>
      </c>
    </row>
    <row r="53">
      <c r="A53" t="n">
        <v>1216</v>
      </c>
      <c r="B53" s="2" t="n">
        <v>-33947.98393252495</v>
      </c>
      <c r="C53" s="2" t="n">
        <v>-32684.26126936027</v>
      </c>
      <c r="D53" s="2" t="n">
        <v>-39781.48131003122</v>
      </c>
      <c r="E53" s="2" t="n">
        <v>-41513.42248170674</v>
      </c>
      <c r="F53" s="2" t="n">
        <v>-45231.69021777777</v>
      </c>
      <c r="G53" s="2" t="n">
        <v>-50005.96504783134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t="inlineStr">
        <is>
          <t>MINUS</t>
        </is>
      </c>
      <c r="AA53" t="n">
        <v>1215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1067.666666666667</v>
      </c>
      <c r="AN53" s="2" t="n">
        <v>1148.675925925926</v>
      </c>
      <c r="AO53" s="2" t="n">
        <v>1889.990740740741</v>
      </c>
      <c r="AR53" t="n">
        <v>1215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365</v>
      </c>
      <c r="BE53" t="n">
        <v>420</v>
      </c>
      <c r="BF53" t="n">
        <v>390</v>
      </c>
    </row>
    <row r="54">
      <c r="A54" t="n">
        <v>1217</v>
      </c>
      <c r="B54" s="2" t="n">
        <v>-31957.99111148791</v>
      </c>
      <c r="C54" s="2" t="n">
        <v>-30218.01830636026</v>
      </c>
      <c r="D54" s="2" t="n">
        <v>-38202.74737466085</v>
      </c>
      <c r="E54" s="2" t="n">
        <v>-39817.67252559563</v>
      </c>
      <c r="F54" s="2" t="n">
        <v>-44087.05336422222</v>
      </c>
      <c r="G54" s="2" t="n">
        <v>-48583.92249860912</v>
      </c>
      <c r="H54" s="2" t="n">
        <v>-58448.08796131909</v>
      </c>
      <c r="I54" s="2" t="n">
        <v>-52952.43935066827</v>
      </c>
      <c r="J54" s="2" t="n">
        <v>-52775.46005232479</v>
      </c>
      <c r="K54" s="2" t="n">
        <v>-20747.40497816838</v>
      </c>
      <c r="L54" s="2" t="n">
        <v>-18374.63836163446</v>
      </c>
      <c r="M54" s="2" t="n">
        <v>-76515.88296150701</v>
      </c>
      <c r="N54" s="2" t="n">
        <v>-36146.4771541567</v>
      </c>
      <c r="O54" s="2" t="n">
        <v>-35455.3255397619</v>
      </c>
      <c r="P54" t="inlineStr">
        <is>
          <t>MINUS</t>
        </is>
      </c>
      <c r="AA54" t="n">
        <v>1216</v>
      </c>
      <c r="AB54" s="2" t="n">
        <v>1959.796296296296</v>
      </c>
      <c r="AC54" s="2" t="n">
        <v>2469.981481481481</v>
      </c>
      <c r="AD54" s="2" t="n">
        <v>2853.444444444444</v>
      </c>
      <c r="AE54" s="2" t="n">
        <v>1872.444444444444</v>
      </c>
      <c r="AF54" s="2" t="n">
        <v>1617.027777777778</v>
      </c>
      <c r="AG54" s="2" t="n">
        <v>1047.481481481482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R54" t="n">
        <v>1216</v>
      </c>
      <c r="AS54" t="n">
        <v>84</v>
      </c>
      <c r="AT54" t="n">
        <v>72</v>
      </c>
      <c r="AU54" t="n">
        <v>95</v>
      </c>
      <c r="AV54" t="n">
        <v>84</v>
      </c>
      <c r="AW54" t="n">
        <v>56</v>
      </c>
      <c r="AX54" t="n">
        <v>43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1219</v>
      </c>
      <c r="B55" s="2" t="n">
        <v>-32643.55729674717</v>
      </c>
      <c r="C55" s="2" t="n">
        <v>-31520.2813983973</v>
      </c>
      <c r="D55" s="2" t="n">
        <v>-38404.05211399418</v>
      </c>
      <c r="E55" s="2" t="n">
        <v>-39916.80677685489</v>
      </c>
      <c r="F55" s="2" t="n">
        <v>-43361.52609262963</v>
      </c>
      <c r="G55" s="2" t="n">
        <v>-47713.86400186839</v>
      </c>
      <c r="H55" s="2" t="n">
        <v>-58384.47016991168</v>
      </c>
      <c r="I55" s="2" t="n">
        <v>-53110.86264214975</v>
      </c>
      <c r="J55" s="2" t="n">
        <v>-53122.2644191396</v>
      </c>
      <c r="K55" s="2" t="n">
        <v>-39262.84803383505</v>
      </c>
      <c r="L55" s="2" t="n">
        <v>-18056.19691593076</v>
      </c>
      <c r="M55" s="2" t="n">
        <v>-78045.1185885811</v>
      </c>
      <c r="N55" s="2" t="n">
        <v>-36790.43981160114</v>
      </c>
      <c r="O55" s="2" t="n">
        <v>-36326.32431905819</v>
      </c>
      <c r="P55" t="inlineStr">
        <is>
          <t>MINUS</t>
        </is>
      </c>
      <c r="AA55" t="n">
        <v>1217</v>
      </c>
      <c r="AB55" s="2" t="n">
        <v>32747.16666666666</v>
      </c>
      <c r="AC55" s="2" t="n">
        <v>33265.69444444444</v>
      </c>
      <c r="AD55" s="2" t="n">
        <v>29294.55555555555</v>
      </c>
      <c r="AE55" s="2" t="n">
        <v>29332.26851851851</v>
      </c>
      <c r="AF55" s="2" t="n">
        <v>23043.35185185185</v>
      </c>
      <c r="AG55" s="2" t="n">
        <v>25611.75</v>
      </c>
      <c r="AH55" s="2" t="n">
        <v>37444.22222222222</v>
      </c>
      <c r="AI55" s="2" t="n">
        <v>42977.85185185185</v>
      </c>
      <c r="AJ55" s="2" t="n">
        <v>32513.84259259259</v>
      </c>
      <c r="AK55" s="2" t="n">
        <v>23845.25</v>
      </c>
      <c r="AL55" s="2" t="n">
        <v>21211.00925925926</v>
      </c>
      <c r="AM55" s="2" t="n">
        <v>23308.62962962963</v>
      </c>
      <c r="AN55" s="2" t="n">
        <v>16187.63888888889</v>
      </c>
      <c r="AO55" s="2" t="n">
        <v>16996.5</v>
      </c>
      <c r="AR55" t="n">
        <v>1217</v>
      </c>
      <c r="AS55" t="n">
        <v>1437</v>
      </c>
      <c r="AT55" t="n">
        <v>1414</v>
      </c>
      <c r="AU55" t="n">
        <v>1396</v>
      </c>
      <c r="AV55" t="n">
        <v>1303</v>
      </c>
      <c r="AW55" t="n">
        <v>1008</v>
      </c>
      <c r="AX55" t="n">
        <v>1103</v>
      </c>
      <c r="AY55" t="n">
        <v>1456</v>
      </c>
      <c r="AZ55" t="n">
        <v>1569</v>
      </c>
      <c r="BA55" t="n">
        <v>1284</v>
      </c>
      <c r="BB55" t="n">
        <v>1317</v>
      </c>
      <c r="BC55" t="n">
        <v>1161</v>
      </c>
      <c r="BD55" t="n">
        <v>1122</v>
      </c>
      <c r="BE55" t="n">
        <v>821</v>
      </c>
      <c r="BF55" t="n">
        <v>852</v>
      </c>
    </row>
    <row r="56">
      <c r="A56" t="n">
        <v>1220</v>
      </c>
      <c r="B56" s="2" t="n">
        <v>-28303.82230189532</v>
      </c>
      <c r="C56" s="2" t="n">
        <v>-27616.21008928619</v>
      </c>
      <c r="D56" s="2" t="n">
        <v>-34357.67408188307</v>
      </c>
      <c r="E56" s="2" t="n">
        <v>-35965.01099533637</v>
      </c>
      <c r="F56" s="2" t="n">
        <v>-39776.51771948148</v>
      </c>
      <c r="G56" s="2" t="n">
        <v>-44261.7169520906</v>
      </c>
      <c r="H56" s="2" t="n">
        <v>-55196.00626639316</v>
      </c>
      <c r="I56" s="2" t="n">
        <v>-50109.12282581641</v>
      </c>
      <c r="J56" s="2" t="n">
        <v>-49578.77745565812</v>
      </c>
      <c r="K56" s="2" t="n">
        <v>-35554.88272120542</v>
      </c>
      <c r="L56" s="2" t="n">
        <v>-14332.46686644927</v>
      </c>
      <c r="M56" s="2" t="n">
        <v>-74162.63783113666</v>
      </c>
      <c r="N56" s="2" t="n">
        <v>-33096.36241741595</v>
      </c>
      <c r="O56" s="2" t="n">
        <v>-32665.21407650264</v>
      </c>
      <c r="P56" t="inlineStr">
        <is>
          <t>MINUS</t>
        </is>
      </c>
      <c r="AA56" t="n">
        <v>1219</v>
      </c>
      <c r="AB56" s="2" t="n">
        <v>7656.027777777777</v>
      </c>
      <c r="AC56" s="2" t="n">
        <v>8195.870370370369</v>
      </c>
      <c r="AD56" s="2" t="n">
        <v>9372.740740740741</v>
      </c>
      <c r="AE56" s="2" t="n">
        <v>10684.32407407407</v>
      </c>
      <c r="AF56" s="2" t="n">
        <v>13519.53703703704</v>
      </c>
      <c r="AG56" s="2" t="n">
        <v>17745.42592592593</v>
      </c>
      <c r="AH56" s="2" t="n">
        <v>21144.51851851852</v>
      </c>
      <c r="AI56" s="2" t="n">
        <v>24241.74074074074</v>
      </c>
      <c r="AJ56" s="2" t="n">
        <v>10957.26851851852</v>
      </c>
      <c r="AK56" s="2" t="n">
        <v>8514.85185185185</v>
      </c>
      <c r="AL56" s="2" t="n">
        <v>6830.092592592591</v>
      </c>
      <c r="AM56" s="2" t="n">
        <v>6019.361111111111</v>
      </c>
      <c r="AN56" s="2" t="n">
        <v>9132.111111111111</v>
      </c>
      <c r="AO56" s="2" t="n">
        <v>7436.24074074074</v>
      </c>
      <c r="AR56" t="n">
        <v>1219</v>
      </c>
      <c r="AS56" t="n">
        <v>402</v>
      </c>
      <c r="AT56" t="n">
        <v>432</v>
      </c>
      <c r="AU56" t="n">
        <v>495</v>
      </c>
      <c r="AV56" t="n">
        <v>512</v>
      </c>
      <c r="AW56" t="n">
        <v>609</v>
      </c>
      <c r="AX56" t="n">
        <v>917</v>
      </c>
      <c r="AY56" t="n">
        <v>1466</v>
      </c>
      <c r="AZ56" t="n">
        <v>1550</v>
      </c>
      <c r="BA56" t="n">
        <v>649</v>
      </c>
      <c r="BB56" t="n">
        <v>565</v>
      </c>
      <c r="BC56" t="n">
        <v>514</v>
      </c>
      <c r="BD56" t="n">
        <v>410</v>
      </c>
      <c r="BE56" t="n">
        <v>489</v>
      </c>
      <c r="BF56" t="n">
        <v>420</v>
      </c>
    </row>
    <row r="57">
      <c r="A57" t="n">
        <v>1221</v>
      </c>
      <c r="B57" s="2" t="n">
        <v>-33503.26522856198</v>
      </c>
      <c r="C57" s="2" t="n">
        <v>-30826.29612854545</v>
      </c>
      <c r="D57" s="2" t="n">
        <v>-37810.40548058678</v>
      </c>
      <c r="E57" s="2" t="n">
        <v>-39429.2564412623</v>
      </c>
      <c r="F57" s="2" t="n">
        <v>-43120.769116</v>
      </c>
      <c r="G57" s="2" t="n">
        <v>-47843.53117901654</v>
      </c>
      <c r="H57" s="2" t="n">
        <v>-58761.14081161538</v>
      </c>
      <c r="I57" s="2" t="n">
        <v>-53745.55895726087</v>
      </c>
      <c r="J57" s="2" t="n">
        <v>-52656.44854776923</v>
      </c>
      <c r="K57" s="2" t="n">
        <v>-27339.63043498319</v>
      </c>
      <c r="L57" s="2" t="n">
        <v>-17226.89091978261</v>
      </c>
      <c r="M57" s="2" t="n">
        <v>-76901.73311165516</v>
      </c>
      <c r="N57" s="2" t="n">
        <v>-35950.4775665641</v>
      </c>
      <c r="O57" s="2" t="n">
        <v>-34539.01008142857</v>
      </c>
      <c r="P57" t="inlineStr">
        <is>
          <t>MINUS</t>
        </is>
      </c>
      <c r="AA57" t="n">
        <v>1220</v>
      </c>
      <c r="AB57" s="2" t="n">
        <v>18627.40740740741</v>
      </c>
      <c r="AC57" s="2" t="n">
        <v>12686.37037037037</v>
      </c>
      <c r="AD57" s="2" t="n">
        <v>16916.55555555555</v>
      </c>
      <c r="AE57" s="2" t="n">
        <v>17494.7037037037</v>
      </c>
      <c r="AF57" s="2" t="n">
        <v>14435.49074074074</v>
      </c>
      <c r="AG57" s="2" t="n">
        <v>19611.63888888888</v>
      </c>
      <c r="AH57" s="2" t="n">
        <v>21271.66666666667</v>
      </c>
      <c r="AI57" s="2" t="n">
        <v>20526.81481481481</v>
      </c>
      <c r="AJ57" s="2" t="n">
        <v>8715.314814814814</v>
      </c>
      <c r="AK57" s="2" t="n">
        <v>8326.98148148148</v>
      </c>
      <c r="AL57" s="2" t="n">
        <v>5708.666666666667</v>
      </c>
      <c r="AM57" s="2" t="n">
        <v>7945.388888888888</v>
      </c>
      <c r="AN57" s="2" t="n">
        <v>9264.583333333332</v>
      </c>
      <c r="AO57" s="2" t="n">
        <v>5278.574074074073</v>
      </c>
      <c r="AR57" t="n">
        <v>1220</v>
      </c>
      <c r="AS57" t="n">
        <v>990</v>
      </c>
      <c r="AT57" t="n">
        <v>804</v>
      </c>
      <c r="AU57" t="n">
        <v>1073</v>
      </c>
      <c r="AV57" t="n">
        <v>1025</v>
      </c>
      <c r="AW57" t="n">
        <v>937</v>
      </c>
      <c r="AX57" t="n">
        <v>1157</v>
      </c>
      <c r="AY57" t="n">
        <v>1224</v>
      </c>
      <c r="AZ57" t="n">
        <v>1168</v>
      </c>
      <c r="BA57" t="n">
        <v>559</v>
      </c>
      <c r="BB57" t="n">
        <v>634</v>
      </c>
      <c r="BC57" t="n">
        <v>471</v>
      </c>
      <c r="BD57" t="n">
        <v>607</v>
      </c>
      <c r="BE57" t="n">
        <v>571</v>
      </c>
      <c r="BF57" t="n">
        <v>397</v>
      </c>
    </row>
    <row r="58">
      <c r="A58" t="n">
        <v>1222</v>
      </c>
      <c r="B58" s="2" t="n">
        <v>-29248.09397656199</v>
      </c>
      <c r="C58" s="2" t="n">
        <v>-28173.41131754545</v>
      </c>
      <c r="D58" s="2" t="n">
        <v>-35162.71435758677</v>
      </c>
      <c r="E58" s="2" t="n">
        <v>-36781.0831362623</v>
      </c>
      <c r="F58" s="2" t="n">
        <v>-40476.46109500001</v>
      </c>
      <c r="G58" s="2" t="n">
        <v>-45198.37439001653</v>
      </c>
      <c r="H58" s="2" t="n">
        <v>-56126.41072861538</v>
      </c>
      <c r="I58" s="2" t="n">
        <v>-51111.56371826086</v>
      </c>
      <c r="J58" s="2" t="n">
        <v>-50007.89982176924</v>
      </c>
      <c r="K58" s="2" t="n">
        <v>-37589.90908598319</v>
      </c>
      <c r="L58" s="2" t="n">
        <v>-14580.45590578261</v>
      </c>
      <c r="M58" s="2" t="n">
        <v>-74501.25699165517</v>
      </c>
      <c r="N58" s="2" t="n">
        <v>-33542.8682575641</v>
      </c>
      <c r="O58" s="2" t="n">
        <v>-32929.09248142857</v>
      </c>
      <c r="P58" t="inlineStr">
        <is>
          <t>MINUS</t>
        </is>
      </c>
      <c r="AA58" t="n">
        <v>1221</v>
      </c>
      <c r="AB58" s="2" t="n">
        <v>28889.72222222222</v>
      </c>
      <c r="AC58" s="2" t="n">
        <v>30596.17592592592</v>
      </c>
      <c r="AD58" s="2" t="n">
        <v>35476.06481481481</v>
      </c>
      <c r="AE58" s="2" t="n">
        <v>34132.17592592593</v>
      </c>
      <c r="AF58" s="2" t="n">
        <v>37686.2037037037</v>
      </c>
      <c r="AG58" s="2" t="n">
        <v>36042.14814814815</v>
      </c>
      <c r="AH58" s="2" t="n">
        <v>40291.94444444445</v>
      </c>
      <c r="AI58" s="2" t="n">
        <v>40827.81481481482</v>
      </c>
      <c r="AJ58" s="2" t="n">
        <v>31137.76851851852</v>
      </c>
      <c r="AK58" s="2" t="n">
        <v>28634.89814814815</v>
      </c>
      <c r="AL58" s="2" t="n">
        <v>24557.13888888889</v>
      </c>
      <c r="AM58" s="2" t="n">
        <v>29226.06481481481</v>
      </c>
      <c r="AN58" s="2" t="n">
        <v>28698.9537037037</v>
      </c>
      <c r="AO58" s="2" t="n">
        <v>27096.01851851851</v>
      </c>
      <c r="AR58" t="n">
        <v>1221</v>
      </c>
      <c r="AS58" t="n">
        <v>2250</v>
      </c>
      <c r="AT58" t="n">
        <v>2374</v>
      </c>
      <c r="AU58" t="n">
        <v>2838</v>
      </c>
      <c r="AV58" t="n">
        <v>2611</v>
      </c>
      <c r="AW58" t="n">
        <v>2897</v>
      </c>
      <c r="AX58" t="n">
        <v>2739</v>
      </c>
      <c r="AY58" t="n">
        <v>3031</v>
      </c>
      <c r="AZ58" t="n">
        <v>3043</v>
      </c>
      <c r="BA58" t="n">
        <v>2243</v>
      </c>
      <c r="BB58" t="n">
        <v>2226</v>
      </c>
      <c r="BC58" t="n">
        <v>1940</v>
      </c>
      <c r="BD58" t="n">
        <v>2169</v>
      </c>
      <c r="BE58" t="n">
        <v>2191</v>
      </c>
      <c r="BF58" t="n">
        <v>2090</v>
      </c>
    </row>
    <row r="59">
      <c r="A59" t="n">
        <v>1223</v>
      </c>
      <c r="B59" s="2" t="n">
        <v>-32166.98774993235</v>
      </c>
      <c r="C59" s="2" t="n">
        <v>-31232.14452098989</v>
      </c>
      <c r="D59" s="2" t="n">
        <v>-37719.22543192011</v>
      </c>
      <c r="E59" s="2" t="n">
        <v>-38766.9873723734</v>
      </c>
      <c r="F59" s="2" t="n">
        <v>-42134.06538533334</v>
      </c>
      <c r="G59" s="2" t="n">
        <v>-46904.17798897949</v>
      </c>
      <c r="H59" s="2" t="n">
        <v>-57368.60748772649</v>
      </c>
      <c r="I59" s="2" t="n">
        <v>-52053.87366296456</v>
      </c>
      <c r="J59" s="2" t="n">
        <v>-52650.62365225071</v>
      </c>
      <c r="K59" s="2" t="n">
        <v>-39496.38572476097</v>
      </c>
      <c r="L59" s="2" t="n">
        <v>-18767.55826263446</v>
      </c>
      <c r="M59" s="2" t="n">
        <v>-78335.45355524778</v>
      </c>
      <c r="N59" s="2" t="n">
        <v>-36004.38442152706</v>
      </c>
      <c r="O59" s="2" t="n">
        <v>-17770.05630816931</v>
      </c>
      <c r="P59" t="inlineStr">
        <is>
          <t>MINUS</t>
        </is>
      </c>
      <c r="AA59" t="n">
        <v>1222</v>
      </c>
      <c r="AB59" s="2" t="n">
        <v>2262.62962962963</v>
      </c>
      <c r="AC59" s="2" t="n">
        <v>1854.842592592592</v>
      </c>
      <c r="AD59" s="2" t="n">
        <v>2311.74074074074</v>
      </c>
      <c r="AE59" s="2" t="n">
        <v>2985.481481481481</v>
      </c>
      <c r="AF59" s="2" t="n">
        <v>2783.287037037036</v>
      </c>
      <c r="AG59" s="2" t="n">
        <v>2692.518518518518</v>
      </c>
      <c r="AH59" s="2" t="n">
        <v>813.1851851851851</v>
      </c>
      <c r="AI59" s="2" t="n">
        <v>646.6666666666667</v>
      </c>
      <c r="AJ59" s="2" t="n">
        <v>1037.138888888889</v>
      </c>
      <c r="AK59" s="2" t="n">
        <v>702.6666666666666</v>
      </c>
      <c r="AL59" s="2" t="n">
        <v>593.4351851851852</v>
      </c>
      <c r="AM59" s="2" t="n">
        <v>444.8333333333333</v>
      </c>
      <c r="AN59" s="2" t="n">
        <v>233.8425925925926</v>
      </c>
      <c r="AO59" s="2" t="n">
        <v>278.7962962962963</v>
      </c>
      <c r="AR59" t="n">
        <v>1222</v>
      </c>
      <c r="AS59" t="n">
        <v>100</v>
      </c>
      <c r="AT59" t="n">
        <v>89</v>
      </c>
      <c r="AU59" t="n">
        <v>123</v>
      </c>
      <c r="AV59" t="n">
        <v>132</v>
      </c>
      <c r="AW59" t="n">
        <v>151</v>
      </c>
      <c r="AX59" t="n">
        <v>159</v>
      </c>
      <c r="AY59" t="n">
        <v>37</v>
      </c>
      <c r="AZ59" t="n">
        <v>39</v>
      </c>
      <c r="BA59" t="n">
        <v>50</v>
      </c>
      <c r="BB59" t="n">
        <v>40</v>
      </c>
      <c r="BC59" t="n">
        <v>35</v>
      </c>
      <c r="BD59" t="n">
        <v>29</v>
      </c>
      <c r="BE59" t="n">
        <v>17</v>
      </c>
      <c r="BF59" t="n">
        <v>18</v>
      </c>
    </row>
    <row r="60">
      <c r="A60" t="n">
        <v>1224</v>
      </c>
      <c r="B60" s="2" t="n">
        <v>-29946.08279256199</v>
      </c>
      <c r="C60" s="2" t="n">
        <v>-28700.92515754545</v>
      </c>
      <c r="D60" s="2" t="n">
        <v>-35860.45676258677</v>
      </c>
      <c r="E60" s="2" t="n">
        <v>-37497.77105326229</v>
      </c>
      <c r="F60" s="2" t="n">
        <v>-41187.847024</v>
      </c>
      <c r="G60" s="2" t="n">
        <v>-45898.18251701653</v>
      </c>
      <c r="H60" s="2" t="n">
        <v>-56787.27400261538</v>
      </c>
      <c r="I60" s="2" t="n">
        <v>-51767.31937426086</v>
      </c>
      <c r="J60" s="2" t="n">
        <v>-50693.41325876923</v>
      </c>
      <c r="K60" s="2" t="n">
        <v>-36626.24565098318</v>
      </c>
      <c r="L60" s="2" t="n">
        <v>-15273.17083678261</v>
      </c>
      <c r="M60" s="2" t="n">
        <v>-75193.82693365517</v>
      </c>
      <c r="N60" s="2" t="n">
        <v>-33541.00536456409</v>
      </c>
      <c r="O60" s="2" t="n">
        <v>-32927.05915842857</v>
      </c>
      <c r="P60" t="inlineStr">
        <is>
          <t>MINUS</t>
        </is>
      </c>
      <c r="AA60" t="n">
        <v>1223</v>
      </c>
      <c r="AB60" s="2" t="n">
        <v>21510.32407407407</v>
      </c>
      <c r="AC60" s="2" t="n">
        <v>18271.63888888889</v>
      </c>
      <c r="AD60" s="2" t="n">
        <v>25750.99074074074</v>
      </c>
      <c r="AE60" s="2" t="n">
        <v>32405.08333333333</v>
      </c>
      <c r="AF60" s="2" t="n">
        <v>36199.46296296296</v>
      </c>
      <c r="AG60" s="2" t="n">
        <v>35658.62962962963</v>
      </c>
      <c r="AH60" s="2" t="n">
        <v>41429.66666666666</v>
      </c>
      <c r="AI60" s="2" t="n">
        <v>45136.90740740741</v>
      </c>
      <c r="AJ60" s="2" t="n">
        <v>24651.4537037037</v>
      </c>
      <c r="AK60" s="2" t="n">
        <v>26926.57407407407</v>
      </c>
      <c r="AL60" s="2" t="n">
        <v>19728.21296296296</v>
      </c>
      <c r="AM60" s="2" t="n">
        <v>23946.10185185185</v>
      </c>
      <c r="AN60" s="2" t="n">
        <v>18131.25925925926</v>
      </c>
      <c r="AO60" s="2" t="n">
        <v>15435.51851851852</v>
      </c>
      <c r="AR60" t="n">
        <v>1223</v>
      </c>
      <c r="AS60" t="n">
        <v>1590</v>
      </c>
      <c r="AT60" t="n">
        <v>1483</v>
      </c>
      <c r="AU60" t="n">
        <v>1923</v>
      </c>
      <c r="AV60" t="n">
        <v>2145</v>
      </c>
      <c r="AW60" t="n">
        <v>2289</v>
      </c>
      <c r="AX60" t="n">
        <v>2183</v>
      </c>
      <c r="AY60" t="n">
        <v>2430</v>
      </c>
      <c r="AZ60" t="n">
        <v>2511</v>
      </c>
      <c r="BA60" t="n">
        <v>1660</v>
      </c>
      <c r="BB60" t="n">
        <v>1811</v>
      </c>
      <c r="BC60" t="n">
        <v>1516</v>
      </c>
      <c r="BD60" t="n">
        <v>1604</v>
      </c>
      <c r="BE60" t="n">
        <v>1333</v>
      </c>
      <c r="BF60" t="n">
        <v>1300</v>
      </c>
    </row>
    <row r="61">
      <c r="A61" t="n">
        <v>1225</v>
      </c>
      <c r="B61" s="2" t="n">
        <v>-31282.90655559902</v>
      </c>
      <c r="C61" s="2" t="n">
        <v>-30569.17404154545</v>
      </c>
      <c r="D61" s="2" t="n">
        <v>-37848.77206084604</v>
      </c>
      <c r="E61" s="2" t="n">
        <v>-39106.04599615118</v>
      </c>
      <c r="F61" s="2" t="n">
        <v>-41868.87308048148</v>
      </c>
      <c r="G61" s="2" t="n">
        <v>-46176.23852538689</v>
      </c>
      <c r="H61" s="2" t="n">
        <v>-57625.92209928205</v>
      </c>
      <c r="I61" s="2" t="n">
        <v>-52954.15740481642</v>
      </c>
      <c r="J61" s="2" t="n">
        <v>-51728.06151717663</v>
      </c>
      <c r="K61" s="2" t="n">
        <v>-38441.92175294615</v>
      </c>
      <c r="L61" s="2" t="n">
        <v>-17775.85813322705</v>
      </c>
      <c r="M61" s="2" t="n">
        <v>-76755.17614602554</v>
      </c>
      <c r="N61" s="2" t="n">
        <v>-33728.17052133471</v>
      </c>
      <c r="O61" s="2" t="n">
        <v>-35612.36839179893</v>
      </c>
      <c r="P61" t="inlineStr">
        <is>
          <t>MINUS</t>
        </is>
      </c>
      <c r="AA61" t="n">
        <v>1224</v>
      </c>
      <c r="AB61" s="2" t="n">
        <v>1184.259259259259</v>
      </c>
      <c r="AC61" s="2" t="n">
        <v>1397.805555555556</v>
      </c>
      <c r="AD61" s="2" t="n">
        <v>1353.453703703704</v>
      </c>
      <c r="AE61" s="2" t="n">
        <v>2069.342592592592</v>
      </c>
      <c r="AF61" s="2" t="n">
        <v>4450.962962962963</v>
      </c>
      <c r="AG61" s="2" t="n">
        <v>10002.39814814815</v>
      </c>
      <c r="AH61" s="2" t="n">
        <v>16575.72222222222</v>
      </c>
      <c r="AI61" s="2" t="n">
        <v>18898.2962962963</v>
      </c>
      <c r="AJ61" s="2" t="n">
        <v>4786.925925925926</v>
      </c>
      <c r="AK61" s="2" t="n">
        <v>1127.342592592592</v>
      </c>
      <c r="AL61" s="2" t="n">
        <v>833.7222222222222</v>
      </c>
      <c r="AM61" s="2" t="n">
        <v>755.7777777777777</v>
      </c>
      <c r="AN61" s="2" t="n">
        <v>1141.685185185185</v>
      </c>
      <c r="AO61" s="2" t="n">
        <v>1269.694444444444</v>
      </c>
      <c r="AR61" t="n">
        <v>1224</v>
      </c>
      <c r="AS61" t="n">
        <v>111</v>
      </c>
      <c r="AT61" t="n">
        <v>121</v>
      </c>
      <c r="AU61" t="n">
        <v>133</v>
      </c>
      <c r="AV61" t="n">
        <v>152</v>
      </c>
      <c r="AW61" t="n">
        <v>276</v>
      </c>
      <c r="AX61" t="n">
        <v>658</v>
      </c>
      <c r="AY61" t="n">
        <v>1094</v>
      </c>
      <c r="AZ61" t="n">
        <v>1215</v>
      </c>
      <c r="BA61" t="n">
        <v>362</v>
      </c>
      <c r="BB61" t="n">
        <v>91</v>
      </c>
      <c r="BC61" t="n">
        <v>69</v>
      </c>
      <c r="BD61" t="n">
        <v>66</v>
      </c>
      <c r="BE61" t="n">
        <v>74</v>
      </c>
      <c r="BF61" t="n">
        <v>81</v>
      </c>
    </row>
    <row r="62">
      <c r="A62" t="n">
        <v>1226</v>
      </c>
      <c r="B62" s="2" t="n">
        <v>-32621.9674697842</v>
      </c>
      <c r="C62" s="2" t="n">
        <v>-31492.17042580472</v>
      </c>
      <c r="D62" s="2" t="n">
        <v>-38388.3450895127</v>
      </c>
      <c r="E62" s="2" t="n">
        <v>-40077.40251511414</v>
      </c>
      <c r="F62" s="2" t="n">
        <v>-43535.94107055556</v>
      </c>
      <c r="G62" s="2" t="n">
        <v>-48202.31196597949</v>
      </c>
      <c r="H62" s="2" t="n">
        <v>-59264.64421380056</v>
      </c>
      <c r="I62" s="2" t="n">
        <v>-54186.21140392753</v>
      </c>
      <c r="J62" s="2" t="n">
        <v>-53464.19310676923</v>
      </c>
      <c r="K62" s="2" t="n">
        <v>-39524.19271116838</v>
      </c>
      <c r="L62" s="2" t="n">
        <v>-18263.49456541224</v>
      </c>
      <c r="M62" s="2" t="n">
        <v>-78117.73161613666</v>
      </c>
      <c r="N62" s="2" t="n">
        <v>-37133.05145234188</v>
      </c>
      <c r="O62" s="2" t="n">
        <v>-14189.12649851852</v>
      </c>
      <c r="P62" t="inlineStr">
        <is>
          <t>MINUS</t>
        </is>
      </c>
      <c r="AA62" t="n">
        <v>1225</v>
      </c>
      <c r="AB62" s="2" t="n">
        <v>29856.39814814815</v>
      </c>
      <c r="AC62" s="2" t="n">
        <v>24440.88888888888</v>
      </c>
      <c r="AD62" s="2" t="n">
        <v>22746.61111111111</v>
      </c>
      <c r="AE62" s="2" t="n">
        <v>26946.84259259259</v>
      </c>
      <c r="AF62" s="2" t="n">
        <v>37309.66666666666</v>
      </c>
      <c r="AG62" s="2" t="n">
        <v>41921.47222222222</v>
      </c>
      <c r="AH62" s="2" t="n">
        <v>36302.61111111111</v>
      </c>
      <c r="AI62" s="2" t="n">
        <v>32481.60185185185</v>
      </c>
      <c r="AJ62" s="2" t="n">
        <v>33431.33333333333</v>
      </c>
      <c r="AK62" s="2" t="n">
        <v>25218.13888888889</v>
      </c>
      <c r="AL62" s="2" t="n">
        <v>17450.34259259259</v>
      </c>
      <c r="AM62" s="2" t="n">
        <v>27832.02777777778</v>
      </c>
      <c r="AN62" s="2" t="n">
        <v>24721.15740740741</v>
      </c>
      <c r="AO62" s="2" t="n">
        <v>15126.48148148148</v>
      </c>
      <c r="AR62" t="n">
        <v>1225</v>
      </c>
      <c r="AS62" t="n">
        <v>929</v>
      </c>
      <c r="AT62" t="n">
        <v>812</v>
      </c>
      <c r="AU62" t="n">
        <v>821</v>
      </c>
      <c r="AV62" t="n">
        <v>883</v>
      </c>
      <c r="AW62" t="n">
        <v>1088</v>
      </c>
      <c r="AX62" t="n">
        <v>1171</v>
      </c>
      <c r="AY62" t="n">
        <v>1163</v>
      </c>
      <c r="AZ62" t="n">
        <v>1056</v>
      </c>
      <c r="BA62" t="n">
        <v>958</v>
      </c>
      <c r="BB62" t="n">
        <v>895</v>
      </c>
      <c r="BC62" t="n">
        <v>739</v>
      </c>
      <c r="BD62" t="n">
        <v>881</v>
      </c>
      <c r="BE62" t="n">
        <v>782</v>
      </c>
      <c r="BF62" t="n">
        <v>575</v>
      </c>
    </row>
    <row r="63">
      <c r="A63" t="n">
        <v>1227</v>
      </c>
      <c r="B63" s="2" t="n">
        <v>-33278.5280437842</v>
      </c>
      <c r="C63" s="2" t="n">
        <v>-31986.77712436027</v>
      </c>
      <c r="D63" s="2" t="n">
        <v>-39067.55005747566</v>
      </c>
      <c r="E63" s="2" t="n">
        <v>-40594.42858555859</v>
      </c>
      <c r="F63" s="2" t="n">
        <v>-44202.03151603704</v>
      </c>
      <c r="G63" s="2" t="n">
        <v>-48886.07159142393</v>
      </c>
      <c r="H63" s="2" t="n">
        <v>-59943.03595568946</v>
      </c>
      <c r="I63" s="2" t="n">
        <v>-54756.74137948309</v>
      </c>
      <c r="J63" s="2" t="n">
        <v>-53850.70943876923</v>
      </c>
      <c r="K63" s="2" t="n">
        <v>-40155.38185198319</v>
      </c>
      <c r="L63" s="2" t="n">
        <v>0</v>
      </c>
      <c r="M63" s="2" t="n">
        <v>0</v>
      </c>
      <c r="N63" s="2" t="n">
        <v>0</v>
      </c>
      <c r="O63" s="2" t="n">
        <v>0</v>
      </c>
      <c r="P63" t="inlineStr">
        <is>
          <t>MINUS</t>
        </is>
      </c>
      <c r="AA63" t="n">
        <v>1226</v>
      </c>
      <c r="AB63" s="2" t="n">
        <v>15902.72222222222</v>
      </c>
      <c r="AC63" s="2" t="n">
        <v>14744.36111111111</v>
      </c>
      <c r="AD63" s="2" t="n">
        <v>17652.99074074074</v>
      </c>
      <c r="AE63" s="2" t="n">
        <v>17088.62962962963</v>
      </c>
      <c r="AF63" s="2" t="n">
        <v>19769.04629629629</v>
      </c>
      <c r="AG63" s="2" t="n">
        <v>20522.24074074074</v>
      </c>
      <c r="AH63" s="2" t="n">
        <v>18818.05555555555</v>
      </c>
      <c r="AI63" s="2" t="n">
        <v>19677.12037037036</v>
      </c>
      <c r="AJ63" s="2" t="n">
        <v>15247.34259259259</v>
      </c>
      <c r="AK63" s="2" t="n">
        <v>13638.77777777778</v>
      </c>
      <c r="AL63" s="2" t="n">
        <v>12580.2037037037</v>
      </c>
      <c r="AM63" s="2" t="n">
        <v>13258.46296296296</v>
      </c>
      <c r="AN63" s="2" t="n">
        <v>13167.13888888889</v>
      </c>
      <c r="AO63" s="2" t="n">
        <v>12339.28703703704</v>
      </c>
      <c r="AR63" t="n">
        <v>1226</v>
      </c>
      <c r="AS63" t="n">
        <v>1103</v>
      </c>
      <c r="AT63" t="n">
        <v>1072</v>
      </c>
      <c r="AU63" t="n">
        <v>1203</v>
      </c>
      <c r="AV63" t="n">
        <v>1141</v>
      </c>
      <c r="AW63" t="n">
        <v>1245</v>
      </c>
      <c r="AX63" t="n">
        <v>1253</v>
      </c>
      <c r="AY63" t="n">
        <v>1193</v>
      </c>
      <c r="AZ63" t="n">
        <v>1193</v>
      </c>
      <c r="BA63" t="n">
        <v>996</v>
      </c>
      <c r="BB63" t="n">
        <v>1044</v>
      </c>
      <c r="BC63" t="n">
        <v>933</v>
      </c>
      <c r="BD63" t="n">
        <v>906</v>
      </c>
      <c r="BE63" t="n">
        <v>876</v>
      </c>
      <c r="BF63" t="n">
        <v>833</v>
      </c>
    </row>
    <row r="64">
      <c r="A64" t="n">
        <v>1228</v>
      </c>
      <c r="B64" s="2" t="n">
        <v>-33488.8837166731</v>
      </c>
      <c r="C64" s="2" t="n">
        <v>-32047.34018717508</v>
      </c>
      <c r="D64" s="2" t="n">
        <v>-39377.82685188307</v>
      </c>
      <c r="E64" s="2" t="n">
        <v>-40802.41167955859</v>
      </c>
      <c r="F64" s="2" t="n">
        <v>-44071.59391192593</v>
      </c>
      <c r="G64" s="2" t="n">
        <v>-49031.99337042394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t="inlineStr">
        <is>
          <t>MINUS</t>
        </is>
      </c>
      <c r="AA64" t="n">
        <v>1227</v>
      </c>
      <c r="AB64" s="2" t="n">
        <v>6262.009259259259</v>
      </c>
      <c r="AC64" s="2" t="n">
        <v>6957.759259259259</v>
      </c>
      <c r="AD64" s="2" t="n">
        <v>8235.555555555555</v>
      </c>
      <c r="AE64" s="2" t="n">
        <v>9410.944444444442</v>
      </c>
      <c r="AF64" s="2" t="n">
        <v>11162.2962962963</v>
      </c>
      <c r="AG64" s="2" t="n">
        <v>11861.90740740741</v>
      </c>
      <c r="AH64" s="2" t="n">
        <v>11413.2962962963</v>
      </c>
      <c r="AI64" s="2" t="n">
        <v>13565.59259259259</v>
      </c>
      <c r="AJ64" s="2" t="n">
        <v>10010.37037037037</v>
      </c>
      <c r="AK64" s="2" t="n">
        <v>4615.796296296297</v>
      </c>
      <c r="AL64" s="2" t="n">
        <v>0</v>
      </c>
      <c r="AM64" s="2" t="n">
        <v>0</v>
      </c>
      <c r="AN64" s="2" t="n">
        <v>0</v>
      </c>
      <c r="AO64" s="2" t="n">
        <v>0</v>
      </c>
      <c r="AR64" t="n">
        <v>1227</v>
      </c>
      <c r="AS64" t="n">
        <v>471</v>
      </c>
      <c r="AT64" t="n">
        <v>489</v>
      </c>
      <c r="AU64" t="n">
        <v>593</v>
      </c>
      <c r="AV64" t="n">
        <v>694</v>
      </c>
      <c r="AW64" t="n">
        <v>801</v>
      </c>
      <c r="AX64" t="n">
        <v>837</v>
      </c>
      <c r="AY64" t="n">
        <v>919</v>
      </c>
      <c r="AZ64" t="n">
        <v>931</v>
      </c>
      <c r="BA64" t="n">
        <v>730</v>
      </c>
      <c r="BB64" t="n">
        <v>357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1229</v>
      </c>
      <c r="B65" s="2" t="n">
        <v>-33085.0694470805</v>
      </c>
      <c r="C65" s="2" t="n">
        <v>-32046.15136006397</v>
      </c>
      <c r="D65" s="2" t="n">
        <v>-39031.02283495715</v>
      </c>
      <c r="E65" s="2" t="n">
        <v>-40621.76630174377</v>
      </c>
      <c r="F65" s="2" t="n">
        <v>-44351.14471244445</v>
      </c>
      <c r="G65" s="2" t="n">
        <v>-49128.26209883135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t="inlineStr">
        <is>
          <t>MINUS</t>
        </is>
      </c>
      <c r="AA65" t="n">
        <v>1228</v>
      </c>
      <c r="AB65" s="2" t="n">
        <v>5394.611111111111</v>
      </c>
      <c r="AC65" s="2" t="n">
        <v>5423.212962962963</v>
      </c>
      <c r="AD65" s="2" t="n">
        <v>5597.129629629629</v>
      </c>
      <c r="AE65" s="2" t="n">
        <v>3849.129629629629</v>
      </c>
      <c r="AF65" s="2" t="n">
        <v>5023.342592592591</v>
      </c>
      <c r="AG65" s="2" t="n">
        <v>2425.990740740741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R65" t="n">
        <v>1228</v>
      </c>
      <c r="AS65" t="n">
        <v>126</v>
      </c>
      <c r="AT65" t="n">
        <v>136</v>
      </c>
      <c r="AU65" t="n">
        <v>179</v>
      </c>
      <c r="AV65" t="n">
        <v>162</v>
      </c>
      <c r="AW65" t="n">
        <v>167</v>
      </c>
      <c r="AX65" t="n">
        <v>78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1230</v>
      </c>
      <c r="B66" s="2" t="n">
        <v>-33902.85450389532</v>
      </c>
      <c r="C66" s="2" t="n">
        <v>-32608.09023047137</v>
      </c>
      <c r="D66" s="2" t="n">
        <v>-39687.91221814233</v>
      </c>
      <c r="E66" s="2" t="n">
        <v>-41106.8462033734</v>
      </c>
      <c r="F66" s="2" t="n">
        <v>-44783.11992207407</v>
      </c>
      <c r="G66" s="2" t="n">
        <v>-49617.52691501653</v>
      </c>
      <c r="H66" s="2" t="n">
        <v>-60396.83321176353</v>
      </c>
      <c r="I66" s="2" t="n">
        <v>-54642.66413800161</v>
      </c>
      <c r="J66" s="2" t="n">
        <v>-53870.08260550998</v>
      </c>
      <c r="K66" s="2" t="n">
        <v>-40041.94494146467</v>
      </c>
      <c r="L66" s="2" t="n">
        <v>-18690.55886959742</v>
      </c>
      <c r="M66" s="2" t="n">
        <v>-78567.13999728479</v>
      </c>
      <c r="N66" s="2" t="n">
        <v>-37737.52734937891</v>
      </c>
      <c r="O66" s="2" t="n">
        <v>-36338.84566431746</v>
      </c>
      <c r="P66" t="inlineStr">
        <is>
          <t>MINUS</t>
        </is>
      </c>
      <c r="AA66" t="n">
        <v>1229</v>
      </c>
      <c r="AB66" s="2" t="n">
        <v>2388.351851851851</v>
      </c>
      <c r="AC66" s="2" t="n">
        <v>1989.101851851852</v>
      </c>
      <c r="AD66" s="2" t="n">
        <v>2039.037037037037</v>
      </c>
      <c r="AE66" s="2" t="n">
        <v>2354.898148148148</v>
      </c>
      <c r="AF66" s="2" t="n">
        <v>1980.944444444444</v>
      </c>
      <c r="AG66" s="2" t="n">
        <v>1369.981481481482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R66" t="n">
        <v>1229</v>
      </c>
      <c r="AS66" t="n">
        <v>79</v>
      </c>
      <c r="AT66" t="n">
        <v>78</v>
      </c>
      <c r="AU66" t="n">
        <v>79</v>
      </c>
      <c r="AV66" t="n">
        <v>100</v>
      </c>
      <c r="AW66" t="n">
        <v>91</v>
      </c>
      <c r="AX66" t="n">
        <v>40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1231</v>
      </c>
      <c r="B67" s="2" t="n">
        <v>-33889.54214822865</v>
      </c>
      <c r="C67" s="2" t="n">
        <v>-32451.94369965656</v>
      </c>
      <c r="D67" s="2" t="n">
        <v>-39783.45338392011</v>
      </c>
      <c r="E67" s="2" t="n">
        <v>-41474.35720218822</v>
      </c>
      <c r="F67" s="2" t="n">
        <v>-45145.35032670371</v>
      </c>
      <c r="G67" s="2" t="n">
        <v>-50041.42936516468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t="inlineStr">
        <is>
          <t>MINUS</t>
        </is>
      </c>
      <c r="AA67" t="n">
        <v>1230</v>
      </c>
      <c r="AB67" s="2" t="n">
        <v>9883.083333333334</v>
      </c>
      <c r="AC67" s="2" t="n">
        <v>10847.84259259259</v>
      </c>
      <c r="AD67" s="2" t="n">
        <v>11295.80555555556</v>
      </c>
      <c r="AE67" s="2" t="n">
        <v>14021.61111111111</v>
      </c>
      <c r="AF67" s="2" t="n">
        <v>14218.15740740741</v>
      </c>
      <c r="AG67" s="2" t="n">
        <v>13000</v>
      </c>
      <c r="AH67" s="2" t="n">
        <v>14588.31481481481</v>
      </c>
      <c r="AI67" s="2" t="n">
        <v>13695.82407407407</v>
      </c>
      <c r="AJ67" s="2" t="n">
        <v>10080.07407407407</v>
      </c>
      <c r="AK67" s="2" t="n">
        <v>7379.398148148148</v>
      </c>
      <c r="AL67" s="2" t="n">
        <v>7335.481481481481</v>
      </c>
      <c r="AM67" s="2" t="n">
        <v>7836.962962962963</v>
      </c>
      <c r="AN67" s="2" t="n">
        <v>6419.981481481481</v>
      </c>
      <c r="AO67" s="2" t="n">
        <v>6999.888888888889</v>
      </c>
      <c r="AR67" t="n">
        <v>1230</v>
      </c>
      <c r="AS67" t="n">
        <v>410</v>
      </c>
      <c r="AT67" t="n">
        <v>409</v>
      </c>
      <c r="AU67" t="n">
        <v>477</v>
      </c>
      <c r="AV67" t="n">
        <v>568</v>
      </c>
      <c r="AW67" t="n">
        <v>604</v>
      </c>
      <c r="AX67" t="n">
        <v>504</v>
      </c>
      <c r="AY67" t="n">
        <v>488</v>
      </c>
      <c r="AZ67" t="n">
        <v>449</v>
      </c>
      <c r="BA67" t="n">
        <v>393</v>
      </c>
      <c r="BB67" t="n">
        <v>470</v>
      </c>
      <c r="BC67" t="n">
        <v>382</v>
      </c>
      <c r="BD67" t="n">
        <v>367</v>
      </c>
      <c r="BE67" t="n">
        <v>295</v>
      </c>
      <c r="BF67" t="n">
        <v>295</v>
      </c>
    </row>
    <row r="68">
      <c r="A68" t="n">
        <v>1232</v>
      </c>
      <c r="B68" s="2" t="n">
        <v>-33698.70422911754</v>
      </c>
      <c r="C68" s="2" t="n">
        <v>-32430.76500432324</v>
      </c>
      <c r="D68" s="2" t="n">
        <v>-39540.78968673493</v>
      </c>
      <c r="E68" s="2" t="n">
        <v>-41145.75489204007</v>
      </c>
      <c r="F68" s="2" t="n">
        <v>-44844.58372566666</v>
      </c>
      <c r="G68" s="2" t="n">
        <v>-49614.31341549801</v>
      </c>
      <c r="H68" s="2" t="n">
        <v>-60461.06060276354</v>
      </c>
      <c r="I68" s="2" t="n">
        <v>-55408.51847240901</v>
      </c>
      <c r="J68" s="2" t="n">
        <v>-54439.13854473219</v>
      </c>
      <c r="K68" s="2" t="n">
        <v>-40340.38819153875</v>
      </c>
      <c r="L68" s="2" t="n">
        <v>-19375.7669116715</v>
      </c>
      <c r="M68" s="2" t="n">
        <v>-46962.99598533259</v>
      </c>
      <c r="N68" s="2" t="n">
        <v>-35093.1801425641</v>
      </c>
      <c r="O68" s="2" t="n">
        <v>-32178.10337942857</v>
      </c>
      <c r="P68" t="inlineStr">
        <is>
          <t>MINUS</t>
        </is>
      </c>
      <c r="AA68" t="n">
        <v>1231</v>
      </c>
      <c r="AB68" s="2" t="n">
        <v>3444.416666666667</v>
      </c>
      <c r="AC68" s="2" t="n">
        <v>5057.61111111111</v>
      </c>
      <c r="AD68" s="2" t="n">
        <v>3666.833333333333</v>
      </c>
      <c r="AE68" s="2" t="n">
        <v>3440.592592592592</v>
      </c>
      <c r="AF68" s="2" t="n">
        <v>3706.87037037037</v>
      </c>
      <c r="AG68" s="2" t="n">
        <v>1797.814814814815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R68" t="n">
        <v>1231</v>
      </c>
      <c r="AS68" t="n">
        <v>142</v>
      </c>
      <c r="AT68" t="n">
        <v>155</v>
      </c>
      <c r="AU68" t="n">
        <v>143</v>
      </c>
      <c r="AV68" t="n">
        <v>147</v>
      </c>
      <c r="AW68" t="n">
        <v>132</v>
      </c>
      <c r="AX68" t="n">
        <v>62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1233</v>
      </c>
      <c r="B69" s="2" t="n">
        <v>-33610.63257063606</v>
      </c>
      <c r="C69" s="2" t="n">
        <v>-32386.1917032862</v>
      </c>
      <c r="D69" s="2" t="n">
        <v>-39555.33323740159</v>
      </c>
      <c r="E69" s="2" t="n">
        <v>-41042.62524822525</v>
      </c>
      <c r="F69" s="2" t="n">
        <v>-44814.14036814815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t="inlineStr">
        <is>
          <t>MINUS</t>
        </is>
      </c>
      <c r="AA69" t="n">
        <v>1232</v>
      </c>
      <c r="AB69" s="2" t="n">
        <v>3404.805555555556</v>
      </c>
      <c r="AC69" s="2" t="n">
        <v>5158.527777777777</v>
      </c>
      <c r="AD69" s="2" t="n">
        <v>4210.564814814815</v>
      </c>
      <c r="AE69" s="2" t="n">
        <v>4835.277777777777</v>
      </c>
      <c r="AF69" s="2" t="n">
        <v>4790.666666666666</v>
      </c>
      <c r="AG69" s="2" t="n">
        <v>4265.148148148149</v>
      </c>
      <c r="AH69" s="2" t="n">
        <v>5106.564814814815</v>
      </c>
      <c r="AI69" s="2" t="n">
        <v>5511.064814814814</v>
      </c>
      <c r="AJ69" s="2" t="n">
        <v>4050.046296296296</v>
      </c>
      <c r="AK69" s="2" t="n">
        <v>4318.555555555556</v>
      </c>
      <c r="AL69" s="2" t="n">
        <v>51.13888888888889</v>
      </c>
      <c r="AM69" s="2" t="n">
        <v>292.6481481481482</v>
      </c>
      <c r="AN69" s="2" t="n">
        <v>81.85185185185185</v>
      </c>
      <c r="AO69" s="2" t="n">
        <v>760.8148148148147</v>
      </c>
      <c r="AR69" t="n">
        <v>1232</v>
      </c>
      <c r="AS69" t="n">
        <v>115</v>
      </c>
      <c r="AT69" t="n">
        <v>156</v>
      </c>
      <c r="AU69" t="n">
        <v>108</v>
      </c>
      <c r="AV69" t="n">
        <v>149</v>
      </c>
      <c r="AW69" t="n">
        <v>119</v>
      </c>
      <c r="AX69" t="n">
        <v>127</v>
      </c>
      <c r="AY69" t="n">
        <v>135</v>
      </c>
      <c r="AZ69" t="n">
        <v>139</v>
      </c>
      <c r="BA69" t="n">
        <v>125</v>
      </c>
      <c r="BB69" t="n">
        <v>140</v>
      </c>
      <c r="BC69" t="n">
        <v>5</v>
      </c>
      <c r="BD69" t="n">
        <v>28</v>
      </c>
      <c r="BE69" t="n">
        <v>17</v>
      </c>
      <c r="BF69" t="n">
        <v>86</v>
      </c>
    </row>
    <row r="70">
      <c r="A70" t="n">
        <v>1234</v>
      </c>
      <c r="B70" s="2" t="n">
        <v>-33936.94373989532</v>
      </c>
      <c r="C70" s="2" t="n">
        <v>-30991.33482536027</v>
      </c>
      <c r="D70" s="2" t="n">
        <v>-38242.37618847566</v>
      </c>
      <c r="E70" s="2" t="n">
        <v>-39758.04640948452</v>
      </c>
      <c r="F70" s="2" t="n">
        <v>-43543.01562374074</v>
      </c>
      <c r="G70" s="2" t="n">
        <v>-48178.13929616468</v>
      </c>
      <c r="H70" s="2" t="n">
        <v>-59042.07543705982</v>
      </c>
      <c r="I70" s="2" t="n">
        <v>-53857.85381248309</v>
      </c>
      <c r="J70" s="2" t="n">
        <v>-53068.82580532479</v>
      </c>
      <c r="K70" s="2" t="n">
        <v>-39033.12180631652</v>
      </c>
      <c r="L70" s="2" t="n">
        <v>-17713.44737996779</v>
      </c>
      <c r="M70" s="2" t="n">
        <v>-77680.0463102848</v>
      </c>
      <c r="N70" s="2" t="n">
        <v>-36840.05622008262</v>
      </c>
      <c r="O70" s="2" t="n">
        <v>-35114.97595883597</v>
      </c>
      <c r="P70" t="inlineStr">
        <is>
          <t>MINUS</t>
        </is>
      </c>
      <c r="AA70" t="n">
        <v>1233</v>
      </c>
      <c r="AB70" s="2" t="n">
        <v>3991.657407407407</v>
      </c>
      <c r="AC70" s="2" t="n">
        <v>3942.574074074074</v>
      </c>
      <c r="AD70" s="2" t="n">
        <v>3660.231481481481</v>
      </c>
      <c r="AE70" s="2" t="n">
        <v>5314.796296296296</v>
      </c>
      <c r="AF70" s="2" t="n">
        <v>4461.314814814814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R70" t="n">
        <v>1233</v>
      </c>
      <c r="AS70" t="n">
        <v>137</v>
      </c>
      <c r="AT70" t="n">
        <v>135</v>
      </c>
      <c r="AU70" t="n">
        <v>157</v>
      </c>
      <c r="AV70" t="n">
        <v>198</v>
      </c>
      <c r="AW70" t="n">
        <v>156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1235</v>
      </c>
      <c r="B71" s="2" t="n">
        <v>-31387.51272871013</v>
      </c>
      <c r="C71" s="2" t="n">
        <v>-30562.5194445825</v>
      </c>
      <c r="D71" s="2" t="n">
        <v>-37102.39910395714</v>
      </c>
      <c r="E71" s="2" t="n">
        <v>-38164.41330070674</v>
      </c>
      <c r="F71" s="2" t="n">
        <v>-41698.10306366667</v>
      </c>
      <c r="G71" s="2" t="n">
        <v>-47838.82026334987</v>
      </c>
      <c r="H71" s="2" t="n">
        <v>-53567.04098247799</v>
      </c>
      <c r="I71" s="2" t="n">
        <v>-53506.66804877938</v>
      </c>
      <c r="J71" s="2" t="n">
        <v>-52881.88607328775</v>
      </c>
      <c r="K71" s="2" t="n">
        <v>-38261.61838379801</v>
      </c>
      <c r="L71" s="2" t="n">
        <v>-16744.65545741224</v>
      </c>
      <c r="M71" s="2" t="n">
        <v>-76676.46699098851</v>
      </c>
      <c r="N71" s="2" t="n">
        <v>-35389.10327004558</v>
      </c>
      <c r="O71" s="2" t="n">
        <v>-34804.88677472486</v>
      </c>
      <c r="P71" t="inlineStr">
        <is>
          <t>MINUS</t>
        </is>
      </c>
      <c r="AA71" t="n">
        <v>1234</v>
      </c>
      <c r="AB71" s="2" t="n">
        <v>7790.759259259259</v>
      </c>
      <c r="AC71" s="2" t="n">
        <v>7763.148148148147</v>
      </c>
      <c r="AD71" s="2" t="n">
        <v>7698.203703703703</v>
      </c>
      <c r="AE71" s="2" t="n">
        <v>9666.370370370369</v>
      </c>
      <c r="AF71" s="2" t="n">
        <v>9584.185185185184</v>
      </c>
      <c r="AG71" s="2" t="n">
        <v>9906.499999999998</v>
      </c>
      <c r="AH71" s="2" t="n">
        <v>11777.27777777778</v>
      </c>
      <c r="AI71" s="2" t="n">
        <v>15468.56481481481</v>
      </c>
      <c r="AJ71" s="2" t="n">
        <v>9418.537037037036</v>
      </c>
      <c r="AK71" s="2" t="n">
        <v>8162.249999999999</v>
      </c>
      <c r="AL71" s="2" t="n">
        <v>7580.583333333333</v>
      </c>
      <c r="AM71" s="2" t="n">
        <v>7047.759259259259</v>
      </c>
      <c r="AN71" s="2" t="n">
        <v>4064.157407407407</v>
      </c>
      <c r="AO71" s="2" t="n">
        <v>5897.037037037036</v>
      </c>
      <c r="AR71" t="n">
        <v>1234</v>
      </c>
      <c r="AS71" t="n">
        <v>534</v>
      </c>
      <c r="AT71" t="n">
        <v>511</v>
      </c>
      <c r="AU71" t="n">
        <v>563</v>
      </c>
      <c r="AV71" t="n">
        <v>624</v>
      </c>
      <c r="AW71" t="n">
        <v>679</v>
      </c>
      <c r="AX71" t="n">
        <v>734</v>
      </c>
      <c r="AY71" t="n">
        <v>814</v>
      </c>
      <c r="AZ71" t="n">
        <v>995</v>
      </c>
      <c r="BA71" t="n">
        <v>651</v>
      </c>
      <c r="BB71" t="n">
        <v>559</v>
      </c>
      <c r="BC71" t="n">
        <v>514</v>
      </c>
      <c r="BD71" t="n">
        <v>463</v>
      </c>
      <c r="BE71" t="n">
        <v>261</v>
      </c>
      <c r="BF71" t="n">
        <v>408</v>
      </c>
    </row>
    <row r="72">
      <c r="A72" t="n">
        <v>1236</v>
      </c>
      <c r="B72" s="2" t="n">
        <v>-29946.23026556199</v>
      </c>
      <c r="C72" s="2" t="n">
        <v>-28872.08032854546</v>
      </c>
      <c r="D72" s="2" t="n">
        <v>-35860.43813758677</v>
      </c>
      <c r="E72" s="2" t="n">
        <v>-37481.35589926229</v>
      </c>
      <c r="F72" s="2" t="n">
        <v>-13160.46992574194</v>
      </c>
      <c r="G72" s="2" t="n">
        <v>-45898.09263801653</v>
      </c>
      <c r="H72" s="2" t="n">
        <v>-56822.32762761538</v>
      </c>
      <c r="I72" s="2" t="n">
        <v>-51804.95931726086</v>
      </c>
      <c r="J72" s="2" t="n">
        <v>-50705.12431976923</v>
      </c>
      <c r="K72" s="2" t="n">
        <v>-36632.2629629832</v>
      </c>
      <c r="L72" s="2" t="n">
        <v>-15278.33086878261</v>
      </c>
      <c r="M72" s="2" t="n">
        <v>-75198.86342765517</v>
      </c>
      <c r="N72" s="2" t="n">
        <v>-33690.9653315641</v>
      </c>
      <c r="O72" s="2" t="n">
        <v>-33077.67312442857</v>
      </c>
      <c r="P72" t="inlineStr">
        <is>
          <t>MINUS</t>
        </is>
      </c>
      <c r="AA72" t="n">
        <v>1235</v>
      </c>
      <c r="AB72" s="2" t="n">
        <v>31603.28703703703</v>
      </c>
      <c r="AC72" s="2" t="n">
        <v>28082.59259259259</v>
      </c>
      <c r="AD72" s="2" t="n">
        <v>33895.2037037037</v>
      </c>
      <c r="AE72" s="2" t="n">
        <v>40569.71296296296</v>
      </c>
      <c r="AF72" s="2" t="n">
        <v>42696.37962962963</v>
      </c>
      <c r="AG72" s="2" t="n">
        <v>24583.58333333333</v>
      </c>
      <c r="AH72" s="2" t="n">
        <v>18796.90740740741</v>
      </c>
      <c r="AI72" s="2" t="n">
        <v>27902.85185185185</v>
      </c>
      <c r="AJ72" s="2" t="n">
        <v>21813.73148148148</v>
      </c>
      <c r="AK72" s="2" t="n">
        <v>29033.46296296296</v>
      </c>
      <c r="AL72" s="2" t="n">
        <v>30925.06481481481</v>
      </c>
      <c r="AM72" s="2" t="n">
        <v>31007.87962962963</v>
      </c>
      <c r="AN72" s="2" t="n">
        <v>27416.91666666667</v>
      </c>
      <c r="AO72" s="2" t="n">
        <v>27186.37962962963</v>
      </c>
      <c r="AR72" t="n">
        <v>1235</v>
      </c>
      <c r="AS72" t="n">
        <v>1915</v>
      </c>
      <c r="AT72" t="n">
        <v>1719</v>
      </c>
      <c r="AU72" t="n">
        <v>1953</v>
      </c>
      <c r="AV72" t="n">
        <v>2260</v>
      </c>
      <c r="AW72" t="n">
        <v>2419</v>
      </c>
      <c r="AX72" t="n">
        <v>1389</v>
      </c>
      <c r="AY72" t="n">
        <v>995</v>
      </c>
      <c r="AZ72" t="n">
        <v>1542</v>
      </c>
      <c r="BA72" t="n">
        <v>1353</v>
      </c>
      <c r="BB72" t="n">
        <v>1889</v>
      </c>
      <c r="BC72" t="n">
        <v>1902</v>
      </c>
      <c r="BD72" t="n">
        <v>1828</v>
      </c>
      <c r="BE72" t="n">
        <v>1739</v>
      </c>
      <c r="BF72" t="n">
        <v>1777</v>
      </c>
    </row>
    <row r="73">
      <c r="A73" t="n">
        <v>1237</v>
      </c>
      <c r="B73" s="2" t="n">
        <v>-30793.79718782124</v>
      </c>
      <c r="C73" s="2" t="n">
        <v>-30188.21017165657</v>
      </c>
      <c r="D73" s="2" t="n">
        <v>-36226.33788614233</v>
      </c>
      <c r="E73" s="2" t="n">
        <v>-38425.34730681785</v>
      </c>
      <c r="F73" s="2" t="n">
        <v>-41263.79725855556</v>
      </c>
      <c r="G73" s="2" t="n">
        <v>-45422.35760297949</v>
      </c>
      <c r="H73" s="2" t="n">
        <v>-56700.02422350428</v>
      </c>
      <c r="I73" s="2" t="n">
        <v>-51763.07082626087</v>
      </c>
      <c r="J73" s="2" t="n">
        <v>-51450.59003158405</v>
      </c>
      <c r="K73" s="2" t="n">
        <v>-32351.21679946468</v>
      </c>
      <c r="L73" s="2" t="n">
        <v>-15842.3109393752</v>
      </c>
      <c r="M73" s="2" t="n">
        <v>-75932.35564065519</v>
      </c>
      <c r="N73" s="2" t="n">
        <v>-34867.93146326781</v>
      </c>
      <c r="O73" s="2" t="n">
        <v>-34130.9947483545</v>
      </c>
      <c r="P73" t="inlineStr">
        <is>
          <t>MINUS</t>
        </is>
      </c>
      <c r="AA73" t="n">
        <v>1236</v>
      </c>
      <c r="AB73" s="2" t="n">
        <v>3315.12037037037</v>
      </c>
      <c r="AC73" s="2" t="n">
        <v>2647.722222222222</v>
      </c>
      <c r="AD73" s="2" t="n">
        <v>3565.25925925926</v>
      </c>
      <c r="AE73" s="2" t="n">
        <v>2996.805555555556</v>
      </c>
      <c r="AF73" s="2" t="n">
        <v>2860.351851851852</v>
      </c>
      <c r="AG73" s="2" t="n">
        <v>2974.074074074074</v>
      </c>
      <c r="AH73" s="2" t="n">
        <v>2947.25</v>
      </c>
      <c r="AI73" s="2" t="n">
        <v>4009.435185185185</v>
      </c>
      <c r="AJ73" s="2" t="n">
        <v>2533.972222222222</v>
      </c>
      <c r="AK73" s="2" t="n">
        <v>1649.12037037037</v>
      </c>
      <c r="AL73" s="2" t="n">
        <v>1773.277777777778</v>
      </c>
      <c r="AM73" s="2" t="n">
        <v>1755.537037037037</v>
      </c>
      <c r="AN73" s="2" t="n">
        <v>1161.194444444444</v>
      </c>
      <c r="AO73" s="2" t="n">
        <v>970.4907407407405</v>
      </c>
      <c r="AR73" t="n">
        <v>1236</v>
      </c>
      <c r="AS73" t="n">
        <v>213</v>
      </c>
      <c r="AT73" t="n">
        <v>200</v>
      </c>
      <c r="AU73" t="n">
        <v>230</v>
      </c>
      <c r="AV73" t="n">
        <v>190</v>
      </c>
      <c r="AW73" t="n">
        <v>188</v>
      </c>
      <c r="AX73" t="n">
        <v>181</v>
      </c>
      <c r="AY73" t="n">
        <v>176</v>
      </c>
      <c r="AZ73" t="n">
        <v>216</v>
      </c>
      <c r="BA73" t="n">
        <v>172</v>
      </c>
      <c r="BB73" t="n">
        <v>131</v>
      </c>
      <c r="BC73" t="n">
        <v>131</v>
      </c>
      <c r="BD73" t="n">
        <v>118</v>
      </c>
      <c r="BE73" t="n">
        <v>98</v>
      </c>
      <c r="BF73" t="n">
        <v>72</v>
      </c>
    </row>
    <row r="74">
      <c r="A74" t="n">
        <v>1238</v>
      </c>
      <c r="B74" s="2" t="n">
        <v>-31747.79922226569</v>
      </c>
      <c r="C74" s="2" t="n">
        <v>-30787.48653865657</v>
      </c>
      <c r="D74" s="2" t="n">
        <v>-37433.72459217937</v>
      </c>
      <c r="E74" s="2" t="n">
        <v>-38427.50618670674</v>
      </c>
      <c r="F74" s="2" t="n">
        <v>-42546.7215772963</v>
      </c>
      <c r="G74" s="2" t="n">
        <v>-47173.11097409061</v>
      </c>
      <c r="H74" s="2" t="n">
        <v>-57959.86446276353</v>
      </c>
      <c r="I74" s="2" t="n">
        <v>-52942.20249733493</v>
      </c>
      <c r="J74" s="2" t="n">
        <v>-52457.48813254701</v>
      </c>
      <c r="K74" s="2" t="n">
        <v>-38532.01644542764</v>
      </c>
      <c r="L74" s="2" t="n">
        <v>-18747.22383363446</v>
      </c>
      <c r="M74" s="2" t="n">
        <v>-58649.87044971252</v>
      </c>
      <c r="N74" s="2" t="n">
        <v>-36662.86514567521</v>
      </c>
      <c r="O74" s="2" t="n">
        <v>-36127.4431507619</v>
      </c>
      <c r="P74" t="inlineStr">
        <is>
          <t>MINUS</t>
        </is>
      </c>
      <c r="AA74" t="n">
        <v>1237</v>
      </c>
      <c r="AB74" s="2" t="n">
        <v>38586.64814814815</v>
      </c>
      <c r="AC74" s="2" t="n">
        <v>32972.72222222222</v>
      </c>
      <c r="AD74" s="2" t="n">
        <v>44892.33333333334</v>
      </c>
      <c r="AE74" s="2" t="n">
        <v>37496.29629629629</v>
      </c>
      <c r="AF74" s="2" t="n">
        <v>47805.93518518518</v>
      </c>
      <c r="AG74" s="2" t="n">
        <v>55360.19444444444</v>
      </c>
      <c r="AH74" s="2" t="n">
        <v>50732.59259259258</v>
      </c>
      <c r="AI74" s="2" t="n">
        <v>49626.97222222222</v>
      </c>
      <c r="AJ74" s="2" t="n">
        <v>40138.56481481481</v>
      </c>
      <c r="AK74" s="2" t="n">
        <v>40209.72222222222</v>
      </c>
      <c r="AL74" s="2" t="n">
        <v>42579.04629629629</v>
      </c>
      <c r="AM74" s="2" t="n">
        <v>40701.78703703703</v>
      </c>
      <c r="AN74" s="2" t="n">
        <v>34126.76851851851</v>
      </c>
      <c r="AO74" s="2" t="n">
        <v>35380.1574074074</v>
      </c>
      <c r="AR74" t="n">
        <v>1237</v>
      </c>
      <c r="AS74" t="n">
        <v>2311</v>
      </c>
      <c r="AT74" t="n">
        <v>1979</v>
      </c>
      <c r="AU74" t="n">
        <v>2606</v>
      </c>
      <c r="AV74" t="n">
        <v>2182</v>
      </c>
      <c r="AW74" t="n">
        <v>2713</v>
      </c>
      <c r="AX74" t="n">
        <v>3164</v>
      </c>
      <c r="AY74" t="n">
        <v>2813</v>
      </c>
      <c r="AZ74" t="n">
        <v>2700</v>
      </c>
      <c r="BA74" t="n">
        <v>2383</v>
      </c>
      <c r="BB74" t="n">
        <v>2358</v>
      </c>
      <c r="BC74" t="n">
        <v>2610</v>
      </c>
      <c r="BD74" t="n">
        <v>2495</v>
      </c>
      <c r="BE74" t="n">
        <v>2235</v>
      </c>
      <c r="BF74" t="n">
        <v>2177</v>
      </c>
    </row>
    <row r="75">
      <c r="A75" t="n">
        <v>1239</v>
      </c>
      <c r="B75" s="2" t="n">
        <v>-27880.72327856199</v>
      </c>
      <c r="C75" s="2" t="n">
        <v>-27728.96076532323</v>
      </c>
      <c r="D75" s="2" t="n">
        <v>-33413.17343321641</v>
      </c>
      <c r="E75" s="2" t="n">
        <v>-34591.26170559563</v>
      </c>
      <c r="F75" s="2" t="n">
        <v>-38321.93781381482</v>
      </c>
      <c r="G75" s="2" t="n">
        <v>-42523.27615760913</v>
      </c>
      <c r="H75" s="2" t="n">
        <v>-55087.64357609687</v>
      </c>
      <c r="I75" s="2" t="n">
        <v>-51380.60530252013</v>
      </c>
      <c r="J75" s="2" t="n">
        <v>-50387.34573806553</v>
      </c>
      <c r="K75" s="2" t="n">
        <v>-34121.56359164986</v>
      </c>
      <c r="L75" s="2" t="n">
        <v>-14182.50791956038</v>
      </c>
      <c r="M75" s="2" t="n">
        <v>-73432.69396732184</v>
      </c>
      <c r="N75" s="2" t="n">
        <v>-32349.41522289743</v>
      </c>
      <c r="O75" s="2" t="n">
        <v>-4666.217932476189</v>
      </c>
      <c r="P75" t="inlineStr">
        <is>
          <t>MINUS</t>
        </is>
      </c>
      <c r="AA75" t="n">
        <v>1238</v>
      </c>
      <c r="AB75" s="2" t="n">
        <v>26908.7037037037</v>
      </c>
      <c r="AC75" s="2" t="n">
        <v>25093.16666666666</v>
      </c>
      <c r="AD75" s="2" t="n">
        <v>29651.05555555555</v>
      </c>
      <c r="AE75" s="2" t="n">
        <v>37200.72222222221</v>
      </c>
      <c r="AF75" s="2" t="n">
        <v>32073.08333333333</v>
      </c>
      <c r="AG75" s="2" t="n">
        <v>33335.73148148148</v>
      </c>
      <c r="AH75" s="2" t="n">
        <v>35175.22222222222</v>
      </c>
      <c r="AI75" s="2" t="n">
        <v>35435.2037037037</v>
      </c>
      <c r="AJ75" s="2" t="n">
        <v>27420.27777777777</v>
      </c>
      <c r="AK75" s="2" t="n">
        <v>25591.48148148148</v>
      </c>
      <c r="AL75" s="2" t="n">
        <v>5839.731481481481</v>
      </c>
      <c r="AM75" s="2" t="n">
        <v>10524.87962962963</v>
      </c>
      <c r="AN75" s="2" t="n">
        <v>11843.93518518518</v>
      </c>
      <c r="AO75" s="2" t="n">
        <v>10821.35185185185</v>
      </c>
      <c r="AR75" t="n">
        <v>1238</v>
      </c>
      <c r="AS75" t="n">
        <v>1615</v>
      </c>
      <c r="AT75" t="n">
        <v>1480</v>
      </c>
      <c r="AU75" t="n">
        <v>1726</v>
      </c>
      <c r="AV75" t="n">
        <v>2041</v>
      </c>
      <c r="AW75" t="n">
        <v>1816</v>
      </c>
      <c r="AX75" t="n">
        <v>1878</v>
      </c>
      <c r="AY75" t="n">
        <v>1935</v>
      </c>
      <c r="AZ75" t="n">
        <v>2003</v>
      </c>
      <c r="BA75" t="n">
        <v>1674</v>
      </c>
      <c r="BB75" t="n">
        <v>1493</v>
      </c>
      <c r="BC75" t="n">
        <v>407</v>
      </c>
      <c r="BD75" t="n">
        <v>668</v>
      </c>
      <c r="BE75" t="n">
        <v>785</v>
      </c>
      <c r="BF75" t="n">
        <v>697</v>
      </c>
    </row>
    <row r="76">
      <c r="A76" t="n">
        <v>1240</v>
      </c>
      <c r="B76" s="2" t="n">
        <v>-25960.22004193236</v>
      </c>
      <c r="C76" s="2" t="n">
        <v>-25941.58046828619</v>
      </c>
      <c r="D76" s="2" t="n">
        <v>-31303.64551073492</v>
      </c>
      <c r="E76" s="2" t="n">
        <v>-33701.73719252156</v>
      </c>
      <c r="F76" s="2" t="n">
        <v>-36551.47927662963</v>
      </c>
      <c r="G76" s="2" t="n">
        <v>-40985.24437223875</v>
      </c>
      <c r="H76" s="2" t="n">
        <v>-51531.12630576353</v>
      </c>
      <c r="I76" s="2" t="n">
        <v>-47447.8515995942</v>
      </c>
      <c r="J76" s="2" t="n">
        <v>-47234.3340551396</v>
      </c>
      <c r="K76" s="2" t="n">
        <v>-32930.53020305727</v>
      </c>
      <c r="L76" s="2" t="n">
        <v>-12078.99216022705</v>
      </c>
      <c r="M76" s="2" t="n">
        <v>-73959.99374046999</v>
      </c>
      <c r="N76" s="2" t="n">
        <v>-32828.80876404559</v>
      </c>
      <c r="O76" s="2" t="n">
        <v>-2213.594090328041</v>
      </c>
      <c r="P76" t="inlineStr">
        <is>
          <t>MINUS</t>
        </is>
      </c>
      <c r="AA76" t="n">
        <v>1239</v>
      </c>
      <c r="AB76" s="2" t="n">
        <v>76740.91666666666</v>
      </c>
      <c r="AC76" s="2" t="n">
        <v>64396.51851851851</v>
      </c>
      <c r="AD76" s="2" t="n">
        <v>81235.10185185185</v>
      </c>
      <c r="AE76" s="2" t="n">
        <v>86860.45370370369</v>
      </c>
      <c r="AF76" s="2" t="n">
        <v>86397.38888888888</v>
      </c>
      <c r="AG76" s="2" t="n">
        <v>92685.07407407407</v>
      </c>
      <c r="AH76" s="2" t="n">
        <v>71872.6574074074</v>
      </c>
      <c r="AI76" s="2" t="n">
        <v>55612.55555555555</v>
      </c>
      <c r="AJ76" s="2" t="n">
        <v>54098.09259259258</v>
      </c>
      <c r="AK76" s="2" t="n">
        <v>81970.92592592593</v>
      </c>
      <c r="AL76" s="2" t="n">
        <v>64016.43518518518</v>
      </c>
      <c r="AM76" s="2" t="n">
        <v>73647.37037037036</v>
      </c>
      <c r="AN76" s="2" t="n">
        <v>65689.20370370369</v>
      </c>
      <c r="AO76" s="2" t="n">
        <v>37317.02777777777</v>
      </c>
      <c r="AR76" t="n">
        <v>1239</v>
      </c>
      <c r="AS76" t="n">
        <v>4628</v>
      </c>
      <c r="AT76" t="n">
        <v>4033</v>
      </c>
      <c r="AU76" t="n">
        <v>4863</v>
      </c>
      <c r="AV76" t="n">
        <v>5120</v>
      </c>
      <c r="AW76" t="n">
        <v>5102</v>
      </c>
      <c r="AX76" t="n">
        <v>5319</v>
      </c>
      <c r="AY76" t="n">
        <v>3973</v>
      </c>
      <c r="AZ76" t="n">
        <v>3130</v>
      </c>
      <c r="BA76" t="n">
        <v>3454</v>
      </c>
      <c r="BB76" t="n">
        <v>5037</v>
      </c>
      <c r="BC76" t="n">
        <v>3961</v>
      </c>
      <c r="BD76" t="n">
        <v>4591</v>
      </c>
      <c r="BE76" t="n">
        <v>4008</v>
      </c>
      <c r="BF76" t="n">
        <v>2407</v>
      </c>
    </row>
    <row r="77">
      <c r="A77" t="n">
        <v>1241</v>
      </c>
      <c r="B77" s="2" t="n">
        <v>-32313.23440874717</v>
      </c>
      <c r="C77" s="2" t="n">
        <v>-31468.64286010101</v>
      </c>
      <c r="D77" s="2" t="n">
        <v>-38300.07261173492</v>
      </c>
      <c r="E77" s="2" t="n">
        <v>-39837.76401478081</v>
      </c>
      <c r="F77" s="2" t="n">
        <v>-43569.02945851852</v>
      </c>
      <c r="G77" s="2" t="n">
        <v>-48266.62502597949</v>
      </c>
      <c r="H77" s="2" t="n">
        <v>-53682.62348588539</v>
      </c>
      <c r="I77" s="2" t="n">
        <v>-54917.53884918679</v>
      </c>
      <c r="J77" s="2" t="n">
        <v>-54030.92544984331</v>
      </c>
      <c r="K77" s="2" t="n">
        <v>-40071.7145243906</v>
      </c>
      <c r="L77" s="2" t="n">
        <v>-18682.46088733816</v>
      </c>
      <c r="M77" s="2" t="n">
        <v>-78411.57719824776</v>
      </c>
      <c r="N77" s="2" t="n">
        <v>-37656.98657234188</v>
      </c>
      <c r="O77" s="2" t="n">
        <v>-36302.54981646561</v>
      </c>
      <c r="P77" t="inlineStr">
        <is>
          <t>MINUS</t>
        </is>
      </c>
      <c r="AA77" t="n">
        <v>1240</v>
      </c>
      <c r="AB77" s="2" t="n">
        <v>101352.9722222222</v>
      </c>
      <c r="AC77" s="2" t="n">
        <v>87611.53703703704</v>
      </c>
      <c r="AD77" s="2" t="n">
        <v>108354.5</v>
      </c>
      <c r="AE77" s="2" t="n">
        <v>99751.23148148149</v>
      </c>
      <c r="AF77" s="2" t="n">
        <v>108384.5833333333</v>
      </c>
      <c r="AG77" s="2" t="n">
        <v>112130.5648148148</v>
      </c>
      <c r="AH77" s="2" t="n">
        <v>116317.787037037</v>
      </c>
      <c r="AI77" s="2" t="n">
        <v>105406.2962962963</v>
      </c>
      <c r="AJ77" s="2" t="n">
        <v>94124.70370370371</v>
      </c>
      <c r="AK77" s="2" t="n">
        <v>96919.33333333331</v>
      </c>
      <c r="AL77" s="2" t="n">
        <v>91482.8425925926</v>
      </c>
      <c r="AM77" s="2" t="n">
        <v>66537.37037037036</v>
      </c>
      <c r="AN77" s="2" t="n">
        <v>60044.43518518518</v>
      </c>
      <c r="AO77" s="2" t="n">
        <v>68173.54629629631</v>
      </c>
      <c r="AR77" t="n">
        <v>1240</v>
      </c>
      <c r="AS77" t="n">
        <v>6007</v>
      </c>
      <c r="AT77" t="n">
        <v>5530</v>
      </c>
      <c r="AU77" t="n">
        <v>6595</v>
      </c>
      <c r="AV77" t="n">
        <v>5874</v>
      </c>
      <c r="AW77" t="n">
        <v>6251</v>
      </c>
      <c r="AX77" t="n">
        <v>6308</v>
      </c>
      <c r="AY77" t="n">
        <v>6127</v>
      </c>
      <c r="AZ77" t="n">
        <v>5524</v>
      </c>
      <c r="BA77" t="n">
        <v>5313</v>
      </c>
      <c r="BB77" t="n">
        <v>5879</v>
      </c>
      <c r="BC77" t="n">
        <v>5398</v>
      </c>
      <c r="BD77" t="n">
        <v>3977</v>
      </c>
      <c r="BE77" t="n">
        <v>3684</v>
      </c>
      <c r="BF77" t="n">
        <v>4161</v>
      </c>
    </row>
    <row r="78">
      <c r="A78" t="n">
        <v>1242</v>
      </c>
      <c r="B78" s="2" t="n">
        <v>-32493.85541771013</v>
      </c>
      <c r="C78" s="2" t="n">
        <v>-31281.83052524915</v>
      </c>
      <c r="D78" s="2" t="n">
        <v>-38412.66219147566</v>
      </c>
      <c r="E78" s="2" t="n">
        <v>-40034.1998390771</v>
      </c>
      <c r="F78" s="2" t="n">
        <v>-43656.19332114815</v>
      </c>
      <c r="G78" s="2" t="n">
        <v>-48320.95534142393</v>
      </c>
      <c r="H78" s="2" t="n">
        <v>-58804.30602765242</v>
      </c>
      <c r="I78" s="2" t="n">
        <v>-53977.65555033494</v>
      </c>
      <c r="J78" s="2" t="n">
        <v>-53391.05663050997</v>
      </c>
      <c r="K78" s="2" t="n">
        <v>-39342.81483346467</v>
      </c>
      <c r="L78" s="2" t="n">
        <v>-18219.93982441224</v>
      </c>
      <c r="M78" s="2" t="n">
        <v>-78244.64833761813</v>
      </c>
      <c r="N78" s="2" t="n">
        <v>-37310.09800834188</v>
      </c>
      <c r="O78" s="2" t="n">
        <v>-35629.73348398413</v>
      </c>
      <c r="P78" t="inlineStr">
        <is>
          <t>MINUS</t>
        </is>
      </c>
      <c r="AA78" t="n">
        <v>1241</v>
      </c>
      <c r="AB78" s="2" t="n">
        <v>12701.16666666667</v>
      </c>
      <c r="AC78" s="2" t="n">
        <v>9640.111111111111</v>
      </c>
      <c r="AD78" s="2" t="n">
        <v>11858.23148148148</v>
      </c>
      <c r="AE78" s="2" t="n">
        <v>12864.12037037037</v>
      </c>
      <c r="AF78" s="2" t="n">
        <v>12336.31481481481</v>
      </c>
      <c r="AG78" s="2" t="n">
        <v>12694.24074074074</v>
      </c>
      <c r="AH78" s="2" t="n">
        <v>10836.77777777778</v>
      </c>
      <c r="AI78" s="2" t="n">
        <v>12737.58333333333</v>
      </c>
      <c r="AJ78" s="2" t="n">
        <v>10003.26851851852</v>
      </c>
      <c r="AK78" s="2" t="n">
        <v>8215.305555555555</v>
      </c>
      <c r="AL78" s="2" t="n">
        <v>9029.490740740739</v>
      </c>
      <c r="AM78" s="2" t="n">
        <v>11195.87037037037</v>
      </c>
      <c r="AN78" s="2" t="n">
        <v>8561.796296296296</v>
      </c>
      <c r="AO78" s="2" t="n">
        <v>8735.851851851852</v>
      </c>
      <c r="AR78" t="n">
        <v>1241</v>
      </c>
      <c r="AS78" t="n">
        <v>602</v>
      </c>
      <c r="AT78" t="n">
        <v>422</v>
      </c>
      <c r="AU78" t="n">
        <v>530</v>
      </c>
      <c r="AV78" t="n">
        <v>533</v>
      </c>
      <c r="AW78" t="n">
        <v>548</v>
      </c>
      <c r="AX78" t="n">
        <v>543</v>
      </c>
      <c r="AY78" t="n">
        <v>470</v>
      </c>
      <c r="AZ78" t="n">
        <v>542</v>
      </c>
      <c r="BA78" t="n">
        <v>476</v>
      </c>
      <c r="BB78" t="n">
        <v>379</v>
      </c>
      <c r="BC78" t="n">
        <v>406</v>
      </c>
      <c r="BD78" t="n">
        <v>433</v>
      </c>
      <c r="BE78" t="n">
        <v>386</v>
      </c>
      <c r="BF78" t="n">
        <v>383</v>
      </c>
    </row>
    <row r="79">
      <c r="A79" t="n">
        <v>1243</v>
      </c>
      <c r="B79" s="2" t="n">
        <v>-32840.06001448791</v>
      </c>
      <c r="C79" s="2" t="n">
        <v>-31644.59118417508</v>
      </c>
      <c r="D79" s="2" t="n">
        <v>-38701.2364915127</v>
      </c>
      <c r="E79" s="2" t="n">
        <v>-40241.7004626697</v>
      </c>
      <c r="F79" s="2" t="n">
        <v>-43660.2829458148</v>
      </c>
      <c r="G79" s="2" t="n">
        <v>-48496.56087142394</v>
      </c>
      <c r="H79" s="2" t="n">
        <v>-59416.6149698376</v>
      </c>
      <c r="I79" s="2" t="n">
        <v>-54362.83046077939</v>
      </c>
      <c r="J79" s="2" t="n">
        <v>-53735.84277299145</v>
      </c>
      <c r="K79" s="2" t="n">
        <v>-39727.56085483504</v>
      </c>
      <c r="L79" s="2" t="n">
        <v>-18280.60242644927</v>
      </c>
      <c r="M79" s="2" t="n">
        <v>-78203.54312669221</v>
      </c>
      <c r="N79" s="2" t="n">
        <v>-37482.46583660114</v>
      </c>
      <c r="O79" s="2" t="n">
        <v>-6686.342862365079</v>
      </c>
      <c r="P79" t="inlineStr">
        <is>
          <t>MINUS</t>
        </is>
      </c>
      <c r="AA79" t="n">
        <v>1242</v>
      </c>
      <c r="AB79" s="2" t="n">
        <v>20303.57407407407</v>
      </c>
      <c r="AC79" s="2" t="n">
        <v>19073.42592592592</v>
      </c>
      <c r="AD79" s="2" t="n">
        <v>20133.52777777778</v>
      </c>
      <c r="AE79" s="2" t="n">
        <v>20331.33333333333</v>
      </c>
      <c r="AF79" s="2" t="n">
        <v>21325.24074074074</v>
      </c>
      <c r="AG79" s="2" t="n">
        <v>21664.65740740741</v>
      </c>
      <c r="AH79" s="2" t="n">
        <v>26544.13888888889</v>
      </c>
      <c r="AI79" s="2" t="n">
        <v>24529</v>
      </c>
      <c r="AJ79" s="2" t="n">
        <v>18658.31481481481</v>
      </c>
      <c r="AK79" s="2" t="n">
        <v>18517.27777777778</v>
      </c>
      <c r="AL79" s="2" t="n">
        <v>15836.97222222222</v>
      </c>
      <c r="AM79" s="2" t="n">
        <v>14728.5462962963</v>
      </c>
      <c r="AN79" s="2" t="n">
        <v>14242.51851851852</v>
      </c>
      <c r="AO79" s="2" t="n">
        <v>15831.24074074074</v>
      </c>
      <c r="AR79" t="n">
        <v>1242</v>
      </c>
      <c r="AS79" t="n">
        <v>776</v>
      </c>
      <c r="AT79" t="n">
        <v>751</v>
      </c>
      <c r="AU79" t="n">
        <v>764</v>
      </c>
      <c r="AV79" t="n">
        <v>795</v>
      </c>
      <c r="AW79" t="n">
        <v>806</v>
      </c>
      <c r="AX79" t="n">
        <v>819</v>
      </c>
      <c r="AY79" t="n">
        <v>915</v>
      </c>
      <c r="AZ79" t="n">
        <v>912</v>
      </c>
      <c r="BA79" t="n">
        <v>717</v>
      </c>
      <c r="BB79" t="n">
        <v>759</v>
      </c>
      <c r="BC79" t="n">
        <v>662</v>
      </c>
      <c r="BD79" t="n">
        <v>603</v>
      </c>
      <c r="BE79" t="n">
        <v>673</v>
      </c>
      <c r="BF79" t="n">
        <v>669</v>
      </c>
    </row>
    <row r="80">
      <c r="A80" t="n">
        <v>1244</v>
      </c>
      <c r="B80" s="2" t="n">
        <v>-30330.8842963768</v>
      </c>
      <c r="C80" s="2" t="n">
        <v>-29845.6407726936</v>
      </c>
      <c r="D80" s="2" t="n">
        <v>-36776.16360569788</v>
      </c>
      <c r="E80" s="2" t="n">
        <v>-37724.60103696599</v>
      </c>
      <c r="F80" s="2" t="n">
        <v>-41326.64792981482</v>
      </c>
      <c r="G80" s="2" t="n">
        <v>-45259.75978653505</v>
      </c>
      <c r="H80" s="2" t="n">
        <v>-56306.44617257835</v>
      </c>
      <c r="I80" s="2" t="n">
        <v>-52173.32009496458</v>
      </c>
      <c r="J80" s="2" t="n">
        <v>-51027.22480036182</v>
      </c>
      <c r="K80" s="2" t="n">
        <v>-37528.8607586869</v>
      </c>
      <c r="L80" s="2" t="n">
        <v>-16198.06321081965</v>
      </c>
      <c r="M80" s="2" t="n">
        <v>-75954.75600013665</v>
      </c>
      <c r="N80" s="2" t="n">
        <v>-35432.3753405641</v>
      </c>
      <c r="O80" s="2" t="n">
        <v>-5562.095129513227</v>
      </c>
      <c r="P80" t="inlineStr">
        <is>
          <t>MINUS</t>
        </is>
      </c>
      <c r="AA80" t="n">
        <v>1243</v>
      </c>
      <c r="AB80" s="2" t="n">
        <v>18841.78703703704</v>
      </c>
      <c r="AC80" s="2" t="n">
        <v>17470.31481481482</v>
      </c>
      <c r="AD80" s="2" t="n">
        <v>19707.39814814815</v>
      </c>
      <c r="AE80" s="2" t="n">
        <v>21041.16666666666</v>
      </c>
      <c r="AF80" s="2" t="n">
        <v>24907.59259259259</v>
      </c>
      <c r="AG80" s="2" t="n">
        <v>23179.94444444445</v>
      </c>
      <c r="AH80" s="2" t="n">
        <v>23291.12037037037</v>
      </c>
      <c r="AI80" s="2" t="n">
        <v>23843.4537037037</v>
      </c>
      <c r="AJ80" s="2" t="n">
        <v>17322.67592592592</v>
      </c>
      <c r="AK80" s="2" t="n">
        <v>16461.69444444444</v>
      </c>
      <c r="AL80" s="2" t="n">
        <v>17744.91666666666</v>
      </c>
      <c r="AM80" s="2" t="n">
        <v>17723.46296296296</v>
      </c>
      <c r="AN80" s="2" t="n">
        <v>14092.27777777778</v>
      </c>
      <c r="AO80" s="2" t="n">
        <v>12782.37037037037</v>
      </c>
      <c r="AR80" t="n">
        <v>1243</v>
      </c>
      <c r="AS80" t="n">
        <v>1409</v>
      </c>
      <c r="AT80" t="n">
        <v>1319</v>
      </c>
      <c r="AU80" t="n">
        <v>1569</v>
      </c>
      <c r="AV80" t="n">
        <v>1603</v>
      </c>
      <c r="AW80" t="n">
        <v>1845</v>
      </c>
      <c r="AX80" t="n">
        <v>1750</v>
      </c>
      <c r="AY80" t="n">
        <v>1733</v>
      </c>
      <c r="AZ80" t="n">
        <v>1738</v>
      </c>
      <c r="BA80" t="n">
        <v>1405</v>
      </c>
      <c r="BB80" t="n">
        <v>1331</v>
      </c>
      <c r="BC80" t="n">
        <v>1419</v>
      </c>
      <c r="BD80" t="n">
        <v>1377</v>
      </c>
      <c r="BE80" t="n">
        <v>1068</v>
      </c>
      <c r="BF80" t="n">
        <v>1016</v>
      </c>
    </row>
    <row r="81">
      <c r="A81" t="n">
        <v>1245</v>
      </c>
      <c r="B81" s="2" t="n">
        <v>-32602.58000130273</v>
      </c>
      <c r="C81" s="2" t="n">
        <v>-31583.88568524915</v>
      </c>
      <c r="D81" s="2" t="n">
        <v>-39149.52289184603</v>
      </c>
      <c r="E81" s="2" t="n">
        <v>-39946.02486952155</v>
      </c>
      <c r="F81" s="2" t="n">
        <v>-43473.91885022223</v>
      </c>
      <c r="G81" s="2" t="n">
        <v>-48273.55151731283</v>
      </c>
      <c r="H81" s="2" t="n">
        <v>-58696.87361876353</v>
      </c>
      <c r="I81" s="2" t="n">
        <v>-53720.64236700161</v>
      </c>
      <c r="J81" s="2" t="n">
        <v>-53190.8619167322</v>
      </c>
      <c r="K81" s="2" t="n">
        <v>-39176.56243994616</v>
      </c>
      <c r="L81" s="2" t="n">
        <v>-8742.460517708534</v>
      </c>
      <c r="M81" s="2" t="n">
        <v>-77839.38502769222</v>
      </c>
      <c r="N81" s="2" t="n">
        <v>-37044.54819174929</v>
      </c>
      <c r="O81" s="2" t="n">
        <v>-36503.20438016931</v>
      </c>
      <c r="P81" t="inlineStr">
        <is>
          <t>MINUS</t>
        </is>
      </c>
      <c r="AA81" t="n">
        <v>1244</v>
      </c>
      <c r="AB81" s="2" t="n">
        <v>36742.9074074074</v>
      </c>
      <c r="AC81" s="2" t="n">
        <v>29265.34259259259</v>
      </c>
      <c r="AD81" s="2" t="n">
        <v>38185.25925925926</v>
      </c>
      <c r="AE81" s="2" t="n">
        <v>38388.91666666666</v>
      </c>
      <c r="AF81" s="2" t="n">
        <v>39271.10185185185</v>
      </c>
      <c r="AG81" s="2" t="n">
        <v>49120.31481481482</v>
      </c>
      <c r="AH81" s="2" t="n">
        <v>47609.1574074074</v>
      </c>
      <c r="AI81" s="2" t="n">
        <v>36977.98148148147</v>
      </c>
      <c r="AJ81" s="2" t="n">
        <v>37379.8611111111</v>
      </c>
      <c r="AK81" s="2" t="n">
        <v>30429.53703703704</v>
      </c>
      <c r="AL81" s="2" t="n">
        <v>29950.67592592592</v>
      </c>
      <c r="AM81" s="2" t="n">
        <v>32375.61111111111</v>
      </c>
      <c r="AN81" s="2" t="n">
        <v>26688.03703703704</v>
      </c>
      <c r="AO81" s="2" t="n">
        <v>25532.69444444444</v>
      </c>
      <c r="AR81" t="n">
        <v>1244</v>
      </c>
      <c r="AS81" t="n">
        <v>2208</v>
      </c>
      <c r="AT81" t="n">
        <v>1750</v>
      </c>
      <c r="AU81" t="n">
        <v>2132</v>
      </c>
      <c r="AV81" t="n">
        <v>2155</v>
      </c>
      <c r="AW81" t="n">
        <v>2189</v>
      </c>
      <c r="AX81" t="n">
        <v>2768</v>
      </c>
      <c r="AY81" t="n">
        <v>2529</v>
      </c>
      <c r="AZ81" t="n">
        <v>1994</v>
      </c>
      <c r="BA81" t="n">
        <v>2130</v>
      </c>
      <c r="BB81" t="n">
        <v>1783</v>
      </c>
      <c r="BC81" t="n">
        <v>1709</v>
      </c>
      <c r="BD81" t="n">
        <v>1882</v>
      </c>
      <c r="BE81" t="n">
        <v>1635</v>
      </c>
      <c r="BF81" t="n">
        <v>1483</v>
      </c>
    </row>
    <row r="82">
      <c r="A82" t="n">
        <v>1246</v>
      </c>
      <c r="B82" s="2" t="n">
        <v>-31505.2307330805</v>
      </c>
      <c r="C82" s="2" t="n">
        <v>-30715.40278513804</v>
      </c>
      <c r="D82" s="2" t="n">
        <v>-37464.16483077196</v>
      </c>
      <c r="E82" s="2" t="n">
        <v>-39125.31838241043</v>
      </c>
      <c r="F82" s="2" t="n">
        <v>-42842.17181422223</v>
      </c>
      <c r="G82" s="2" t="n">
        <v>-47471.14840542395</v>
      </c>
      <c r="H82" s="2" t="n">
        <v>-58274.67280183761</v>
      </c>
      <c r="I82" s="2" t="n">
        <v>-53241.61468607569</v>
      </c>
      <c r="J82" s="2" t="n">
        <v>-52657.19442817664</v>
      </c>
      <c r="K82" s="2" t="n">
        <v>-38598.28865087208</v>
      </c>
      <c r="L82" s="2" t="n">
        <v>-17376.0626147826</v>
      </c>
      <c r="M82" s="2" t="n">
        <v>-76936.06706058109</v>
      </c>
      <c r="N82" s="2" t="n">
        <v>-36149.57676230484</v>
      </c>
      <c r="O82" s="2" t="n">
        <v>-35595.40635368783</v>
      </c>
      <c r="P82" t="inlineStr">
        <is>
          <t>MINUS</t>
        </is>
      </c>
      <c r="AA82" t="n">
        <v>1245</v>
      </c>
      <c r="AB82" s="2" t="n">
        <v>8815.824074074073</v>
      </c>
      <c r="AC82" s="2" t="n">
        <v>8031.249999999998</v>
      </c>
      <c r="AD82" s="2" t="n">
        <v>9210.944444444443</v>
      </c>
      <c r="AE82" s="2" t="n">
        <v>11080.25</v>
      </c>
      <c r="AF82" s="2" t="n">
        <v>13286.43518518518</v>
      </c>
      <c r="AG82" s="2" t="n">
        <v>12800.59259259259</v>
      </c>
      <c r="AH82" s="2" t="n">
        <v>20132.09259259259</v>
      </c>
      <c r="AI82" s="2" t="n">
        <v>19583.42592592593</v>
      </c>
      <c r="AJ82" s="2" t="n">
        <v>11311.49074074074</v>
      </c>
      <c r="AK82" s="2" t="n">
        <v>10411.42592592593</v>
      </c>
      <c r="AL82" s="2" t="n">
        <v>7219.657407407408</v>
      </c>
      <c r="AM82" s="2" t="n">
        <v>9174.092592592591</v>
      </c>
      <c r="AN82" s="2" t="n">
        <v>6734.12037037037</v>
      </c>
      <c r="AO82" s="2" t="n">
        <v>5899.398148148148</v>
      </c>
      <c r="AR82" t="n">
        <v>1245</v>
      </c>
      <c r="AS82" t="n">
        <v>560</v>
      </c>
      <c r="AT82" t="n">
        <v>464</v>
      </c>
      <c r="AU82" t="n">
        <v>577</v>
      </c>
      <c r="AV82" t="n">
        <v>643</v>
      </c>
      <c r="AW82" t="n">
        <v>806</v>
      </c>
      <c r="AX82" t="n">
        <v>670</v>
      </c>
      <c r="AY82" t="n">
        <v>895</v>
      </c>
      <c r="AZ82" t="n">
        <v>975</v>
      </c>
      <c r="BA82" t="n">
        <v>639</v>
      </c>
      <c r="BB82" t="n">
        <v>636</v>
      </c>
      <c r="BC82" t="n">
        <v>515</v>
      </c>
      <c r="BD82" t="n">
        <v>545</v>
      </c>
      <c r="BE82" t="n">
        <v>401</v>
      </c>
      <c r="BF82" t="n">
        <v>359</v>
      </c>
    </row>
    <row r="83">
      <c r="A83" t="n">
        <v>1247</v>
      </c>
      <c r="B83" s="2" t="n">
        <v>-31556.67598326569</v>
      </c>
      <c r="C83" s="2" t="n">
        <v>-31019.3416966936</v>
      </c>
      <c r="D83" s="2" t="n">
        <v>-37804.36394743863</v>
      </c>
      <c r="E83" s="2" t="n">
        <v>-39252.04075311415</v>
      </c>
      <c r="F83" s="2" t="n">
        <v>-42752.13691366667</v>
      </c>
      <c r="G83" s="2" t="n">
        <v>-47238.69485872023</v>
      </c>
      <c r="H83" s="2" t="n">
        <v>-58208.48450605982</v>
      </c>
      <c r="I83" s="2" t="n">
        <v>-53345.69268589049</v>
      </c>
      <c r="J83" s="2" t="n">
        <v>-52361.8235980285</v>
      </c>
      <c r="K83" s="2" t="n">
        <v>-37928.22630416838</v>
      </c>
      <c r="L83" s="2" t="n">
        <v>-17164.09092011594</v>
      </c>
      <c r="M83" s="2" t="n">
        <v>-76482.05765395147</v>
      </c>
      <c r="N83" s="2" t="n">
        <v>-35585.74773674928</v>
      </c>
      <c r="O83" s="2" t="n">
        <v>-34902.6068690582</v>
      </c>
      <c r="P83" t="inlineStr">
        <is>
          <t>MINUS</t>
        </is>
      </c>
      <c r="AA83" t="n">
        <v>1246</v>
      </c>
      <c r="AB83" s="2" t="n">
        <v>24161.7037037037</v>
      </c>
      <c r="AC83" s="2" t="n">
        <v>19058.52777777778</v>
      </c>
      <c r="AD83" s="2" t="n">
        <v>23810.98148148148</v>
      </c>
      <c r="AE83" s="2" t="n">
        <v>23243.01851851852</v>
      </c>
      <c r="AF83" s="2" t="n">
        <v>22884.10185185185</v>
      </c>
      <c r="AG83" s="2" t="n">
        <v>24211.55555555555</v>
      </c>
      <c r="AH83" s="2" t="n">
        <v>25321.65740740741</v>
      </c>
      <c r="AI83" s="2" t="n">
        <v>25633.26851851852</v>
      </c>
      <c r="AJ83" s="2" t="n">
        <v>19417</v>
      </c>
      <c r="AK83" s="2" t="n">
        <v>19285.48148148148</v>
      </c>
      <c r="AL83" s="2" t="n">
        <v>17670.19444444444</v>
      </c>
      <c r="AM83" s="2" t="n">
        <v>22319.37962962963</v>
      </c>
      <c r="AN83" s="2" t="n">
        <v>17814.06481481481</v>
      </c>
      <c r="AO83" s="2" t="n">
        <v>17100.58333333333</v>
      </c>
      <c r="AR83" t="n">
        <v>1246</v>
      </c>
      <c r="AS83" t="n">
        <v>1239</v>
      </c>
      <c r="AT83" t="n">
        <v>1080</v>
      </c>
      <c r="AU83" t="n">
        <v>1260</v>
      </c>
      <c r="AV83" t="n">
        <v>1260</v>
      </c>
      <c r="AW83" t="n">
        <v>1146</v>
      </c>
      <c r="AX83" t="n">
        <v>1251</v>
      </c>
      <c r="AY83" t="n">
        <v>1221</v>
      </c>
      <c r="AZ83" t="n">
        <v>1252</v>
      </c>
      <c r="BA83" t="n">
        <v>1097</v>
      </c>
      <c r="BB83" t="n">
        <v>1041</v>
      </c>
      <c r="BC83" t="n">
        <v>1001</v>
      </c>
      <c r="BD83" t="n">
        <v>1122</v>
      </c>
      <c r="BE83" t="n">
        <v>1054</v>
      </c>
      <c r="BF83" t="n">
        <v>966</v>
      </c>
    </row>
    <row r="84">
      <c r="A84" t="n">
        <v>1248</v>
      </c>
      <c r="B84" s="2" t="n">
        <v>-33622.89777596939</v>
      </c>
      <c r="C84" s="2" t="n">
        <v>-32458.32129324916</v>
      </c>
      <c r="D84" s="2" t="n">
        <v>-40036.60495740159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t="inlineStr">
        <is>
          <t>MINUS</t>
        </is>
      </c>
      <c r="AA84" t="n">
        <v>1247</v>
      </c>
      <c r="AB84" s="2" t="n">
        <v>18484.26851851852</v>
      </c>
      <c r="AC84" s="2" t="n">
        <v>10810.53703703704</v>
      </c>
      <c r="AD84" s="2" t="n">
        <v>15324.06481481481</v>
      </c>
      <c r="AE84" s="2" t="n">
        <v>17782.38888888889</v>
      </c>
      <c r="AF84" s="2" t="n">
        <v>19906.58333333333</v>
      </c>
      <c r="AG84" s="2" t="n">
        <v>22588.59259259259</v>
      </c>
      <c r="AH84" s="2" t="n">
        <v>22599.7962962963</v>
      </c>
      <c r="AI84" s="2" t="n">
        <v>21266.24074074074</v>
      </c>
      <c r="AJ84" s="2" t="n">
        <v>19103.14814814815</v>
      </c>
      <c r="AK84" s="2" t="n">
        <v>13574.49074074074</v>
      </c>
      <c r="AL84" s="2" t="n">
        <v>6244.222222222221</v>
      </c>
      <c r="AM84" s="2" t="n">
        <v>13825.12962962963</v>
      </c>
      <c r="AN84" s="2" t="n">
        <v>11323.19444444445</v>
      </c>
      <c r="AO84" s="2" t="n">
        <v>12111.65740740741</v>
      </c>
      <c r="AR84" t="n">
        <v>1247</v>
      </c>
      <c r="AS84" t="n">
        <v>1308</v>
      </c>
      <c r="AT84" t="n">
        <v>757</v>
      </c>
      <c r="AU84" t="n">
        <v>1151</v>
      </c>
      <c r="AV84" t="n">
        <v>1276</v>
      </c>
      <c r="AW84" t="n">
        <v>1288</v>
      </c>
      <c r="AX84" t="n">
        <v>1440</v>
      </c>
      <c r="AY84" t="n">
        <v>1458</v>
      </c>
      <c r="AZ84" t="n">
        <v>1315</v>
      </c>
      <c r="BA84" t="n">
        <v>1184</v>
      </c>
      <c r="BB84" t="n">
        <v>965</v>
      </c>
      <c r="BC84" t="n">
        <v>604</v>
      </c>
      <c r="BD84" t="n">
        <v>1025</v>
      </c>
      <c r="BE84" t="n">
        <v>836</v>
      </c>
      <c r="BF84" t="n">
        <v>870</v>
      </c>
    </row>
    <row r="85">
      <c r="A85" t="n">
        <v>1249</v>
      </c>
      <c r="B85" s="2" t="n">
        <v>-33750.49171426569</v>
      </c>
      <c r="C85" s="2" t="n">
        <v>-32553.41284402693</v>
      </c>
      <c r="D85" s="2" t="n">
        <v>-39420.68592610529</v>
      </c>
      <c r="E85" s="2" t="n">
        <v>-41149.93098433637</v>
      </c>
      <c r="F85" s="2" t="n">
        <v>-44805.3895012963</v>
      </c>
      <c r="G85" s="2" t="n">
        <v>-49277.78598590542</v>
      </c>
      <c r="H85" s="2" t="n">
        <v>-60255.33491846724</v>
      </c>
      <c r="I85" s="2" t="n">
        <v>-55193.86960314975</v>
      </c>
      <c r="J85" s="2" t="n">
        <v>-54389.90758373219</v>
      </c>
      <c r="K85" s="2" t="n">
        <v>-40475.22317972394</v>
      </c>
      <c r="L85" s="2" t="n">
        <v>-19173.30077515298</v>
      </c>
      <c r="M85" s="2" t="n">
        <v>-78952.70522861814</v>
      </c>
      <c r="N85" s="2" t="n">
        <v>-38108.20503700855</v>
      </c>
      <c r="O85" s="2" t="n">
        <v>-36573.13647853968</v>
      </c>
      <c r="P85" t="inlineStr">
        <is>
          <t>MINUS</t>
        </is>
      </c>
      <c r="AA85" t="n">
        <v>1248</v>
      </c>
      <c r="AB85" s="2" t="n">
        <v>9016.888888888889</v>
      </c>
      <c r="AC85" s="2" t="n">
        <v>7649.481481481482</v>
      </c>
      <c r="AD85" s="2" t="n">
        <v>416.1018518518518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R85" t="n">
        <v>1248</v>
      </c>
      <c r="AS85" t="n">
        <v>641</v>
      </c>
      <c r="AT85" t="n">
        <v>582</v>
      </c>
      <c r="AU85" t="n">
        <v>46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1250</v>
      </c>
      <c r="B86" s="2" t="n">
        <v>-33800.60734526569</v>
      </c>
      <c r="C86" s="2" t="n">
        <v>-32756.0963969899</v>
      </c>
      <c r="D86" s="2" t="n">
        <v>-40096.26916658678</v>
      </c>
      <c r="E86" s="2" t="n">
        <v>0</v>
      </c>
      <c r="F86" s="2" t="n">
        <v>0</v>
      </c>
      <c r="G86" s="2" t="n">
        <v>-47484.89111601653</v>
      </c>
      <c r="H86" s="2" t="n">
        <v>-57639.39441561539</v>
      </c>
      <c r="I86" s="2" t="n">
        <v>-52608.16038026086</v>
      </c>
      <c r="J86" s="2" t="n">
        <v>-51519.15099376923</v>
      </c>
      <c r="K86" s="2" t="n">
        <v>-37461.2058719832</v>
      </c>
      <c r="L86" s="2" t="n">
        <v>-16110.91797778261</v>
      </c>
      <c r="M86" s="2" t="n">
        <v>-76029.71946565517</v>
      </c>
      <c r="N86" s="2" t="n">
        <v>-35065.6898785641</v>
      </c>
      <c r="O86" s="2" t="n">
        <v>-34551.99090042857</v>
      </c>
      <c r="P86" t="inlineStr">
        <is>
          <t>MINUS</t>
        </is>
      </c>
      <c r="AA86" t="n">
        <v>1249</v>
      </c>
      <c r="AB86" s="2" t="n">
        <v>6669.74074074074</v>
      </c>
      <c r="AC86" s="2" t="n">
        <v>5693.86111111111</v>
      </c>
      <c r="AD86" s="2" t="n">
        <v>9502.611111111109</v>
      </c>
      <c r="AE86" s="2" t="n">
        <v>8520.768518518518</v>
      </c>
      <c r="AF86" s="2" t="n">
        <v>9082.638888888889</v>
      </c>
      <c r="AG86" s="2" t="n">
        <v>12016.62962962963</v>
      </c>
      <c r="AH86" s="2" t="n">
        <v>11362.44444444444</v>
      </c>
      <c r="AI86" s="2" t="n">
        <v>11903.62962962963</v>
      </c>
      <c r="AJ86" s="2" t="n">
        <v>7582.481481481481</v>
      </c>
      <c r="AK86" s="2" t="n">
        <v>5660.5</v>
      </c>
      <c r="AL86" s="2" t="n">
        <v>5081.981481481482</v>
      </c>
      <c r="AM86" s="2" t="n">
        <v>6631.037037037036</v>
      </c>
      <c r="AN86" s="2" t="n">
        <v>5128.055555555556</v>
      </c>
      <c r="AO86" s="2" t="n">
        <v>4668.24074074074</v>
      </c>
      <c r="AR86" t="n">
        <v>1249</v>
      </c>
      <c r="AS86" t="n">
        <v>543</v>
      </c>
      <c r="AT86" t="n">
        <v>382</v>
      </c>
      <c r="AU86" t="n">
        <v>570</v>
      </c>
      <c r="AV86" t="n">
        <v>597</v>
      </c>
      <c r="AW86" t="n">
        <v>655</v>
      </c>
      <c r="AX86" t="n">
        <v>849</v>
      </c>
      <c r="AY86" t="n">
        <v>767</v>
      </c>
      <c r="AZ86" t="n">
        <v>719</v>
      </c>
      <c r="BA86" t="n">
        <v>548</v>
      </c>
      <c r="BB86" t="n">
        <v>519</v>
      </c>
      <c r="BC86" t="n">
        <v>473</v>
      </c>
      <c r="BD86" t="n">
        <v>472</v>
      </c>
      <c r="BE86" t="n">
        <v>405</v>
      </c>
      <c r="BF86" t="n">
        <v>363</v>
      </c>
    </row>
    <row r="87">
      <c r="A87" t="n">
        <v>1251</v>
      </c>
      <c r="B87" s="2" t="n">
        <v>-32446.81028522865</v>
      </c>
      <c r="C87" s="2" t="n">
        <v>-31291.61869591582</v>
      </c>
      <c r="D87" s="2" t="n">
        <v>-38417.18679129048</v>
      </c>
      <c r="E87" s="2" t="n">
        <v>-39962.89776163266</v>
      </c>
      <c r="F87" s="2" t="n">
        <v>-43634.60891803703</v>
      </c>
      <c r="G87" s="2" t="n">
        <v>-48527.94517434986</v>
      </c>
      <c r="H87" s="2" t="n">
        <v>-61084.21511861538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t="inlineStr">
        <is>
          <t>MINUS</t>
        </is>
      </c>
      <c r="AA87" t="n">
        <v>1250</v>
      </c>
      <c r="AB87" s="2" t="n">
        <v>5879.25</v>
      </c>
      <c r="AC87" s="2" t="n">
        <v>5269.916666666666</v>
      </c>
      <c r="AD87" s="2" t="n">
        <v>669.462962962963</v>
      </c>
      <c r="AE87" s="2" t="n">
        <v>0</v>
      </c>
      <c r="AF87" s="2" t="n">
        <v>0</v>
      </c>
      <c r="AG87" s="2" t="n">
        <v>9263.314814814814</v>
      </c>
      <c r="AH87" s="2" t="n">
        <v>18852.32407407407</v>
      </c>
      <c r="AI87" s="2" t="n">
        <v>26671.68518518518</v>
      </c>
      <c r="AJ87" s="2" t="n">
        <v>19920.58333333333</v>
      </c>
      <c r="AK87" s="2" t="n">
        <v>11766.61111111111</v>
      </c>
      <c r="AL87" s="2" t="n">
        <v>10114.84259259259</v>
      </c>
      <c r="AM87" s="2" t="n">
        <v>10940.7037037037</v>
      </c>
      <c r="AN87" s="2" t="n">
        <v>13478.66666666667</v>
      </c>
      <c r="AO87" s="2" t="n">
        <v>13486.19444444444</v>
      </c>
      <c r="AR87" t="n">
        <v>1250</v>
      </c>
      <c r="AS87" t="n">
        <v>432</v>
      </c>
      <c r="AT87" t="n">
        <v>403</v>
      </c>
      <c r="AU87" t="n">
        <v>45</v>
      </c>
      <c r="AV87" t="n">
        <v>0</v>
      </c>
      <c r="AW87" t="n">
        <v>0</v>
      </c>
      <c r="AX87" t="n">
        <v>884</v>
      </c>
      <c r="AY87" t="n">
        <v>1801</v>
      </c>
      <c r="AZ87" t="n">
        <v>2379</v>
      </c>
      <c r="BA87" t="n">
        <v>1628</v>
      </c>
      <c r="BB87" t="n">
        <v>925</v>
      </c>
      <c r="BC87" t="n">
        <v>838</v>
      </c>
      <c r="BD87" t="n">
        <v>845</v>
      </c>
      <c r="BE87" t="n">
        <v>1080</v>
      </c>
      <c r="BF87" t="n">
        <v>1020</v>
      </c>
    </row>
    <row r="88">
      <c r="A88" t="n">
        <v>1252</v>
      </c>
      <c r="B88" s="2" t="n">
        <v>-32157.18862682124</v>
      </c>
      <c r="C88" s="2" t="n">
        <v>-31146.52294610101</v>
      </c>
      <c r="D88" s="2" t="n">
        <v>-37852.0027025127</v>
      </c>
      <c r="E88" s="2" t="n">
        <v>-39476.88301278081</v>
      </c>
      <c r="F88" s="2" t="n">
        <v>-43285.57734092593</v>
      </c>
      <c r="G88" s="2" t="n">
        <v>-47706.79472949801</v>
      </c>
      <c r="H88" s="2" t="n">
        <v>-57817.7658981339</v>
      </c>
      <c r="I88" s="2" t="n">
        <v>-52999.60536752013</v>
      </c>
      <c r="J88" s="2" t="n">
        <v>-52691.69941588034</v>
      </c>
      <c r="K88" s="2" t="n">
        <v>-38148.46416905728</v>
      </c>
      <c r="L88" s="2" t="n">
        <v>-17111.56224848631</v>
      </c>
      <c r="M88" s="2" t="n">
        <v>-77375.09867421072</v>
      </c>
      <c r="N88" s="2" t="n">
        <v>-36275.06209415669</v>
      </c>
      <c r="O88" s="2" t="n">
        <v>-35455.81424928042</v>
      </c>
      <c r="P88" t="inlineStr">
        <is>
          <t>MINUS</t>
        </is>
      </c>
      <c r="AA88" t="n">
        <v>1251</v>
      </c>
      <c r="AB88" s="2" t="n">
        <v>20269.2037037037</v>
      </c>
      <c r="AC88" s="2" t="n">
        <v>17818</v>
      </c>
      <c r="AD88" s="2" t="n">
        <v>19629.60185185185</v>
      </c>
      <c r="AE88" s="2" t="n">
        <v>20733.42592592593</v>
      </c>
      <c r="AF88" s="2" t="n">
        <v>21021.03703703704</v>
      </c>
      <c r="AG88" s="2" t="n">
        <v>19001.69444444445</v>
      </c>
      <c r="AH88" s="2" t="n">
        <v>518.6481481481482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R88" t="n">
        <v>1251</v>
      </c>
      <c r="AS88" t="n">
        <v>1306</v>
      </c>
      <c r="AT88" t="n">
        <v>1149</v>
      </c>
      <c r="AU88" t="n">
        <v>1249</v>
      </c>
      <c r="AV88" t="n">
        <v>1338</v>
      </c>
      <c r="AW88" t="n">
        <v>1342</v>
      </c>
      <c r="AX88" t="n">
        <v>1140</v>
      </c>
      <c r="AY88" t="n">
        <v>22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1253</v>
      </c>
      <c r="B89" s="2" t="n">
        <v>-32501.57518082124</v>
      </c>
      <c r="C89" s="2" t="n">
        <v>-31504.29564180471</v>
      </c>
      <c r="D89" s="2" t="n">
        <v>-38426.29788917937</v>
      </c>
      <c r="E89" s="2" t="n">
        <v>-39832.59354478082</v>
      </c>
      <c r="F89" s="2" t="n">
        <v>-43321.88359533334</v>
      </c>
      <c r="G89" s="2" t="n">
        <v>-48711.62558631282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t="inlineStr">
        <is>
          <t>MINUS</t>
        </is>
      </c>
      <c r="AA89" t="n">
        <v>1252</v>
      </c>
      <c r="AB89" s="2" t="n">
        <v>16627.33333333333</v>
      </c>
      <c r="AC89" s="2" t="n">
        <v>15854.85185185185</v>
      </c>
      <c r="AD89" s="2" t="n">
        <v>19159.87962962963</v>
      </c>
      <c r="AE89" s="2" t="n">
        <v>19133.4537037037</v>
      </c>
      <c r="AF89" s="2" t="n">
        <v>17800.01851851852</v>
      </c>
      <c r="AG89" s="2" t="n">
        <v>21385.31481481481</v>
      </c>
      <c r="AH89" s="2" t="n">
        <v>30823.4537037037</v>
      </c>
      <c r="AI89" s="2" t="n">
        <v>28701.58333333334</v>
      </c>
      <c r="AJ89" s="2" t="n">
        <v>19261.80555555555</v>
      </c>
      <c r="AK89" s="2" t="n">
        <v>21753</v>
      </c>
      <c r="AL89" s="2" t="n">
        <v>18043.26851851852</v>
      </c>
      <c r="AM89" s="2" t="n">
        <v>19165.94444444444</v>
      </c>
      <c r="AN89" s="2" t="n">
        <v>15080.52777777778</v>
      </c>
      <c r="AO89" s="2" t="n">
        <v>17316.44444444444</v>
      </c>
      <c r="AR89" t="n">
        <v>1252</v>
      </c>
      <c r="AS89" t="n">
        <v>1207</v>
      </c>
      <c r="AT89" t="n">
        <v>1107</v>
      </c>
      <c r="AU89" t="n">
        <v>1342</v>
      </c>
      <c r="AV89" t="n">
        <v>1299</v>
      </c>
      <c r="AW89" t="n">
        <v>1274</v>
      </c>
      <c r="AX89" t="n">
        <v>1524</v>
      </c>
      <c r="AY89" t="n">
        <v>2005</v>
      </c>
      <c r="AZ89" t="n">
        <v>1957</v>
      </c>
      <c r="BA89" t="n">
        <v>1379</v>
      </c>
      <c r="BB89" t="n">
        <v>1706</v>
      </c>
      <c r="BC89" t="n">
        <v>1414</v>
      </c>
      <c r="BD89" t="n">
        <v>1487</v>
      </c>
      <c r="BE89" t="n">
        <v>1182</v>
      </c>
      <c r="BF89" t="n">
        <v>1207</v>
      </c>
    </row>
    <row r="90">
      <c r="A90" t="n">
        <v>1254</v>
      </c>
      <c r="B90" s="2" t="n">
        <v>-32162.87391871013</v>
      </c>
      <c r="C90" s="2" t="n">
        <v>-29731.47183932323</v>
      </c>
      <c r="D90" s="2" t="n">
        <v>-36880.40131869788</v>
      </c>
      <c r="E90" s="2" t="n">
        <v>-38469.60827670674</v>
      </c>
      <c r="F90" s="2" t="n">
        <v>-42180.46905118519</v>
      </c>
      <c r="G90" s="2" t="n">
        <v>-46931.36979094246</v>
      </c>
      <c r="H90" s="2" t="n">
        <v>-16550.18421039794</v>
      </c>
      <c r="I90" s="2" t="n">
        <v>-52926.86381126087</v>
      </c>
      <c r="J90" s="2" t="n">
        <v>-51988.90046336182</v>
      </c>
      <c r="K90" s="2" t="n">
        <v>-37400.48776253875</v>
      </c>
      <c r="L90" s="2" t="n">
        <v>-16185.33310270854</v>
      </c>
      <c r="M90" s="2" t="n">
        <v>-77357.24890254406</v>
      </c>
      <c r="N90" s="2" t="n">
        <v>-35162.04940319373</v>
      </c>
      <c r="O90" s="2" t="n">
        <v>-34587.18841653968</v>
      </c>
      <c r="P90" t="inlineStr">
        <is>
          <t>MINUS</t>
        </is>
      </c>
      <c r="AA90" t="n">
        <v>1253</v>
      </c>
      <c r="AB90" s="2" t="n">
        <v>9463.509259259259</v>
      </c>
      <c r="AC90" s="2" t="n">
        <v>8492.287037037036</v>
      </c>
      <c r="AD90" s="2" t="n">
        <v>9336.388888888889</v>
      </c>
      <c r="AE90" s="2" t="n">
        <v>11809.64814814815</v>
      </c>
      <c r="AF90" s="2" t="n">
        <v>14240.75925925926</v>
      </c>
      <c r="AG90" s="2" t="n">
        <v>6387.898148148148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R90" t="n">
        <v>1253</v>
      </c>
      <c r="AS90" t="n">
        <v>678</v>
      </c>
      <c r="AT90" t="n">
        <v>629</v>
      </c>
      <c r="AU90" t="n">
        <v>747</v>
      </c>
      <c r="AV90" t="n">
        <v>829</v>
      </c>
      <c r="AW90" t="n">
        <v>996</v>
      </c>
      <c r="AX90" t="n">
        <v>419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1255</v>
      </c>
      <c r="B91" s="2" t="n">
        <v>-33379.92669271013</v>
      </c>
      <c r="C91" s="2" t="n">
        <v>-32028.61233843434</v>
      </c>
      <c r="D91" s="2" t="n">
        <v>-39200.78095103122</v>
      </c>
      <c r="E91" s="2" t="n">
        <v>-40868.22468311414</v>
      </c>
      <c r="F91" s="2" t="n">
        <v>-44485.95119159259</v>
      </c>
      <c r="G91" s="2" t="n">
        <v>-49456.98742564616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t="inlineStr">
        <is>
          <t>MINUS</t>
        </is>
      </c>
      <c r="AA91" t="n">
        <v>1254</v>
      </c>
      <c r="AB91" s="2" t="n">
        <v>23676.28703703704</v>
      </c>
      <c r="AC91" s="2" t="n">
        <v>20552.57407407407</v>
      </c>
      <c r="AD91" s="2" t="n">
        <v>24812.38888888888</v>
      </c>
      <c r="AE91" s="2" t="n">
        <v>25727.66666666666</v>
      </c>
      <c r="AF91" s="2" t="n">
        <v>24886.05555555555</v>
      </c>
      <c r="AG91" s="2" t="n">
        <v>24822.18518518519</v>
      </c>
      <c r="AH91" s="2" t="n">
        <v>21753.11111111111</v>
      </c>
      <c r="AI91" s="2" t="n">
        <v>22150.74074074074</v>
      </c>
      <c r="AJ91" s="2" t="n">
        <v>19515.02777777778</v>
      </c>
      <c r="AK91" s="2" t="n">
        <v>21816.48148148148</v>
      </c>
      <c r="AL91" s="2" t="n">
        <v>19356.08333333333</v>
      </c>
      <c r="AM91" s="2" t="n">
        <v>20252.86111111111</v>
      </c>
      <c r="AN91" s="2" t="n">
        <v>19401.25</v>
      </c>
      <c r="AO91" s="2" t="n">
        <v>16721.61111111111</v>
      </c>
      <c r="AR91" t="n">
        <v>1254</v>
      </c>
      <c r="AS91" t="n">
        <v>1817</v>
      </c>
      <c r="AT91" t="n">
        <v>1582</v>
      </c>
      <c r="AU91" t="n">
        <v>1896</v>
      </c>
      <c r="AV91" t="n">
        <v>1926</v>
      </c>
      <c r="AW91" t="n">
        <v>1855</v>
      </c>
      <c r="AX91" t="n">
        <v>1829</v>
      </c>
      <c r="AY91" t="n">
        <v>1655</v>
      </c>
      <c r="AZ91" t="n">
        <v>1632</v>
      </c>
      <c r="BA91" t="n">
        <v>1502</v>
      </c>
      <c r="BB91" t="n">
        <v>1748</v>
      </c>
      <c r="BC91" t="n">
        <v>1666</v>
      </c>
      <c r="BD91" t="n">
        <v>1635</v>
      </c>
      <c r="BE91" t="n">
        <v>1581</v>
      </c>
      <c r="BF91" t="n">
        <v>1327</v>
      </c>
    </row>
    <row r="92">
      <c r="A92" t="n">
        <v>1256</v>
      </c>
      <c r="B92" s="2" t="n">
        <v>-33421.34323848791</v>
      </c>
      <c r="C92" s="2" t="n">
        <v>-32363.10069410101</v>
      </c>
      <c r="D92" s="2" t="n">
        <v>-39273.27537688307</v>
      </c>
      <c r="E92" s="2" t="n">
        <v>-41343.647568966</v>
      </c>
      <c r="F92" s="2" t="n">
        <v>-44753.55760948148</v>
      </c>
      <c r="G92" s="2" t="n">
        <v>-49077.21267453505</v>
      </c>
      <c r="H92" s="2" t="n">
        <v>-59999.58089298576</v>
      </c>
      <c r="I92" s="2" t="n">
        <v>-54860.41958474235</v>
      </c>
      <c r="J92" s="2" t="n">
        <v>-53922.63383636183</v>
      </c>
      <c r="K92" s="2" t="n">
        <v>-34980.7668072795</v>
      </c>
      <c r="L92" s="2" t="n">
        <v>-18570.89092963446</v>
      </c>
      <c r="M92" s="2" t="n">
        <v>-78298.55534276628</v>
      </c>
      <c r="N92" s="2" t="n">
        <v>-37130.52519063817</v>
      </c>
      <c r="O92" s="2" t="n">
        <v>-36633.93204468783</v>
      </c>
      <c r="P92" t="inlineStr">
        <is>
          <t>MINUS</t>
        </is>
      </c>
      <c r="AA92" t="n">
        <v>1255</v>
      </c>
      <c r="AB92" s="2" t="n">
        <v>4931.814814814815</v>
      </c>
      <c r="AC92" s="2" t="n">
        <v>4022.388888888889</v>
      </c>
      <c r="AD92" s="2" t="n">
        <v>5872.694444444444</v>
      </c>
      <c r="AE92" s="2" t="n">
        <v>5353.685185185184</v>
      </c>
      <c r="AF92" s="2" t="n">
        <v>6192.259259259259</v>
      </c>
      <c r="AG92" s="2" t="n">
        <v>3469.462962962963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R92" t="n">
        <v>1255</v>
      </c>
      <c r="AS92" t="n">
        <v>257</v>
      </c>
      <c r="AT92" t="n">
        <v>203</v>
      </c>
      <c r="AU92" t="n">
        <v>296</v>
      </c>
      <c r="AV92" t="n">
        <v>316</v>
      </c>
      <c r="AW92" t="n">
        <v>356</v>
      </c>
      <c r="AX92" t="n">
        <v>172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1257</v>
      </c>
      <c r="B93" s="2" t="n">
        <v>-33142.15084633976</v>
      </c>
      <c r="C93" s="2" t="n">
        <v>-32123.33492817509</v>
      </c>
      <c r="D93" s="2" t="n">
        <v>-38867.38841066085</v>
      </c>
      <c r="E93" s="2" t="n">
        <v>-40814.59110592896</v>
      </c>
      <c r="F93" s="2" t="n">
        <v>-35800.35754876703</v>
      </c>
      <c r="G93" s="2" t="n">
        <v>-48786.37942349802</v>
      </c>
      <c r="H93" s="2" t="n">
        <v>-59522.97389683761</v>
      </c>
      <c r="I93" s="2" t="n">
        <v>-54552.95823611272</v>
      </c>
      <c r="J93" s="2" t="n">
        <v>-53804.54500565812</v>
      </c>
      <c r="K93" s="2" t="n">
        <v>-39503.28212787209</v>
      </c>
      <c r="L93" s="2" t="n">
        <v>-17591.85672126409</v>
      </c>
      <c r="M93" s="2" t="n">
        <v>-78317.11233313665</v>
      </c>
      <c r="N93" s="2" t="n">
        <v>-36976.54606260113</v>
      </c>
      <c r="O93" s="2" t="n">
        <v>-36004.02504357672</v>
      </c>
      <c r="P93" t="inlineStr">
        <is>
          <t>MINUS</t>
        </is>
      </c>
      <c r="AA93" t="n">
        <v>1256</v>
      </c>
      <c r="AB93" s="2" t="n">
        <v>5534.259259259259</v>
      </c>
      <c r="AC93" s="2" t="n">
        <v>5264.518518518518</v>
      </c>
      <c r="AD93" s="2" t="n">
        <v>6315.666666666666</v>
      </c>
      <c r="AE93" s="2" t="n">
        <v>580.6574074074074</v>
      </c>
      <c r="AF93" s="2" t="n">
        <v>4184.490740740741</v>
      </c>
      <c r="AG93" s="2" t="n">
        <v>9178.990740740739</v>
      </c>
      <c r="AH93" s="2" t="n">
        <v>9200.740740740741</v>
      </c>
      <c r="AI93" s="2" t="n">
        <v>11004.00925925926</v>
      </c>
      <c r="AJ93" s="2" t="n">
        <v>8725.462962962962</v>
      </c>
      <c r="AK93" s="2" t="n">
        <v>7028.314814814815</v>
      </c>
      <c r="AL93" s="2" t="n">
        <v>7814.777777777778</v>
      </c>
      <c r="AM93" s="2" t="n">
        <v>10251.72222222222</v>
      </c>
      <c r="AN93" s="2" t="n">
        <v>5807.268518518518</v>
      </c>
      <c r="AO93" s="2" t="n">
        <v>4471.574074074074</v>
      </c>
      <c r="AR93" t="n">
        <v>1256</v>
      </c>
      <c r="AS93" t="n">
        <v>365</v>
      </c>
      <c r="AT93" t="n">
        <v>269</v>
      </c>
      <c r="AU93" t="n">
        <v>366</v>
      </c>
      <c r="AV93" t="n">
        <v>32</v>
      </c>
      <c r="AW93" t="n">
        <v>254</v>
      </c>
      <c r="AX93" t="n">
        <v>509</v>
      </c>
      <c r="AY93" t="n">
        <v>483</v>
      </c>
      <c r="AZ93" t="n">
        <v>618</v>
      </c>
      <c r="BA93" t="n">
        <v>488</v>
      </c>
      <c r="BB93" t="n">
        <v>398</v>
      </c>
      <c r="BC93" t="n">
        <v>450</v>
      </c>
      <c r="BD93" t="n">
        <v>574</v>
      </c>
      <c r="BE93" t="n">
        <v>368</v>
      </c>
      <c r="BF93" t="n">
        <v>298</v>
      </c>
    </row>
    <row r="94">
      <c r="A94" t="n">
        <v>1259</v>
      </c>
      <c r="B94" s="2" t="n">
        <v>-33394.74651548791</v>
      </c>
      <c r="C94" s="2" t="n">
        <v>-31846.7976496936</v>
      </c>
      <c r="D94" s="2" t="n">
        <v>-38761.77188629048</v>
      </c>
      <c r="E94" s="2" t="n">
        <v>-40539.65830474377</v>
      </c>
      <c r="F94" s="2" t="n">
        <v>-44036.01425937037</v>
      </c>
      <c r="G94" s="2" t="n">
        <v>-48819.19627501653</v>
      </c>
      <c r="H94" s="2" t="n">
        <v>-59755.78489143019</v>
      </c>
      <c r="I94" s="2" t="n">
        <v>-54815.95410966827</v>
      </c>
      <c r="J94" s="2" t="n">
        <v>-53634.05800576924</v>
      </c>
      <c r="K94" s="2" t="n">
        <v>-9598.122709983192</v>
      </c>
      <c r="L94" s="2" t="n">
        <v>-18302.68781578261</v>
      </c>
      <c r="M94" s="2" t="n">
        <v>-78335.90138258108</v>
      </c>
      <c r="N94" s="2" t="n">
        <v>-37292.23581334187</v>
      </c>
      <c r="O94" s="2" t="n">
        <v>-36762.91450628042</v>
      </c>
      <c r="P94" t="inlineStr">
        <is>
          <t>MINUS</t>
        </is>
      </c>
      <c r="AA94" t="n">
        <v>1257</v>
      </c>
      <c r="AB94" s="2" t="n">
        <v>9034.944444444443</v>
      </c>
      <c r="AC94" s="2" t="n">
        <v>8345.324074074075</v>
      </c>
      <c r="AD94" s="2" t="n">
        <v>11231.11111111111</v>
      </c>
      <c r="AE94" s="2" t="n">
        <v>7103.916666666666</v>
      </c>
      <c r="AF94" s="2" t="n">
        <v>11106.97222222222</v>
      </c>
      <c r="AG94" s="2" t="n">
        <v>12995.21296296296</v>
      </c>
      <c r="AH94" s="2" t="n">
        <v>15273.33333333333</v>
      </c>
      <c r="AI94" s="2" t="n">
        <v>14780.78703703704</v>
      </c>
      <c r="AJ94" s="2" t="n">
        <v>10138.78703703704</v>
      </c>
      <c r="AK94" s="2" t="n">
        <v>13205.58333333333</v>
      </c>
      <c r="AL94" s="2" t="n">
        <v>20505.25925925926</v>
      </c>
      <c r="AM94" s="2" t="n">
        <v>10179.9537037037</v>
      </c>
      <c r="AN94" s="2" t="n">
        <v>7701.925925925925</v>
      </c>
      <c r="AO94" s="2" t="n">
        <v>12249.07407407407</v>
      </c>
      <c r="AR94" t="n">
        <v>1257</v>
      </c>
      <c r="AS94" t="n">
        <v>576</v>
      </c>
      <c r="AT94" t="n">
        <v>521</v>
      </c>
      <c r="AU94" t="n">
        <v>628</v>
      </c>
      <c r="AV94" t="n">
        <v>372</v>
      </c>
      <c r="AW94" t="n">
        <v>652</v>
      </c>
      <c r="AX94" t="n">
        <v>774</v>
      </c>
      <c r="AY94" t="n">
        <v>903</v>
      </c>
      <c r="AZ94" t="n">
        <v>908</v>
      </c>
      <c r="BA94" t="n">
        <v>607</v>
      </c>
      <c r="BB94" t="n">
        <v>780</v>
      </c>
      <c r="BC94" t="n">
        <v>1236</v>
      </c>
      <c r="BD94" t="n">
        <v>642</v>
      </c>
      <c r="BE94" t="n">
        <v>508</v>
      </c>
      <c r="BF94" t="n">
        <v>742</v>
      </c>
    </row>
    <row r="95">
      <c r="A95" t="n">
        <v>1261</v>
      </c>
      <c r="B95" s="2" t="n">
        <v>-32352.02411952494</v>
      </c>
      <c r="C95" s="2" t="n">
        <v>-31433.65619743434</v>
      </c>
      <c r="D95" s="2" t="n">
        <v>-38168.60008340159</v>
      </c>
      <c r="E95" s="2" t="n">
        <v>-39589.41502989192</v>
      </c>
      <c r="F95" s="2" t="n">
        <v>-42984.44375722222</v>
      </c>
      <c r="G95" s="2" t="n">
        <v>-47828.05209231283</v>
      </c>
      <c r="H95" s="2" t="n">
        <v>-58353.71793105982</v>
      </c>
      <c r="I95" s="2" t="n">
        <v>-52945.29213229791</v>
      </c>
      <c r="J95" s="2" t="n">
        <v>-54445.76523165812</v>
      </c>
      <c r="K95" s="2" t="n">
        <v>-39214.35212490912</v>
      </c>
      <c r="L95" s="2" t="n">
        <v>-18074.06395459743</v>
      </c>
      <c r="M95" s="2" t="n">
        <v>-54012.73212659902</v>
      </c>
      <c r="N95" s="2" t="n">
        <v>-35317.49174393446</v>
      </c>
      <c r="O95" s="2" t="n">
        <v>-34948.97229302116</v>
      </c>
      <c r="P95" t="inlineStr">
        <is>
          <t>MINUS</t>
        </is>
      </c>
      <c r="AA95" t="n">
        <v>1259</v>
      </c>
      <c r="AB95" s="2" t="n">
        <v>6101.925925925926</v>
      </c>
      <c r="AC95" s="2" t="n">
        <v>5041.648148148148</v>
      </c>
      <c r="AD95" s="2" t="n">
        <v>6082.842592592592</v>
      </c>
      <c r="AE95" s="2" t="n">
        <v>4019.638888888888</v>
      </c>
      <c r="AF95" s="2" t="n">
        <v>6546.861111111111</v>
      </c>
      <c r="AG95" s="2" t="n">
        <v>5799.898148148148</v>
      </c>
      <c r="AH95" s="2" t="n">
        <v>5641.981481481482</v>
      </c>
      <c r="AI95" s="2" t="n">
        <v>4672.787037037036</v>
      </c>
      <c r="AJ95" s="2" t="n">
        <v>5698.175925925926</v>
      </c>
      <c r="AK95" s="2" t="n">
        <v>5447.435185185185</v>
      </c>
      <c r="AL95" s="2" t="n">
        <v>4402.675925925925</v>
      </c>
      <c r="AM95" s="2" t="n">
        <v>2890.453703703703</v>
      </c>
      <c r="AN95" s="2" t="n">
        <v>3911.962962962963</v>
      </c>
      <c r="AO95" s="2" t="n">
        <v>2833.944444444444</v>
      </c>
      <c r="AR95" t="n">
        <v>1259</v>
      </c>
      <c r="AS95" t="n">
        <v>397</v>
      </c>
      <c r="AT95" t="n">
        <v>334</v>
      </c>
      <c r="AU95" t="n">
        <v>421</v>
      </c>
      <c r="AV95" t="n">
        <v>302</v>
      </c>
      <c r="AW95" t="n">
        <v>415</v>
      </c>
      <c r="AX95" t="n">
        <v>422</v>
      </c>
      <c r="AY95" t="n">
        <v>392</v>
      </c>
      <c r="AZ95" t="n">
        <v>371</v>
      </c>
      <c r="BA95" t="n">
        <v>375</v>
      </c>
      <c r="BB95" t="n">
        <v>444</v>
      </c>
      <c r="BC95" t="n">
        <v>356</v>
      </c>
      <c r="BD95" t="n">
        <v>225</v>
      </c>
      <c r="BE95" t="n">
        <v>287</v>
      </c>
      <c r="BF95" t="n">
        <v>220</v>
      </c>
    </row>
    <row r="96">
      <c r="A96" t="n">
        <v>1262</v>
      </c>
      <c r="B96" s="2" t="n">
        <v>-32548.35443263606</v>
      </c>
      <c r="C96" s="2" t="n">
        <v>-18368.77629545022</v>
      </c>
      <c r="D96" s="2" t="n">
        <v>-38457.55458151269</v>
      </c>
      <c r="E96" s="2" t="n">
        <v>-39980.01785726229</v>
      </c>
      <c r="F96" s="2" t="n">
        <v>-43556.43555492593</v>
      </c>
      <c r="G96" s="2" t="n">
        <v>-47971.07993005357</v>
      </c>
      <c r="H96" s="2" t="n">
        <v>-59245.39812883761</v>
      </c>
      <c r="I96" s="2" t="n">
        <v>-53473.2337475942</v>
      </c>
      <c r="J96" s="2" t="n">
        <v>-54813.23813080627</v>
      </c>
      <c r="K96" s="2" t="n">
        <v>-39404.58894802023</v>
      </c>
      <c r="L96" s="2" t="n">
        <v>-18568.05010830113</v>
      </c>
      <c r="M96" s="2" t="n">
        <v>-76353.79228561814</v>
      </c>
      <c r="N96" s="2" t="n">
        <v>-35391.30160867521</v>
      </c>
      <c r="O96" s="2" t="n">
        <v>-35099.80243698412</v>
      </c>
      <c r="P96" t="inlineStr">
        <is>
          <t>MINUS</t>
        </is>
      </c>
      <c r="AA96" t="n">
        <v>1261</v>
      </c>
      <c r="AB96" s="2" t="n">
        <v>33718.57407407407</v>
      </c>
      <c r="AC96" s="2" t="n">
        <v>33326.79629629629</v>
      </c>
      <c r="AD96" s="2" t="n">
        <v>40873.64814814815</v>
      </c>
      <c r="AE96" s="2" t="n">
        <v>48368.68518518519</v>
      </c>
      <c r="AF96" s="2" t="n">
        <v>48386.05555555555</v>
      </c>
      <c r="AG96" s="2" t="n">
        <v>46069.4537037037</v>
      </c>
      <c r="AH96" s="2" t="n">
        <v>55461.88888888888</v>
      </c>
      <c r="AI96" s="2" t="n">
        <v>60714.79629629629</v>
      </c>
      <c r="AJ96" s="2" t="n">
        <v>40675.33333333333</v>
      </c>
      <c r="AK96" s="2" t="n">
        <v>37674.00925925926</v>
      </c>
      <c r="AL96" s="2" t="n">
        <v>32103.08333333333</v>
      </c>
      <c r="AM96" s="2" t="n">
        <v>26337.92592592592</v>
      </c>
      <c r="AN96" s="2" t="n">
        <v>26446.32407407407</v>
      </c>
      <c r="AO96" s="2" t="n">
        <v>23702.57407407407</v>
      </c>
      <c r="AR96" t="n">
        <v>1261</v>
      </c>
      <c r="AS96" t="n">
        <v>1396</v>
      </c>
      <c r="AT96" t="n">
        <v>1353</v>
      </c>
      <c r="AU96" t="n">
        <v>1696</v>
      </c>
      <c r="AV96" t="n">
        <v>1848</v>
      </c>
      <c r="AW96" t="n">
        <v>1865</v>
      </c>
      <c r="AX96" t="n">
        <v>1773</v>
      </c>
      <c r="AY96" t="n">
        <v>2065</v>
      </c>
      <c r="AZ96" t="n">
        <v>2234</v>
      </c>
      <c r="BA96" t="n">
        <v>1519</v>
      </c>
      <c r="BB96" t="n">
        <v>1662</v>
      </c>
      <c r="BC96" t="n">
        <v>1358</v>
      </c>
      <c r="BD96" t="n">
        <v>946</v>
      </c>
      <c r="BE96" t="n">
        <v>1120</v>
      </c>
      <c r="BF96" t="n">
        <v>1062</v>
      </c>
    </row>
    <row r="97">
      <c r="A97" t="n">
        <v>1263</v>
      </c>
      <c r="B97" s="2" t="n">
        <v>-27313.59563933976</v>
      </c>
      <c r="C97" s="2" t="n">
        <v>-26165.00524121212</v>
      </c>
      <c r="D97" s="2" t="n">
        <v>-32192.27481754973</v>
      </c>
      <c r="E97" s="2" t="n">
        <v>-33568.76081755859</v>
      </c>
      <c r="F97" s="2" t="n">
        <v>-37480.53171885185</v>
      </c>
      <c r="G97" s="2" t="n">
        <v>-86.7114830165292</v>
      </c>
      <c r="H97" s="2" t="n">
        <v>-55222.04318046723</v>
      </c>
      <c r="I97" s="2" t="n">
        <v>-49816.23651863124</v>
      </c>
      <c r="J97" s="2" t="n">
        <v>-51708.69499650997</v>
      </c>
      <c r="K97" s="2" t="n">
        <v>-36568.3210760943</v>
      </c>
      <c r="L97" s="2" t="n">
        <v>-15345.81105407891</v>
      </c>
      <c r="M97" s="2" t="n">
        <v>-71967.94780654406</v>
      </c>
      <c r="N97" s="2" t="n">
        <v>-30760.49463100854</v>
      </c>
      <c r="O97" s="2" t="n">
        <v>-30930.15505487301</v>
      </c>
      <c r="P97" t="inlineStr">
        <is>
          <t>MINUS</t>
        </is>
      </c>
      <c r="AA97" t="n">
        <v>1262</v>
      </c>
      <c r="AB97" s="2" t="n">
        <v>28930.10185185185</v>
      </c>
      <c r="AC97" s="2" t="n">
        <v>25134.37962962963</v>
      </c>
      <c r="AD97" s="2" t="n">
        <v>27966.05555555555</v>
      </c>
      <c r="AE97" s="2" t="n">
        <v>33877.46296296296</v>
      </c>
      <c r="AF97" s="2" t="n">
        <v>35888.61111111111</v>
      </c>
      <c r="AG97" s="2" t="n">
        <v>41749.4074074074</v>
      </c>
      <c r="AH97" s="2" t="n">
        <v>40742.99074074074</v>
      </c>
      <c r="AI97" s="2" t="n">
        <v>49928.18518518518</v>
      </c>
      <c r="AJ97" s="2" t="n">
        <v>35923.49074074074</v>
      </c>
      <c r="AK97" s="2" t="n">
        <v>30747.49074074073</v>
      </c>
      <c r="AL97" s="2" t="n">
        <v>21258.78703703704</v>
      </c>
      <c r="AM97" s="2" t="n">
        <v>30738.12037037037</v>
      </c>
      <c r="AN97" s="2" t="n">
        <v>25218.56481481481</v>
      </c>
      <c r="AO97" s="2" t="n">
        <v>19674.97222222222</v>
      </c>
      <c r="AR97" t="n">
        <v>1262</v>
      </c>
      <c r="AS97" t="n">
        <v>1346</v>
      </c>
      <c r="AT97" t="n">
        <v>1237</v>
      </c>
      <c r="AU97" t="n">
        <v>1290</v>
      </c>
      <c r="AV97" t="n">
        <v>1441</v>
      </c>
      <c r="AW97" t="n">
        <v>1607</v>
      </c>
      <c r="AX97" t="n">
        <v>1868</v>
      </c>
      <c r="AY97" t="n">
        <v>1728</v>
      </c>
      <c r="AZ97" t="n">
        <v>2049</v>
      </c>
      <c r="BA97" t="n">
        <v>1572</v>
      </c>
      <c r="BB97" t="n">
        <v>1546</v>
      </c>
      <c r="BC97" t="n">
        <v>1147</v>
      </c>
      <c r="BD97" t="n">
        <v>1340</v>
      </c>
      <c r="BE97" t="n">
        <v>1234</v>
      </c>
      <c r="BF97" t="n">
        <v>1003</v>
      </c>
    </row>
    <row r="98">
      <c r="A98" t="n">
        <v>1264</v>
      </c>
      <c r="B98" s="2" t="n">
        <v>-33014.36108656198</v>
      </c>
      <c r="C98" s="2" t="n">
        <v>-31770.1795579899</v>
      </c>
      <c r="D98" s="2" t="n">
        <v>-38937.70358495714</v>
      </c>
      <c r="E98" s="2" t="n">
        <v>-40358.62018648451</v>
      </c>
      <c r="F98" s="2" t="n">
        <v>-43995.36205903704</v>
      </c>
      <c r="G98" s="2" t="n">
        <v>-48706.15975179431</v>
      </c>
      <c r="H98" s="2" t="n">
        <v>-59767.5064508376</v>
      </c>
      <c r="I98" s="2" t="n">
        <v>-54638.99690374234</v>
      </c>
      <c r="J98" s="2" t="n">
        <v>-53910.7615960285</v>
      </c>
      <c r="K98" s="2" t="n">
        <v>-9834.994069872082</v>
      </c>
      <c r="L98" s="2" t="n">
        <v>-18631.27563704187</v>
      </c>
      <c r="M98" s="2" t="n">
        <v>-78457.91117332185</v>
      </c>
      <c r="N98" s="2" t="n">
        <v>-37619.43695693447</v>
      </c>
      <c r="O98" s="2" t="n">
        <v>-36111.62531098413</v>
      </c>
      <c r="P98" t="inlineStr">
        <is>
          <t>MINUS</t>
        </is>
      </c>
      <c r="AA98" t="n">
        <v>1263</v>
      </c>
      <c r="AB98" s="2" t="n">
        <v>129575.8240740741</v>
      </c>
      <c r="AC98" s="2" t="n">
        <v>138978.8425925926</v>
      </c>
      <c r="AD98" s="2" t="n">
        <v>162859.1203703704</v>
      </c>
      <c r="AE98" s="2" t="n">
        <v>173663.9259259259</v>
      </c>
      <c r="AF98" s="2" t="n">
        <v>170701.7777777778</v>
      </c>
      <c r="AG98" s="2" t="n">
        <v>125255.0740740741</v>
      </c>
      <c r="AH98" s="2" t="n">
        <v>136209.9259259259</v>
      </c>
      <c r="AI98" s="2" t="n">
        <v>139344.7592592592</v>
      </c>
      <c r="AJ98" s="2" t="n">
        <v>112326.3240740741</v>
      </c>
      <c r="AK98" s="2" t="n">
        <v>113022.1388888889</v>
      </c>
      <c r="AL98" s="2" t="n">
        <v>119394.037037037</v>
      </c>
      <c r="AM98" s="2" t="n">
        <v>145904.75</v>
      </c>
      <c r="AN98" s="2" t="n">
        <v>132945.25</v>
      </c>
      <c r="AO98" s="2" t="n">
        <v>119534.7685185185</v>
      </c>
      <c r="AR98" t="n">
        <v>1263</v>
      </c>
      <c r="AS98" t="n">
        <v>5073</v>
      </c>
      <c r="AT98" t="n">
        <v>5229</v>
      </c>
      <c r="AU98" t="n">
        <v>6083</v>
      </c>
      <c r="AV98" t="n">
        <v>5952</v>
      </c>
      <c r="AW98" t="n">
        <v>6211</v>
      </c>
      <c r="AX98" t="n">
        <v>5045</v>
      </c>
      <c r="AY98" t="n">
        <v>5341</v>
      </c>
      <c r="AZ98" t="n">
        <v>5159</v>
      </c>
      <c r="BA98" t="n">
        <v>4530</v>
      </c>
      <c r="BB98" t="n">
        <v>4801</v>
      </c>
      <c r="BC98" t="n">
        <v>5450</v>
      </c>
      <c r="BD98" t="n">
        <v>5652</v>
      </c>
      <c r="BE98" t="n">
        <v>5373</v>
      </c>
      <c r="BF98" t="n">
        <v>4919</v>
      </c>
    </row>
    <row r="99">
      <c r="A99" t="n">
        <v>1265</v>
      </c>
      <c r="B99" s="2" t="n">
        <v>-33128.40580533977</v>
      </c>
      <c r="C99" s="2" t="n">
        <v>-31890.01322998989</v>
      </c>
      <c r="D99" s="2" t="n">
        <v>-39477.27549129047</v>
      </c>
      <c r="E99" s="2" t="n">
        <v>-40465.80649026229</v>
      </c>
      <c r="F99" s="2" t="n">
        <v>-44128.14063070371</v>
      </c>
      <c r="G99" s="2" t="n">
        <v>-48591.00656560912</v>
      </c>
      <c r="H99" s="2" t="n">
        <v>-59580.91588768946</v>
      </c>
      <c r="I99" s="2" t="n">
        <v>-54594.98439344604</v>
      </c>
      <c r="J99" s="2" t="n">
        <v>-54026.71395658405</v>
      </c>
      <c r="K99" s="2" t="n">
        <v>-39942.12654261282</v>
      </c>
      <c r="L99" s="2" t="n">
        <v>-18572.51160348631</v>
      </c>
      <c r="M99" s="2" t="n">
        <v>-78380.87037524776</v>
      </c>
      <c r="N99" s="2" t="n">
        <v>-37642.13733763817</v>
      </c>
      <c r="O99" s="2" t="n">
        <v>-5610.357018444443</v>
      </c>
      <c r="P99" t="inlineStr">
        <is>
          <t>MINUS</t>
        </is>
      </c>
      <c r="AA99" t="n">
        <v>1264</v>
      </c>
      <c r="AB99" s="2" t="n">
        <v>12484.36111111111</v>
      </c>
      <c r="AC99" s="2" t="n">
        <v>10780.83333333334</v>
      </c>
      <c r="AD99" s="2" t="n">
        <v>12294.86111111111</v>
      </c>
      <c r="AE99" s="2" t="n">
        <v>14862.26851851852</v>
      </c>
      <c r="AF99" s="2" t="n">
        <v>15598.08333333333</v>
      </c>
      <c r="AG99" s="2" t="n">
        <v>15775.2037037037</v>
      </c>
      <c r="AH99" s="2" t="n">
        <v>14107.00925925926</v>
      </c>
      <c r="AI99" s="2" t="n">
        <v>15458.2037037037</v>
      </c>
      <c r="AJ99" s="2" t="n">
        <v>11136.5462962963</v>
      </c>
      <c r="AK99" s="2" t="n">
        <v>11295.01851851852</v>
      </c>
      <c r="AL99" s="2" t="n">
        <v>9242.509259259259</v>
      </c>
      <c r="AM99" s="2" t="n">
        <v>10311.9537037037</v>
      </c>
      <c r="AN99" s="2" t="n">
        <v>8420.611111111109</v>
      </c>
      <c r="AO99" s="2" t="n">
        <v>9972.453703703703</v>
      </c>
      <c r="AR99" t="n">
        <v>1264</v>
      </c>
      <c r="AS99" t="n">
        <v>1031</v>
      </c>
      <c r="AT99" t="n">
        <v>871</v>
      </c>
      <c r="AU99" t="n">
        <v>1025</v>
      </c>
      <c r="AV99" t="n">
        <v>1212</v>
      </c>
      <c r="AW99" t="n">
        <v>1257</v>
      </c>
      <c r="AX99" t="n">
        <v>1309</v>
      </c>
      <c r="AY99" t="n">
        <v>1107</v>
      </c>
      <c r="AZ99" t="n">
        <v>1182</v>
      </c>
      <c r="BA99" t="n">
        <v>1006</v>
      </c>
      <c r="BB99" t="n">
        <v>1026</v>
      </c>
      <c r="BC99" t="n">
        <v>793</v>
      </c>
      <c r="BD99" t="n">
        <v>813</v>
      </c>
      <c r="BE99" t="n">
        <v>760</v>
      </c>
      <c r="BF99" t="n">
        <v>786</v>
      </c>
    </row>
    <row r="100">
      <c r="A100" t="n">
        <v>1266</v>
      </c>
      <c r="B100" s="2" t="n">
        <v>-31308.9870183768</v>
      </c>
      <c r="C100" s="2" t="n">
        <v>-30748.81692761953</v>
      </c>
      <c r="D100" s="2" t="n">
        <v>-37078.36577043862</v>
      </c>
      <c r="E100" s="2" t="n">
        <v>-38995.96108655859</v>
      </c>
      <c r="F100" s="2" t="n">
        <v>-41804.88258322223</v>
      </c>
      <c r="G100" s="2" t="n">
        <v>-46863.71748694246</v>
      </c>
      <c r="H100" s="2" t="n">
        <v>-59039.51570320798</v>
      </c>
      <c r="I100" s="2" t="n">
        <v>-11746.3566123445</v>
      </c>
      <c r="J100" s="2" t="n">
        <v>-52907.31114569516</v>
      </c>
      <c r="K100" s="2" t="n">
        <v>-38806.18205094616</v>
      </c>
      <c r="L100" s="2" t="n">
        <v>-17120.8508470789</v>
      </c>
      <c r="M100" s="2" t="n">
        <v>-77494.47656702556</v>
      </c>
      <c r="N100" s="2" t="n">
        <v>-36429.33364400855</v>
      </c>
      <c r="O100" s="2" t="n">
        <v>-35899.40721979894</v>
      </c>
      <c r="P100" t="inlineStr">
        <is>
          <t>MINUS</t>
        </is>
      </c>
      <c r="AA100" t="n">
        <v>1265</v>
      </c>
      <c r="AB100" s="2" t="n">
        <v>9385.953703703703</v>
      </c>
      <c r="AC100" s="2" t="n">
        <v>8995.962962962964</v>
      </c>
      <c r="AD100" s="2" t="n">
        <v>6950.75</v>
      </c>
      <c r="AE100" s="2" t="n">
        <v>11964.55555555555</v>
      </c>
      <c r="AF100" s="2" t="n">
        <v>12335.42592592593</v>
      </c>
      <c r="AG100" s="2" t="n">
        <v>15339.01851851852</v>
      </c>
      <c r="AH100" s="2" t="n">
        <v>14514.18518518518</v>
      </c>
      <c r="AI100" s="2" t="n">
        <v>14301.06481481481</v>
      </c>
      <c r="AJ100" s="2" t="n">
        <v>7979.064814814814</v>
      </c>
      <c r="AK100" s="2" t="n">
        <v>8072.361111111111</v>
      </c>
      <c r="AL100" s="2" t="n">
        <v>8168.064814814814</v>
      </c>
      <c r="AM100" s="2" t="n">
        <v>9439.685185185184</v>
      </c>
      <c r="AN100" s="2" t="n">
        <v>6682.814814814815</v>
      </c>
      <c r="AO100" s="2" t="n">
        <v>8449.194444444445</v>
      </c>
      <c r="AR100" t="n">
        <v>1265</v>
      </c>
      <c r="AS100" t="n">
        <v>659</v>
      </c>
      <c r="AT100" t="n">
        <v>599</v>
      </c>
      <c r="AU100" t="n">
        <v>452</v>
      </c>
      <c r="AV100" t="n">
        <v>871</v>
      </c>
      <c r="AW100" t="n">
        <v>859</v>
      </c>
      <c r="AX100" t="n">
        <v>1006</v>
      </c>
      <c r="AY100" t="n">
        <v>975</v>
      </c>
      <c r="AZ100" t="n">
        <v>900</v>
      </c>
      <c r="BA100" t="n">
        <v>586</v>
      </c>
      <c r="BB100" t="n">
        <v>615</v>
      </c>
      <c r="BC100" t="n">
        <v>551</v>
      </c>
      <c r="BD100" t="n">
        <v>566</v>
      </c>
      <c r="BE100" t="n">
        <v>498</v>
      </c>
      <c r="BF100" t="n">
        <v>513</v>
      </c>
    </row>
    <row r="101">
      <c r="A101" t="n">
        <v>1267</v>
      </c>
      <c r="B101" s="2" t="n">
        <v>-32254.39799922865</v>
      </c>
      <c r="C101" s="2" t="n">
        <v>-31410.71865280471</v>
      </c>
      <c r="D101" s="2" t="n">
        <v>-38309.25631977196</v>
      </c>
      <c r="E101" s="2" t="n">
        <v>-39507.93199907711</v>
      </c>
      <c r="F101" s="2" t="n">
        <v>-20985.19230708244</v>
      </c>
      <c r="G101" s="2" t="n">
        <v>-46415.49053583135</v>
      </c>
      <c r="H101" s="2" t="n">
        <v>-57240.35970172649</v>
      </c>
      <c r="I101" s="2" t="n">
        <v>-51939.63212581642</v>
      </c>
      <c r="J101" s="2" t="n">
        <v>-53384.51129021368</v>
      </c>
      <c r="K101" s="2" t="n">
        <v>-39255.51214261282</v>
      </c>
      <c r="L101" s="2" t="n">
        <v>-18247.43245519001</v>
      </c>
      <c r="M101" s="2" t="n">
        <v>-77912.81749802554</v>
      </c>
      <c r="N101" s="2" t="n">
        <v>-37105.30910182336</v>
      </c>
      <c r="O101" s="2" t="n">
        <v>-35077.47816705819</v>
      </c>
      <c r="P101" t="inlineStr">
        <is>
          <t>MINUS</t>
        </is>
      </c>
      <c r="AA101" t="n">
        <v>1266</v>
      </c>
      <c r="AB101" s="2" t="n">
        <v>25898.18518518519</v>
      </c>
      <c r="AC101" s="2" t="n">
        <v>17907.17592592593</v>
      </c>
      <c r="AD101" s="2" t="n">
        <v>27791.72222222222</v>
      </c>
      <c r="AE101" s="2" t="n">
        <v>23952.9074074074</v>
      </c>
      <c r="AF101" s="2" t="n">
        <v>34925.76851851852</v>
      </c>
      <c r="AG101" s="2" t="n">
        <v>30827.36111111111</v>
      </c>
      <c r="AH101" s="2" t="n">
        <v>15609.15740740741</v>
      </c>
      <c r="AI101" s="2" t="n">
        <v>21268.28703703703</v>
      </c>
      <c r="AJ101" s="2" t="n">
        <v>15662.80555555555</v>
      </c>
      <c r="AK101" s="2" t="n">
        <v>16080.04629629629</v>
      </c>
      <c r="AL101" s="2" t="n">
        <v>20189.68518518518</v>
      </c>
      <c r="AM101" s="2" t="n">
        <v>14593.03703703704</v>
      </c>
      <c r="AN101" s="2" t="n">
        <v>13957.05555555555</v>
      </c>
      <c r="AO101" s="2" t="n">
        <v>12899.19444444445</v>
      </c>
      <c r="AR101" t="n">
        <v>1266</v>
      </c>
      <c r="AS101" t="n">
        <v>1687</v>
      </c>
      <c r="AT101" t="n">
        <v>1188</v>
      </c>
      <c r="AU101" t="n">
        <v>1783</v>
      </c>
      <c r="AV101" t="n">
        <v>1425</v>
      </c>
      <c r="AW101" t="n">
        <v>2135</v>
      </c>
      <c r="AX101" t="n">
        <v>1893</v>
      </c>
      <c r="AY101" t="n">
        <v>934</v>
      </c>
      <c r="AZ101" t="n">
        <v>1127</v>
      </c>
      <c r="BA101" t="n">
        <v>922</v>
      </c>
      <c r="BB101" t="n">
        <v>987</v>
      </c>
      <c r="BC101" t="n">
        <v>1279</v>
      </c>
      <c r="BD101" t="n">
        <v>896</v>
      </c>
      <c r="BE101" t="n">
        <v>888</v>
      </c>
      <c r="BF101" t="n">
        <v>770</v>
      </c>
    </row>
    <row r="102">
      <c r="A102" t="n">
        <v>1268</v>
      </c>
      <c r="B102" s="2" t="n">
        <v>-29102.79397456198</v>
      </c>
      <c r="C102" s="2" t="n">
        <v>-28027.76011954545</v>
      </c>
      <c r="D102" s="2" t="n">
        <v>-35010.88519558677</v>
      </c>
      <c r="E102" s="2" t="n">
        <v>-36632.29047826229</v>
      </c>
      <c r="F102" s="2" t="n">
        <v>-40327.190321</v>
      </c>
      <c r="G102" s="2" t="n">
        <v>-45046.78126501653</v>
      </c>
      <c r="H102" s="2" t="n">
        <v>-55965.96134261538</v>
      </c>
      <c r="I102" s="2" t="n">
        <v>-50949.33773726087</v>
      </c>
      <c r="J102" s="2" t="n">
        <v>-49860.64984976923</v>
      </c>
      <c r="K102" s="2" t="n">
        <v>-35784.5815399832</v>
      </c>
      <c r="L102" s="2" t="n">
        <v>-14433.54120778261</v>
      </c>
      <c r="M102" s="2" t="n">
        <v>-37850.94499936485</v>
      </c>
      <c r="N102" s="2" t="n">
        <v>-33371.91247356409</v>
      </c>
      <c r="O102" s="2" t="n">
        <v>-32762.09462542857</v>
      </c>
      <c r="P102" t="inlineStr">
        <is>
          <t>MINUS</t>
        </is>
      </c>
      <c r="AA102" t="n">
        <v>1267</v>
      </c>
      <c r="AB102" s="2" t="n">
        <v>36404.06481481482</v>
      </c>
      <c r="AC102" s="2" t="n">
        <v>28773.22222222222</v>
      </c>
      <c r="AD102" s="2" t="n">
        <v>43780.31481481482</v>
      </c>
      <c r="AE102" s="2" t="n">
        <v>53466.10185185185</v>
      </c>
      <c r="AF102" s="2" t="n">
        <v>52799.15740740741</v>
      </c>
      <c r="AG102" s="2" t="n">
        <v>53718.02777777777</v>
      </c>
      <c r="AH102" s="2" t="n">
        <v>53797.47222222222</v>
      </c>
      <c r="AI102" s="2" t="n">
        <v>58421.33333333334</v>
      </c>
      <c r="AJ102" s="2" t="n">
        <v>45153.41666666666</v>
      </c>
      <c r="AK102" s="2" t="n">
        <v>47234.09259259259</v>
      </c>
      <c r="AL102" s="2" t="n">
        <v>40591.24999999999</v>
      </c>
      <c r="AM102" s="2" t="n">
        <v>49196.16666666666</v>
      </c>
      <c r="AN102" s="2" t="n">
        <v>37975.05555555555</v>
      </c>
      <c r="AO102" s="2" t="n">
        <v>32475.43518518518</v>
      </c>
      <c r="AR102" t="n">
        <v>1267</v>
      </c>
      <c r="AS102" t="n">
        <v>1371</v>
      </c>
      <c r="AT102" t="n">
        <v>1264</v>
      </c>
      <c r="AU102" t="n">
        <v>1772</v>
      </c>
      <c r="AV102" t="n">
        <v>1970</v>
      </c>
      <c r="AW102" t="n">
        <v>2223</v>
      </c>
      <c r="AX102" t="n">
        <v>2198</v>
      </c>
      <c r="AY102" t="n">
        <v>2129</v>
      </c>
      <c r="AZ102" t="n">
        <v>2287</v>
      </c>
      <c r="BA102" t="n">
        <v>1837</v>
      </c>
      <c r="BB102" t="n">
        <v>1972</v>
      </c>
      <c r="BC102" t="n">
        <v>1811</v>
      </c>
      <c r="BD102" t="n">
        <v>1899</v>
      </c>
      <c r="BE102" t="n">
        <v>1607</v>
      </c>
      <c r="BF102" t="n">
        <v>1485</v>
      </c>
    </row>
    <row r="103">
      <c r="A103" t="n">
        <v>1269</v>
      </c>
      <c r="B103" s="2" t="n">
        <v>-31159.02823722865</v>
      </c>
      <c r="C103" s="2" t="n">
        <v>-30718.89415180471</v>
      </c>
      <c r="D103" s="2" t="n">
        <v>-37513.79323825345</v>
      </c>
      <c r="E103" s="2" t="n">
        <v>-39060.43044041045</v>
      </c>
      <c r="F103" s="2" t="n">
        <v>-42325.82392488889</v>
      </c>
      <c r="G103" s="2" t="n">
        <v>-46671.5871100906</v>
      </c>
      <c r="H103" s="2" t="n">
        <v>-56774.9904218376</v>
      </c>
      <c r="I103" s="2" t="n">
        <v>-51594.02821455716</v>
      </c>
      <c r="J103" s="2" t="n">
        <v>-51772.30976517664</v>
      </c>
      <c r="K103" s="2" t="n">
        <v>-38484.8005726869</v>
      </c>
      <c r="L103" s="2" t="n">
        <v>-17159.69121778261</v>
      </c>
      <c r="M103" s="2" t="n">
        <v>-76693.46355632185</v>
      </c>
      <c r="N103" s="2" t="n">
        <v>-36144.89782952706</v>
      </c>
      <c r="O103" s="2" t="n">
        <v>-35546.18781709523</v>
      </c>
      <c r="P103" t="inlineStr">
        <is>
          <t>MINUS</t>
        </is>
      </c>
      <c r="AA103" t="n">
        <v>1268</v>
      </c>
      <c r="AB103" s="2" t="n">
        <v>19002.59259259259</v>
      </c>
      <c r="AC103" s="2" t="n">
        <v>18349.55555555555</v>
      </c>
      <c r="AD103" s="2" t="n">
        <v>21274.21296296296</v>
      </c>
      <c r="AE103" s="2" t="n">
        <v>21746.53703703704</v>
      </c>
      <c r="AF103" s="2" t="n">
        <v>22662.51851851852</v>
      </c>
      <c r="AG103" s="2" t="n">
        <v>23567.16666666666</v>
      </c>
      <c r="AH103" s="2" t="n">
        <v>26155.10185185185</v>
      </c>
      <c r="AI103" s="2" t="n">
        <v>28156.59259259259</v>
      </c>
      <c r="AJ103" s="2" t="n">
        <v>19033.91666666667</v>
      </c>
      <c r="AK103" s="2" t="n">
        <v>19694.13888888889</v>
      </c>
      <c r="AL103" s="2" t="n">
        <v>17061.12037037037</v>
      </c>
      <c r="AM103" s="2" t="n">
        <v>16834.05555555556</v>
      </c>
      <c r="AN103" s="2" t="n">
        <v>16232.83333333333</v>
      </c>
      <c r="AO103" s="2" t="n">
        <v>13999.24074074074</v>
      </c>
      <c r="AR103" t="n">
        <v>1268</v>
      </c>
      <c r="AS103" t="n">
        <v>1588</v>
      </c>
      <c r="AT103" t="n">
        <v>1501</v>
      </c>
      <c r="AU103" t="n">
        <v>1732</v>
      </c>
      <c r="AV103" t="n">
        <v>1759</v>
      </c>
      <c r="AW103" t="n">
        <v>1833</v>
      </c>
      <c r="AX103" t="n">
        <v>1760</v>
      </c>
      <c r="AY103" t="n">
        <v>1892</v>
      </c>
      <c r="AZ103" t="n">
        <v>1869</v>
      </c>
      <c r="BA103" t="n">
        <v>1538</v>
      </c>
      <c r="BB103" t="n">
        <v>1532</v>
      </c>
      <c r="BC103" t="n">
        <v>1385</v>
      </c>
      <c r="BD103" t="n">
        <v>1353</v>
      </c>
      <c r="BE103" t="n">
        <v>1346</v>
      </c>
      <c r="BF103" t="n">
        <v>1152</v>
      </c>
    </row>
    <row r="104">
      <c r="A104" t="n">
        <v>1270</v>
      </c>
      <c r="B104" s="2" t="n">
        <v>-32076.72229033976</v>
      </c>
      <c r="C104" s="2" t="n">
        <v>-31271.85830732324</v>
      </c>
      <c r="D104" s="2" t="n">
        <v>-38016.52816143863</v>
      </c>
      <c r="E104" s="2" t="n">
        <v>-39590.62918711414</v>
      </c>
      <c r="F104" s="2" t="n">
        <v>-43044.82389240741</v>
      </c>
      <c r="G104" s="2" t="n">
        <v>-47614.03286453505</v>
      </c>
      <c r="H104" s="2" t="n">
        <v>-58210.62208257835</v>
      </c>
      <c r="I104" s="2" t="n">
        <v>-52939.64821340902</v>
      </c>
      <c r="J104" s="2" t="n">
        <v>-52595.86860984331</v>
      </c>
      <c r="K104" s="2" t="n">
        <v>-38707.4437319832</v>
      </c>
      <c r="L104" s="2" t="n">
        <v>-17819.36739989372</v>
      </c>
      <c r="M104" s="2" t="n">
        <v>-77667.43993013665</v>
      </c>
      <c r="N104" s="2" t="n">
        <v>-36660.86585334188</v>
      </c>
      <c r="O104" s="2" t="n">
        <v>-35736.83135939153</v>
      </c>
      <c r="P104" t="inlineStr">
        <is>
          <t>MINUS</t>
        </is>
      </c>
      <c r="AA104" t="n">
        <v>1269</v>
      </c>
      <c r="AB104" s="2" t="n">
        <v>25964.2962962963</v>
      </c>
      <c r="AC104" s="2" t="n">
        <v>18623.10185185185</v>
      </c>
      <c r="AD104" s="2" t="n">
        <v>20323.77777777778</v>
      </c>
      <c r="AE104" s="2" t="n">
        <v>21551.11111111111</v>
      </c>
      <c r="AF104" s="2" t="n">
        <v>27140.15740740741</v>
      </c>
      <c r="AG104" s="2" t="n">
        <v>31873.12037037037</v>
      </c>
      <c r="AH104" s="2" t="n">
        <v>42576.97222222222</v>
      </c>
      <c r="AI104" s="2" t="n">
        <v>45427.33333333333</v>
      </c>
      <c r="AJ104" s="2" t="n">
        <v>27399.65740740741</v>
      </c>
      <c r="AK104" s="2" t="n">
        <v>18106.76851851852</v>
      </c>
      <c r="AL104" s="2" t="n">
        <v>18075.17592592592</v>
      </c>
      <c r="AM104" s="2" t="n">
        <v>22531.93518518519</v>
      </c>
      <c r="AN104" s="2" t="n">
        <v>17550.9537037037</v>
      </c>
      <c r="AO104" s="2" t="n">
        <v>17138.80555555555</v>
      </c>
      <c r="AR104" t="n">
        <v>1269</v>
      </c>
      <c r="AS104" t="n">
        <v>1064</v>
      </c>
      <c r="AT104" t="n">
        <v>924</v>
      </c>
      <c r="AU104" t="n">
        <v>950</v>
      </c>
      <c r="AV104" t="n">
        <v>1054</v>
      </c>
      <c r="AW104" t="n">
        <v>1266</v>
      </c>
      <c r="AX104" t="n">
        <v>1415</v>
      </c>
      <c r="AY104" t="n">
        <v>1782</v>
      </c>
      <c r="AZ104" t="n">
        <v>1961</v>
      </c>
      <c r="BA104" t="n">
        <v>1151</v>
      </c>
      <c r="BB104" t="n">
        <v>965</v>
      </c>
      <c r="BC104" t="n">
        <v>1001</v>
      </c>
      <c r="BD104" t="n">
        <v>1069</v>
      </c>
      <c r="BE104" t="n">
        <v>916</v>
      </c>
      <c r="BF104" t="n">
        <v>939</v>
      </c>
    </row>
    <row r="105">
      <c r="A105" t="n">
        <v>1271</v>
      </c>
      <c r="B105" s="2" t="n">
        <v>-30400.31436963606</v>
      </c>
      <c r="C105" s="2" t="n">
        <v>-29350.81398328619</v>
      </c>
      <c r="D105" s="2" t="n">
        <v>-36283.51961410529</v>
      </c>
      <c r="E105" s="2" t="n">
        <v>-37565.38125255859</v>
      </c>
      <c r="F105" s="2" t="n">
        <v>-41255.56338085185</v>
      </c>
      <c r="G105" s="2" t="n">
        <v>-46172.21152020172</v>
      </c>
      <c r="H105" s="2" t="n">
        <v>-56664.56506176353</v>
      </c>
      <c r="I105" s="2" t="n">
        <v>-51419.84248503865</v>
      </c>
      <c r="J105" s="2" t="n">
        <v>-51357.00214195441</v>
      </c>
      <c r="K105" s="2" t="n">
        <v>-37044.83810157578</v>
      </c>
      <c r="L105" s="2" t="n">
        <v>-15809.05655296779</v>
      </c>
      <c r="M105" s="2" t="n">
        <v>-75618.30573184036</v>
      </c>
      <c r="N105" s="2" t="n">
        <v>-35051.54868708262</v>
      </c>
      <c r="O105" s="2" t="n">
        <v>-34168.31030739153</v>
      </c>
      <c r="P105" t="inlineStr">
        <is>
          <t>MINUS</t>
        </is>
      </c>
      <c r="AA105" t="n">
        <v>1270</v>
      </c>
      <c r="AB105" s="2" t="n">
        <v>18606.06481481481</v>
      </c>
      <c r="AC105" s="2" t="n">
        <v>15474.84259259259</v>
      </c>
      <c r="AD105" s="2" t="n">
        <v>18381.41666666666</v>
      </c>
      <c r="AE105" s="2" t="n">
        <v>18965.87037037037</v>
      </c>
      <c r="AF105" s="2" t="n">
        <v>21756.01851851852</v>
      </c>
      <c r="AG105" s="2" t="n">
        <v>23528.24074074074</v>
      </c>
      <c r="AH105" s="2" t="n">
        <v>27258</v>
      </c>
      <c r="AI105" s="2" t="n">
        <v>30256.44444444444</v>
      </c>
      <c r="AJ105" s="2" t="n">
        <v>21458.13888888889</v>
      </c>
      <c r="AK105" s="2" t="n">
        <v>19417.19444444445</v>
      </c>
      <c r="AL105" s="2" t="n">
        <v>14169.22222222222</v>
      </c>
      <c r="AM105" s="2" t="n">
        <v>15001.71296296296</v>
      </c>
      <c r="AN105" s="2" t="n">
        <v>15098.21296296296</v>
      </c>
      <c r="AO105" s="2" t="n">
        <v>13958.62037037037</v>
      </c>
      <c r="AR105" t="n">
        <v>1270</v>
      </c>
      <c r="AS105" t="n">
        <v>884</v>
      </c>
      <c r="AT105" t="n">
        <v>800</v>
      </c>
      <c r="AU105" t="n">
        <v>1033</v>
      </c>
      <c r="AV105" t="n">
        <v>936</v>
      </c>
      <c r="AW105" t="n">
        <v>1034</v>
      </c>
      <c r="AX105" t="n">
        <v>1084</v>
      </c>
      <c r="AY105" t="n">
        <v>1196</v>
      </c>
      <c r="AZ105" t="n">
        <v>1253</v>
      </c>
      <c r="BA105" t="n">
        <v>997</v>
      </c>
      <c r="BB105" t="n">
        <v>981</v>
      </c>
      <c r="BC105" t="n">
        <v>808</v>
      </c>
      <c r="BD105" t="n">
        <v>806</v>
      </c>
      <c r="BE105" t="n">
        <v>782</v>
      </c>
      <c r="BF105" t="n">
        <v>779</v>
      </c>
    </row>
    <row r="106">
      <c r="A106" t="n">
        <v>1272</v>
      </c>
      <c r="B106" s="2" t="n">
        <v>-32947.65806845087</v>
      </c>
      <c r="C106" s="2" t="n">
        <v>-31929.90065817508</v>
      </c>
      <c r="D106" s="2" t="n">
        <v>-38908.13346621641</v>
      </c>
      <c r="E106" s="2" t="n">
        <v>-39976.41167944749</v>
      </c>
      <c r="F106" s="2" t="n">
        <v>-43572.40196966668</v>
      </c>
      <c r="G106" s="2" t="n">
        <v>-48602.77389583135</v>
      </c>
      <c r="H106" s="2" t="n">
        <v>-58998.22444157835</v>
      </c>
      <c r="I106" s="2" t="n">
        <v>-54000.68353252012</v>
      </c>
      <c r="J106" s="2" t="n">
        <v>-53407.98677232479</v>
      </c>
      <c r="K106" s="2" t="n">
        <v>-39264.59877550172</v>
      </c>
      <c r="L106" s="2" t="n">
        <v>-17959.93827748631</v>
      </c>
      <c r="M106" s="2" t="n">
        <v>-78002.05242546998</v>
      </c>
      <c r="N106" s="2" t="n">
        <v>-37355.67855449003</v>
      </c>
      <c r="O106" s="2" t="n">
        <v>-36192.05683939153</v>
      </c>
      <c r="P106" t="inlineStr">
        <is>
          <t>MINUS</t>
        </is>
      </c>
      <c r="AA106" t="n">
        <v>1271</v>
      </c>
      <c r="AB106" s="2" t="n">
        <v>38344.52777777777</v>
      </c>
      <c r="AC106" s="2" t="n">
        <v>32871.1574074074</v>
      </c>
      <c r="AD106" s="2" t="n">
        <v>35535.13888888889</v>
      </c>
      <c r="AE106" s="2" t="n">
        <v>40551.43518518518</v>
      </c>
      <c r="AF106" s="2" t="n">
        <v>41169.71296296296</v>
      </c>
      <c r="AG106" s="2" t="n">
        <v>38930.7037037037</v>
      </c>
      <c r="AH106" s="2" t="n">
        <v>44862.17592592593</v>
      </c>
      <c r="AI106" s="2" t="n">
        <v>49275.10185185185</v>
      </c>
      <c r="AJ106" s="2" t="n">
        <v>33951.69444444444</v>
      </c>
      <c r="AK106" s="2" t="n">
        <v>33125.09259259259</v>
      </c>
      <c r="AL106" s="2" t="n">
        <v>31899.33333333333</v>
      </c>
      <c r="AM106" s="2" t="n">
        <v>32736.38888888888</v>
      </c>
      <c r="AN106" s="2" t="n">
        <v>28824.00925925926</v>
      </c>
      <c r="AO106" s="2" t="n">
        <v>24978.07407407407</v>
      </c>
      <c r="AR106" t="n">
        <v>1271</v>
      </c>
      <c r="AS106" t="n">
        <v>2668</v>
      </c>
      <c r="AT106" t="n">
        <v>2276</v>
      </c>
      <c r="AU106" t="n">
        <v>2345</v>
      </c>
      <c r="AV106" t="n">
        <v>2508</v>
      </c>
      <c r="AW106" t="n">
        <v>2562</v>
      </c>
      <c r="AX106" t="n">
        <v>2538</v>
      </c>
      <c r="AY106" t="n">
        <v>2775</v>
      </c>
      <c r="AZ106" t="n">
        <v>3027</v>
      </c>
      <c r="BA106" t="n">
        <v>2357</v>
      </c>
      <c r="BB106" t="n">
        <v>2306</v>
      </c>
      <c r="BC106" t="n">
        <v>2358</v>
      </c>
      <c r="BD106" t="n">
        <v>2231</v>
      </c>
      <c r="BE106" t="n">
        <v>2064</v>
      </c>
      <c r="BF106" t="n">
        <v>1705</v>
      </c>
    </row>
    <row r="107">
      <c r="A107" t="n">
        <v>1273</v>
      </c>
      <c r="B107" s="2" t="n">
        <v>-27790.21736204346</v>
      </c>
      <c r="C107" s="2" t="n">
        <v>-26691.62742884175</v>
      </c>
      <c r="D107" s="2" t="n">
        <v>-33709.70286014234</v>
      </c>
      <c r="E107" s="2" t="n">
        <v>-35258.57235822526</v>
      </c>
      <c r="F107" s="2" t="n">
        <v>-38962.63408907408</v>
      </c>
      <c r="G107" s="2" t="n">
        <v>-43517.50841931283</v>
      </c>
      <c r="H107" s="2" t="n">
        <v>-53968.32746939316</v>
      </c>
      <c r="I107" s="2" t="n">
        <v>-49267.61046707568</v>
      </c>
      <c r="J107" s="2" t="n">
        <v>-48491.65629076923</v>
      </c>
      <c r="K107" s="2" t="n">
        <v>-34389.52881313134</v>
      </c>
      <c r="L107" s="2" t="n">
        <v>-13107.89107496779</v>
      </c>
      <c r="M107" s="2" t="n">
        <v>-73062.54221206259</v>
      </c>
      <c r="N107" s="2" t="n">
        <v>-32018.47373086039</v>
      </c>
      <c r="O107" s="2" t="n">
        <v>-31371.16587616931</v>
      </c>
      <c r="P107" t="inlineStr">
        <is>
          <t>MINUS</t>
        </is>
      </c>
      <c r="AA107" t="n">
        <v>1272</v>
      </c>
      <c r="AB107" s="2" t="n">
        <v>15520.23148148148</v>
      </c>
      <c r="AC107" s="2" t="n">
        <v>12848.03703703704</v>
      </c>
      <c r="AD107" s="2" t="n">
        <v>14952.81481481481</v>
      </c>
      <c r="AE107" s="2" t="n">
        <v>17412.37037037037</v>
      </c>
      <c r="AF107" s="2" t="n">
        <v>18509.26851851852</v>
      </c>
      <c r="AG107" s="2" t="n">
        <v>14971.37037037037</v>
      </c>
      <c r="AH107" s="2" t="n">
        <v>21258.61111111111</v>
      </c>
      <c r="AI107" s="2" t="n">
        <v>20843.44444444444</v>
      </c>
      <c r="AJ107" s="2" t="n">
        <v>15019.07407407407</v>
      </c>
      <c r="AK107" s="2" t="n">
        <v>15829.55555555555</v>
      </c>
      <c r="AL107" s="2" t="n">
        <v>15214.2037037037</v>
      </c>
      <c r="AM107" s="2" t="n">
        <v>13879.97222222222</v>
      </c>
      <c r="AN107" s="2" t="n">
        <v>9831.898148148146</v>
      </c>
      <c r="AO107" s="2" t="n">
        <v>8930.777777777777</v>
      </c>
      <c r="AR107" t="n">
        <v>1272</v>
      </c>
      <c r="AS107" t="n">
        <v>1163</v>
      </c>
      <c r="AT107" t="n">
        <v>982</v>
      </c>
      <c r="AU107" t="n">
        <v>1102</v>
      </c>
      <c r="AV107" t="n">
        <v>1244</v>
      </c>
      <c r="AW107" t="n">
        <v>1338</v>
      </c>
      <c r="AX107" t="n">
        <v>1125</v>
      </c>
      <c r="AY107" t="n">
        <v>1589</v>
      </c>
      <c r="AZ107" t="n">
        <v>1353</v>
      </c>
      <c r="BA107" t="n">
        <v>1252</v>
      </c>
      <c r="BB107" t="n">
        <v>1319</v>
      </c>
      <c r="BC107" t="n">
        <v>1127</v>
      </c>
      <c r="BD107" t="n">
        <v>1109</v>
      </c>
      <c r="BE107" t="n">
        <v>860</v>
      </c>
      <c r="BF107" t="n">
        <v>795</v>
      </c>
    </row>
    <row r="108">
      <c r="A108" t="n">
        <v>1274</v>
      </c>
      <c r="B108" s="2" t="n">
        <v>-29397.74982956198</v>
      </c>
      <c r="C108" s="2" t="n">
        <v>-28321.85643354545</v>
      </c>
      <c r="D108" s="2" t="n">
        <v>-35311.13502058677</v>
      </c>
      <c r="E108" s="2" t="n">
        <v>-36932.32415926229</v>
      </c>
      <c r="F108" s="2" t="n">
        <v>-26618.15843287097</v>
      </c>
      <c r="G108" s="2" t="n">
        <v>-45346.92459501654</v>
      </c>
      <c r="H108" s="2" t="n">
        <v>-56270.42540561538</v>
      </c>
      <c r="I108" s="2" t="n">
        <v>-51250.09662926086</v>
      </c>
      <c r="J108" s="2" t="n">
        <v>-50154.53613776923</v>
      </c>
      <c r="K108" s="2" t="n">
        <v>-36080.8770089832</v>
      </c>
      <c r="L108" s="2" t="n">
        <v>-14726.57103278261</v>
      </c>
      <c r="M108" s="2" t="n">
        <v>-74647.43719365518</v>
      </c>
      <c r="N108" s="2" t="n">
        <v>-33689.7286975641</v>
      </c>
      <c r="O108" s="2" t="n">
        <v>-33075.70115242856</v>
      </c>
      <c r="P108" t="inlineStr">
        <is>
          <t>MINUS</t>
        </is>
      </c>
      <c r="AA108" t="n">
        <v>1273</v>
      </c>
      <c r="AB108" s="2" t="n">
        <v>6536.555555555555</v>
      </c>
      <c r="AC108" s="2" t="n">
        <v>9061.925925925927</v>
      </c>
      <c r="AD108" s="2" t="n">
        <v>6956.99074074074</v>
      </c>
      <c r="AE108" s="2" t="n">
        <v>11084.4537037037</v>
      </c>
      <c r="AF108" s="2" t="n">
        <v>16908.24074074074</v>
      </c>
      <c r="AG108" s="2" t="n">
        <v>37653.10185185185</v>
      </c>
      <c r="AH108" s="2" t="n">
        <v>65681.91666666666</v>
      </c>
      <c r="AI108" s="2" t="n">
        <v>58596.7962962963</v>
      </c>
      <c r="AJ108" s="2" t="n">
        <v>19917.22222222222</v>
      </c>
      <c r="AK108" s="2" t="n">
        <v>9721.5</v>
      </c>
      <c r="AL108" s="2" t="n">
        <v>6970.87962962963</v>
      </c>
      <c r="AM108" s="2" t="n">
        <v>4248.287037037036</v>
      </c>
      <c r="AN108" s="2" t="n">
        <v>5676.129629629629</v>
      </c>
      <c r="AO108" s="2" t="n">
        <v>5635.592592592592</v>
      </c>
      <c r="AR108" t="n">
        <v>1273</v>
      </c>
      <c r="AS108" t="n">
        <v>399</v>
      </c>
      <c r="AT108" t="n">
        <v>477</v>
      </c>
      <c r="AU108" t="n">
        <v>426</v>
      </c>
      <c r="AV108" t="n">
        <v>519</v>
      </c>
      <c r="AW108" t="n">
        <v>728</v>
      </c>
      <c r="AX108" t="n">
        <v>1560</v>
      </c>
      <c r="AY108" t="n">
        <v>2303</v>
      </c>
      <c r="AZ108" t="n">
        <v>2155</v>
      </c>
      <c r="BA108" t="n">
        <v>939</v>
      </c>
      <c r="BB108" t="n">
        <v>506</v>
      </c>
      <c r="BC108" t="n">
        <v>357</v>
      </c>
      <c r="BD108" t="n">
        <v>237</v>
      </c>
      <c r="BE108" t="n">
        <v>314</v>
      </c>
      <c r="BF108" t="n">
        <v>267</v>
      </c>
    </row>
    <row r="109">
      <c r="A109" t="n">
        <v>1275</v>
      </c>
      <c r="B109" s="2" t="n">
        <v>-30889.88163311754</v>
      </c>
      <c r="C109" s="2" t="n">
        <v>-29799.10755454545</v>
      </c>
      <c r="D109" s="2" t="n">
        <v>-35925.77794458678</v>
      </c>
      <c r="E109" s="2" t="n">
        <v>-37523.97480948451</v>
      </c>
      <c r="F109" s="2" t="n">
        <v>-41058.9589297037</v>
      </c>
      <c r="G109" s="2" t="n">
        <v>-45747.14544542394</v>
      </c>
      <c r="H109" s="2" t="n">
        <v>-56118.82506850427</v>
      </c>
      <c r="I109" s="2" t="n">
        <v>-50483.05627626087</v>
      </c>
      <c r="J109" s="2" t="n">
        <v>-53888.52788939886</v>
      </c>
      <c r="K109" s="2" t="n">
        <v>-40704.6024339832</v>
      </c>
      <c r="L109" s="2" t="n">
        <v>0</v>
      </c>
      <c r="M109" s="2" t="n">
        <v>0</v>
      </c>
      <c r="N109" s="2" t="n">
        <v>0</v>
      </c>
      <c r="O109" s="2" t="n">
        <v>-12683.54397834392</v>
      </c>
      <c r="P109" t="inlineStr">
        <is>
          <t>MINUS</t>
        </is>
      </c>
      <c r="AA109" t="n">
        <v>1274</v>
      </c>
      <c r="AB109" s="2" t="n">
        <v>2430.342592592593</v>
      </c>
      <c r="AC109" s="2" t="n">
        <v>2612.583333333333</v>
      </c>
      <c r="AD109" s="2" t="n">
        <v>3081.398148148148</v>
      </c>
      <c r="AE109" s="2" t="n">
        <v>2380.694444444444</v>
      </c>
      <c r="AF109" s="2" t="n">
        <v>2899.342592592592</v>
      </c>
      <c r="AG109" s="2" t="n">
        <v>3399.046296296297</v>
      </c>
      <c r="AH109" s="2" t="n">
        <v>3730.009259259259</v>
      </c>
      <c r="AI109" s="2" t="n">
        <v>6234.916666666666</v>
      </c>
      <c r="AJ109" s="2" t="n">
        <v>2676.361111111111</v>
      </c>
      <c r="AK109" s="2" t="n">
        <v>2180.287037037037</v>
      </c>
      <c r="AL109" s="2" t="n">
        <v>2486.648148148148</v>
      </c>
      <c r="AM109" s="2" t="n">
        <v>2306.333333333333</v>
      </c>
      <c r="AN109" s="2" t="n">
        <v>1763.842592592593</v>
      </c>
      <c r="AO109" s="2" t="n">
        <v>1931.490740740741</v>
      </c>
      <c r="AR109" t="n">
        <v>1274</v>
      </c>
      <c r="AS109" t="n">
        <v>140</v>
      </c>
      <c r="AT109" t="n">
        <v>142</v>
      </c>
      <c r="AU109" t="n">
        <v>181</v>
      </c>
      <c r="AV109" t="n">
        <v>121</v>
      </c>
      <c r="AW109" t="n">
        <v>183</v>
      </c>
      <c r="AX109" t="n">
        <v>193</v>
      </c>
      <c r="AY109" t="n">
        <v>191</v>
      </c>
      <c r="AZ109" t="n">
        <v>274</v>
      </c>
      <c r="BA109" t="n">
        <v>175</v>
      </c>
      <c r="BB109" t="n">
        <v>163</v>
      </c>
      <c r="BC109" t="n">
        <v>152</v>
      </c>
      <c r="BD109" t="n">
        <v>125</v>
      </c>
      <c r="BE109" t="n">
        <v>115</v>
      </c>
      <c r="BF109" t="n">
        <v>101</v>
      </c>
    </row>
    <row r="110">
      <c r="A110" t="n">
        <v>1276</v>
      </c>
      <c r="B110" s="2" t="n">
        <v>-33288.75209456198</v>
      </c>
      <c r="C110" s="2" t="n">
        <v>-32215.35489954545</v>
      </c>
      <c r="D110" s="2" t="n">
        <v>-39203.01594058677</v>
      </c>
      <c r="E110" s="2" t="n">
        <v>-40821.87919426229</v>
      </c>
      <c r="F110" s="2" t="n">
        <v>-44514.890513</v>
      </c>
      <c r="G110" s="2" t="n">
        <v>-49236.87009901653</v>
      </c>
      <c r="H110" s="2" t="n">
        <v>-60163.48578861538</v>
      </c>
      <c r="I110" s="2" t="n">
        <v>-55147.54802626087</v>
      </c>
      <c r="J110" s="2" t="n">
        <v>-54044.91476576923</v>
      </c>
      <c r="K110" s="2" t="n">
        <v>-39969.98147798319</v>
      </c>
      <c r="L110" s="2" t="n">
        <v>-18619.46136578261</v>
      </c>
      <c r="M110" s="2" t="n">
        <v>-78540.43662465517</v>
      </c>
      <c r="N110" s="2" t="n">
        <v>-37583.35659156409</v>
      </c>
      <c r="O110" s="2" t="n">
        <v>-36970.56186142856</v>
      </c>
      <c r="P110" t="inlineStr">
        <is>
          <t>MINUS</t>
        </is>
      </c>
      <c r="AA110" t="n">
        <v>1275</v>
      </c>
      <c r="AB110" s="2" t="n">
        <v>34329.62962962963</v>
      </c>
      <c r="AC110" s="2" t="n">
        <v>34644.99074074074</v>
      </c>
      <c r="AD110" s="2" t="n">
        <v>38684.67592592593</v>
      </c>
      <c r="AE110" s="2" t="n">
        <v>39049</v>
      </c>
      <c r="AF110" s="2" t="n">
        <v>40954.5</v>
      </c>
      <c r="AG110" s="2" t="n">
        <v>41267.30555555555</v>
      </c>
      <c r="AH110" s="2" t="n">
        <v>47856.56481481482</v>
      </c>
      <c r="AI110" s="2" t="n">
        <v>55213.68518518518</v>
      </c>
      <c r="AJ110" s="2" t="n">
        <v>6231.722222222223</v>
      </c>
      <c r="AK110" s="2" t="n">
        <v>364.7777777777777</v>
      </c>
      <c r="AL110" s="2" t="n">
        <v>0</v>
      </c>
      <c r="AM110" s="2" t="n">
        <v>0</v>
      </c>
      <c r="AN110" s="2" t="n">
        <v>0</v>
      </c>
      <c r="AO110" s="2" t="n">
        <v>622.2037037037037</v>
      </c>
      <c r="AR110" t="n">
        <v>1275</v>
      </c>
      <c r="AS110" t="n">
        <v>3068</v>
      </c>
      <c r="AT110" t="n">
        <v>3013</v>
      </c>
      <c r="AU110" t="n">
        <v>3320</v>
      </c>
      <c r="AV110" t="n">
        <v>3352</v>
      </c>
      <c r="AW110" t="n">
        <v>3476</v>
      </c>
      <c r="AX110" t="n">
        <v>3308</v>
      </c>
      <c r="AY110" t="n">
        <v>3774</v>
      </c>
      <c r="AZ110" t="n">
        <v>4132</v>
      </c>
      <c r="BA110" t="n">
        <v>530</v>
      </c>
      <c r="BB110" t="n">
        <v>24</v>
      </c>
      <c r="BC110" t="n">
        <v>0</v>
      </c>
      <c r="BD110" t="n">
        <v>0</v>
      </c>
      <c r="BE110" t="n">
        <v>0</v>
      </c>
      <c r="BF110" t="n">
        <v>65</v>
      </c>
    </row>
    <row r="111">
      <c r="A111" t="n">
        <v>1277</v>
      </c>
      <c r="B111" s="2" t="n">
        <v>-32428.43447922865</v>
      </c>
      <c r="C111" s="2" t="n">
        <v>-31344.25942858249</v>
      </c>
      <c r="D111" s="2" t="n">
        <v>-37882.56857929048</v>
      </c>
      <c r="E111" s="2" t="n">
        <v>-39045.76555563267</v>
      </c>
      <c r="F111" s="2" t="n">
        <v>-41539.81389944445</v>
      </c>
      <c r="G111" s="2" t="n">
        <v>-45796.84108942394</v>
      </c>
      <c r="H111" s="2" t="n">
        <v>-54986.71842517094</v>
      </c>
      <c r="I111" s="2" t="n">
        <v>-50708.04378466828</v>
      </c>
      <c r="J111" s="2" t="n">
        <v>-51787.75971210256</v>
      </c>
      <c r="K111" s="2" t="n">
        <v>-38637.72782683505</v>
      </c>
      <c r="L111" s="2" t="n">
        <v>-5791.871063449276</v>
      </c>
      <c r="M111" s="2" t="n">
        <v>-77645.32519824778</v>
      </c>
      <c r="N111" s="2" t="n">
        <v>-36755.06856011965</v>
      </c>
      <c r="O111" s="2" t="n">
        <v>-35186.77811298412</v>
      </c>
      <c r="P111" t="inlineStr">
        <is>
          <t>MINUS</t>
        </is>
      </c>
      <c r="AA111" t="n">
        <v>1276</v>
      </c>
      <c r="AB111" s="2" t="n">
        <v>8204.37962962963</v>
      </c>
      <c r="AC111" s="2" t="n">
        <v>6853.462962962963</v>
      </c>
      <c r="AD111" s="2" t="n">
        <v>9045.73148148148</v>
      </c>
      <c r="AE111" s="2" t="n">
        <v>8993.898148148148</v>
      </c>
      <c r="AF111" s="2" t="n">
        <v>10370.37037037037</v>
      </c>
      <c r="AG111" s="2" t="n">
        <v>9884.388888888887</v>
      </c>
      <c r="AH111" s="2" t="n">
        <v>8797.564814814814</v>
      </c>
      <c r="AI111" s="2" t="n">
        <v>8894.685185185184</v>
      </c>
      <c r="AJ111" s="2" t="n">
        <v>8802.333333333334</v>
      </c>
      <c r="AK111" s="2" t="n">
        <v>9134.907407407407</v>
      </c>
      <c r="AL111" s="2" t="n">
        <v>7157.212962962963</v>
      </c>
      <c r="AM111" s="2" t="n">
        <v>7008.796296296297</v>
      </c>
      <c r="AN111" s="2" t="n">
        <v>5629.083333333334</v>
      </c>
      <c r="AO111" s="2" t="n">
        <v>5244.509259259259</v>
      </c>
      <c r="AR111" t="n">
        <v>1276</v>
      </c>
      <c r="AS111" t="n">
        <v>1239</v>
      </c>
      <c r="AT111" t="n">
        <v>1042</v>
      </c>
      <c r="AU111" t="n">
        <v>1304</v>
      </c>
      <c r="AV111" t="n">
        <v>1304</v>
      </c>
      <c r="AW111" t="n">
        <v>1378</v>
      </c>
      <c r="AX111" t="n">
        <v>1374</v>
      </c>
      <c r="AY111" t="n">
        <v>1156</v>
      </c>
      <c r="AZ111" t="n">
        <v>1056</v>
      </c>
      <c r="BA111" t="n">
        <v>1254</v>
      </c>
      <c r="BB111" t="n">
        <v>1380</v>
      </c>
      <c r="BC111" t="n">
        <v>1078</v>
      </c>
      <c r="BD111" t="n">
        <v>977</v>
      </c>
      <c r="BE111" t="n">
        <v>841</v>
      </c>
      <c r="BF111" t="n">
        <v>803</v>
      </c>
    </row>
    <row r="112">
      <c r="A112" t="n">
        <v>1278</v>
      </c>
      <c r="B112" s="2" t="n">
        <v>-32244.98561341383</v>
      </c>
      <c r="C112" s="2" t="n">
        <v>-31103.98017658249</v>
      </c>
      <c r="D112" s="2" t="n">
        <v>-37949.67488584603</v>
      </c>
      <c r="E112" s="2" t="n">
        <v>-39680.14411504008</v>
      </c>
      <c r="F112" s="2" t="n">
        <v>-43676.02609581482</v>
      </c>
      <c r="G112" s="2" t="n">
        <v>-47371.07410290542</v>
      </c>
      <c r="H112" s="2" t="n">
        <v>-57009.47861950427</v>
      </c>
      <c r="I112" s="2" t="n">
        <v>-51435.40812352013</v>
      </c>
      <c r="J112" s="2" t="n">
        <v>-52910.68590625071</v>
      </c>
      <c r="K112" s="2" t="n">
        <v>-39700.4968826869</v>
      </c>
      <c r="L112" s="2" t="n">
        <v>-6834.78678815298</v>
      </c>
      <c r="M112" s="2" t="n">
        <v>-78137.10750746999</v>
      </c>
      <c r="N112" s="2" t="n">
        <v>-37156.64578374929</v>
      </c>
      <c r="O112" s="2" t="n">
        <v>-35338.55937157671</v>
      </c>
      <c r="P112" t="inlineStr">
        <is>
          <t>MINUS</t>
        </is>
      </c>
      <c r="AA112" t="n">
        <v>1277</v>
      </c>
      <c r="AB112" s="2" t="n">
        <v>33711.17592592593</v>
      </c>
      <c r="AC112" s="2" t="n">
        <v>33331.82407407407</v>
      </c>
      <c r="AD112" s="2" t="n">
        <v>36690.32407407407</v>
      </c>
      <c r="AE112" s="2" t="n">
        <v>44000.87037037037</v>
      </c>
      <c r="AF112" s="2" t="n">
        <v>62256.15740740739</v>
      </c>
      <c r="AG112" s="2" t="n">
        <v>67551.83333333333</v>
      </c>
      <c r="AH112" s="2" t="n">
        <v>94875.47222222222</v>
      </c>
      <c r="AI112" s="2" t="n">
        <v>85783.43518518518</v>
      </c>
      <c r="AJ112" s="2" t="n">
        <v>50944.93518518518</v>
      </c>
      <c r="AK112" s="2" t="n">
        <v>38382.73148148147</v>
      </c>
      <c r="AL112" s="2" t="n">
        <v>35967.91666666666</v>
      </c>
      <c r="AM112" s="2" t="n">
        <v>32279.82407407407</v>
      </c>
      <c r="AN112" s="2" t="n">
        <v>30695.9537037037</v>
      </c>
      <c r="AO112" s="2" t="n">
        <v>25907.69444444445</v>
      </c>
      <c r="AR112" t="n">
        <v>1277</v>
      </c>
      <c r="AS112" t="n">
        <v>2634</v>
      </c>
      <c r="AT112" t="n">
        <v>2651</v>
      </c>
      <c r="AU112" t="n">
        <v>2987</v>
      </c>
      <c r="AV112" t="n">
        <v>3547</v>
      </c>
      <c r="AW112" t="n">
        <v>4535</v>
      </c>
      <c r="AX112" t="n">
        <v>4429</v>
      </c>
      <c r="AY112" t="n">
        <v>5999</v>
      </c>
      <c r="AZ112" t="n">
        <v>5196</v>
      </c>
      <c r="BA112" t="n">
        <v>3591</v>
      </c>
      <c r="BB112" t="n">
        <v>3005</v>
      </c>
      <c r="BC112" t="n">
        <v>2767</v>
      </c>
      <c r="BD112" t="n">
        <v>2461</v>
      </c>
      <c r="BE112" t="n">
        <v>2420</v>
      </c>
      <c r="BF112" t="n">
        <v>2021</v>
      </c>
    </row>
    <row r="113">
      <c r="A113" t="n">
        <v>1279</v>
      </c>
      <c r="B113" s="2" t="n">
        <v>-33295.77329756199</v>
      </c>
      <c r="C113" s="2" t="n">
        <v>-32221.71921554545</v>
      </c>
      <c r="D113" s="2" t="n">
        <v>-39208.89710558678</v>
      </c>
      <c r="E113" s="2" t="n">
        <v>-40828.80440926229</v>
      </c>
      <c r="F113" s="2" t="n">
        <v>-44524.652732</v>
      </c>
      <c r="G113" s="2" t="n">
        <v>-49245.13426301654</v>
      </c>
      <c r="H113" s="2" t="n">
        <v>-60170.06849061538</v>
      </c>
      <c r="I113" s="2" t="n">
        <v>-55154.85462826087</v>
      </c>
      <c r="J113" s="2" t="n">
        <v>-54054.11743476923</v>
      </c>
      <c r="K113" s="2" t="n">
        <v>-39979.1330179832</v>
      </c>
      <c r="L113" s="2" t="n">
        <v>-18625.58945478261</v>
      </c>
      <c r="M113" s="2" t="n">
        <v>-78547.11694865518</v>
      </c>
      <c r="N113" s="2" t="n">
        <v>-37589.07733956409</v>
      </c>
      <c r="O113" s="2" t="n">
        <v>-36975.37442842857</v>
      </c>
      <c r="P113" t="inlineStr">
        <is>
          <t>MINUS</t>
        </is>
      </c>
      <c r="AA113" t="n">
        <v>1278</v>
      </c>
      <c r="AB113" s="2" t="n">
        <v>40508.55555555555</v>
      </c>
      <c r="AC113" s="2" t="n">
        <v>39282.94444444444</v>
      </c>
      <c r="AD113" s="2" t="n">
        <v>40070.19444444444</v>
      </c>
      <c r="AE113" s="2" t="n">
        <v>40092.97222222222</v>
      </c>
      <c r="AF113" s="2" t="n">
        <v>36543.01851851852</v>
      </c>
      <c r="AG113" s="2" t="n">
        <v>50927.38888888888</v>
      </c>
      <c r="AH113" s="2" t="n">
        <v>72084.42592592593</v>
      </c>
      <c r="AI113" s="2" t="n">
        <v>79205.75</v>
      </c>
      <c r="AJ113" s="2" t="n">
        <v>40593.09259259258</v>
      </c>
      <c r="AK113" s="2" t="n">
        <v>27985.86111111111</v>
      </c>
      <c r="AL113" s="2" t="n">
        <v>27521.63888888888</v>
      </c>
      <c r="AM113" s="2" t="n">
        <v>30270.56481481481</v>
      </c>
      <c r="AN113" s="2" t="n">
        <v>29466.35185185185</v>
      </c>
      <c r="AO113" s="2" t="n">
        <v>23875.82407407407</v>
      </c>
      <c r="AR113" t="n">
        <v>1278</v>
      </c>
      <c r="AS113" t="n">
        <v>3099</v>
      </c>
      <c r="AT113" t="n">
        <v>3024</v>
      </c>
      <c r="AU113" t="n">
        <v>3346</v>
      </c>
      <c r="AV113" t="n">
        <v>2953</v>
      </c>
      <c r="AW113" t="n">
        <v>2541</v>
      </c>
      <c r="AX113" t="n">
        <v>3349</v>
      </c>
      <c r="AY113" t="n">
        <v>4563</v>
      </c>
      <c r="AZ113" t="n">
        <v>4758</v>
      </c>
      <c r="BA113" t="n">
        <v>2912</v>
      </c>
      <c r="BB113" t="n">
        <v>2200</v>
      </c>
      <c r="BC113" t="n">
        <v>2298</v>
      </c>
      <c r="BD113" t="n">
        <v>2284</v>
      </c>
      <c r="BE113" t="n">
        <v>2232</v>
      </c>
      <c r="BF113" t="n">
        <v>1887</v>
      </c>
    </row>
    <row r="114">
      <c r="A114" t="n">
        <v>1280</v>
      </c>
      <c r="B114" s="2" t="n">
        <v>-33288.99996856198</v>
      </c>
      <c r="C114" s="2" t="n">
        <v>-32215.67628454545</v>
      </c>
      <c r="D114" s="2" t="n">
        <v>-39203.62544158677</v>
      </c>
      <c r="E114" s="2" t="n">
        <v>-40823.61349526229</v>
      </c>
      <c r="F114" s="2" t="n">
        <v>-44517.514242</v>
      </c>
      <c r="G114" s="2" t="n">
        <v>-49237.76830501653</v>
      </c>
      <c r="H114" s="2" t="n">
        <v>-60162.63456961539</v>
      </c>
      <c r="I114" s="2" t="n">
        <v>-55148.41034126086</v>
      </c>
      <c r="J114" s="2" t="n">
        <v>-54045.89349376922</v>
      </c>
      <c r="K114" s="2" t="n">
        <v>-39972.4442009832</v>
      </c>
      <c r="L114" s="2" t="n">
        <v>-18620.33091978261</v>
      </c>
      <c r="M114" s="2" t="n">
        <v>-78542.50507865517</v>
      </c>
      <c r="N114" s="2" t="n">
        <v>-37584.3120255641</v>
      </c>
      <c r="O114" s="2" t="n">
        <v>-36970.85486042857</v>
      </c>
      <c r="P114" t="inlineStr">
        <is>
          <t>MINUS</t>
        </is>
      </c>
      <c r="AA114" t="n">
        <v>1279</v>
      </c>
      <c r="AB114" s="2" t="n">
        <v>3972.453703703703</v>
      </c>
      <c r="AC114" s="2" t="n">
        <v>3194.138888888889</v>
      </c>
      <c r="AD114" s="2" t="n">
        <v>4454.481481481482</v>
      </c>
      <c r="AE114" s="2" t="n">
        <v>4234.861111111111</v>
      </c>
      <c r="AF114" s="2" t="n">
        <v>4014.935185185184</v>
      </c>
      <c r="AG114" s="2" t="n">
        <v>5035.166666666667</v>
      </c>
      <c r="AH114" s="2" t="n">
        <v>4548.148148148148</v>
      </c>
      <c r="AI114" s="2" t="n">
        <v>4390.444444444444</v>
      </c>
      <c r="AJ114" s="2" t="n">
        <v>3344.648148148148</v>
      </c>
      <c r="AK114" s="2" t="n">
        <v>3613.564814814815</v>
      </c>
      <c r="AL114" s="2" t="n">
        <v>3377.657407407407</v>
      </c>
      <c r="AM114" s="2" t="n">
        <v>2802.175925925926</v>
      </c>
      <c r="AN114" s="2" t="n">
        <v>2270.287037037037</v>
      </c>
      <c r="AO114" s="2" t="n">
        <v>2227.972222222222</v>
      </c>
      <c r="AR114" t="n">
        <v>1279</v>
      </c>
      <c r="AS114" t="n">
        <v>473</v>
      </c>
      <c r="AT114" t="n">
        <v>380</v>
      </c>
      <c r="AU114" t="n">
        <v>501</v>
      </c>
      <c r="AV114" t="n">
        <v>499</v>
      </c>
      <c r="AW114" t="n">
        <v>456</v>
      </c>
      <c r="AX114" t="n">
        <v>577</v>
      </c>
      <c r="AY114" t="n">
        <v>482</v>
      </c>
      <c r="AZ114" t="n">
        <v>465</v>
      </c>
      <c r="BA114" t="n">
        <v>402</v>
      </c>
      <c r="BB114" t="n">
        <v>479</v>
      </c>
      <c r="BC114" t="n">
        <v>426</v>
      </c>
      <c r="BD114" t="n">
        <v>360</v>
      </c>
      <c r="BE114" t="n">
        <v>293</v>
      </c>
      <c r="BF114" t="n">
        <v>250</v>
      </c>
    </row>
    <row r="115">
      <c r="A115" t="n">
        <v>1281</v>
      </c>
      <c r="B115" s="2" t="n">
        <v>-33284.39429256198</v>
      </c>
      <c r="C115" s="2" t="n">
        <v>-32211.44428154545</v>
      </c>
      <c r="D115" s="2" t="n">
        <v>-39200.33559158677</v>
      </c>
      <c r="E115" s="2" t="n">
        <v>-40820.19313426229</v>
      </c>
      <c r="F115" s="2" t="n">
        <v>-44512.929523</v>
      </c>
      <c r="G115" s="2" t="n">
        <v>-49234.64907501653</v>
      </c>
      <c r="H115" s="2" t="n">
        <v>-60157.41407261538</v>
      </c>
      <c r="I115" s="2" t="n">
        <v>-55144.70011626086</v>
      </c>
      <c r="J115" s="2" t="n">
        <v>-54043.32374376923</v>
      </c>
      <c r="K115" s="2" t="n">
        <v>-39967.9471669832</v>
      </c>
      <c r="L115" s="2" t="n">
        <v>-18616.90806978261</v>
      </c>
      <c r="M115" s="2" t="n">
        <v>-78539.16009065518</v>
      </c>
      <c r="N115" s="2" t="n">
        <v>-37580.7117725641</v>
      </c>
      <c r="O115" s="2" t="n">
        <v>-36969.60986642857</v>
      </c>
      <c r="P115" t="inlineStr">
        <is>
          <t>MINUS</t>
        </is>
      </c>
      <c r="AA115" t="n">
        <v>1280</v>
      </c>
      <c r="AB115" s="2" t="n">
        <v>8224.509259259259</v>
      </c>
      <c r="AC115" s="2" t="n">
        <v>6698.648148148148</v>
      </c>
      <c r="AD115" s="2" t="n">
        <v>7796.185185185185</v>
      </c>
      <c r="AE115" s="2" t="n">
        <v>7936.351851851851</v>
      </c>
      <c r="AF115" s="2" t="n">
        <v>8469.490740740741</v>
      </c>
      <c r="AG115" s="2" t="n">
        <v>9519.638888888887</v>
      </c>
      <c r="AH115" s="2" t="n">
        <v>8813.833333333334</v>
      </c>
      <c r="AI115" s="2" t="n">
        <v>8481.60185185185</v>
      </c>
      <c r="AJ115" s="2" t="n">
        <v>8001.046296296295</v>
      </c>
      <c r="AK115" s="2" t="n">
        <v>7287.49074074074</v>
      </c>
      <c r="AL115" s="2" t="n">
        <v>6536.75</v>
      </c>
      <c r="AM115" s="2" t="n">
        <v>5811.203703703703</v>
      </c>
      <c r="AN115" s="2" t="n">
        <v>5216.916666666666</v>
      </c>
      <c r="AO115" s="2" t="n">
        <v>5143.148148148148</v>
      </c>
      <c r="AR115" t="n">
        <v>1280</v>
      </c>
      <c r="AS115" t="n">
        <v>1153</v>
      </c>
      <c r="AT115" t="n">
        <v>910</v>
      </c>
      <c r="AU115" t="n">
        <v>1073</v>
      </c>
      <c r="AV115" t="n">
        <v>1072</v>
      </c>
      <c r="AW115" t="n">
        <v>1160</v>
      </c>
      <c r="AX115" t="n">
        <v>1226</v>
      </c>
      <c r="AY115" t="n">
        <v>1096</v>
      </c>
      <c r="AZ115" t="n">
        <v>1043</v>
      </c>
      <c r="BA115" t="n">
        <v>1090</v>
      </c>
      <c r="BB115" t="n">
        <v>1107</v>
      </c>
      <c r="BC115" t="n">
        <v>954</v>
      </c>
      <c r="BD115" t="n">
        <v>876</v>
      </c>
      <c r="BE115" t="n">
        <v>771</v>
      </c>
      <c r="BF115" t="n">
        <v>770</v>
      </c>
    </row>
    <row r="116">
      <c r="A116" t="n">
        <v>1282</v>
      </c>
      <c r="B116" s="2" t="n">
        <v>-33263.98479656198</v>
      </c>
      <c r="C116" s="2" t="n">
        <v>-32182.41513154545</v>
      </c>
      <c r="D116" s="2" t="n">
        <v>-39167.92998958677</v>
      </c>
      <c r="E116" s="2" t="n">
        <v>-40775.9868032623</v>
      </c>
      <c r="F116" s="2" t="n">
        <v>-44465.106694</v>
      </c>
      <c r="G116" s="2" t="n">
        <v>-49188.48336901653</v>
      </c>
      <c r="H116" s="2" t="n">
        <v>-60104.13679961538</v>
      </c>
      <c r="I116" s="2" t="n">
        <v>-55095.47187626087</v>
      </c>
      <c r="J116" s="2" t="n">
        <v>-54059.80626276923</v>
      </c>
      <c r="K116" s="2" t="n">
        <v>-39985.3376579832</v>
      </c>
      <c r="L116" s="2" t="n">
        <v>0</v>
      </c>
      <c r="M116" s="2" t="n">
        <v>0</v>
      </c>
      <c r="N116" s="2" t="n">
        <v>0</v>
      </c>
      <c r="O116" s="2" t="n">
        <v>-36979.61135242857</v>
      </c>
      <c r="P116" t="inlineStr">
        <is>
          <t>MINUS</t>
        </is>
      </c>
      <c r="AA116" t="n">
        <v>1281</v>
      </c>
      <c r="AB116" s="2" t="n">
        <v>10694.56481481481</v>
      </c>
      <c r="AC116" s="2" t="n">
        <v>9261.990740740741</v>
      </c>
      <c r="AD116" s="2" t="n">
        <v>10235.69444444444</v>
      </c>
      <c r="AE116" s="2" t="n">
        <v>9931.101851851852</v>
      </c>
      <c r="AF116" s="2" t="n">
        <v>10920.19444444444</v>
      </c>
      <c r="AG116" s="2" t="n">
        <v>10772.66666666667</v>
      </c>
      <c r="AH116" s="2" t="n">
        <v>11605.87962962963</v>
      </c>
      <c r="AI116" s="2" t="n">
        <v>10302.97222222222</v>
      </c>
      <c r="AJ116" s="2" t="n">
        <v>9571.240740740739</v>
      </c>
      <c r="AK116" s="2" t="n">
        <v>9886.740740740741</v>
      </c>
      <c r="AL116" s="2" t="n">
        <v>8385.861111111111</v>
      </c>
      <c r="AM116" s="2" t="n">
        <v>7328.99074074074</v>
      </c>
      <c r="AN116" s="2" t="n">
        <v>7074.981481481481</v>
      </c>
      <c r="AO116" s="2" t="n">
        <v>5951.148148148148</v>
      </c>
      <c r="AR116" t="n">
        <v>1281</v>
      </c>
      <c r="AS116" t="n">
        <v>1300</v>
      </c>
      <c r="AT116" t="n">
        <v>1101</v>
      </c>
      <c r="AU116" t="n">
        <v>1260</v>
      </c>
      <c r="AV116" t="n">
        <v>1159</v>
      </c>
      <c r="AW116" t="n">
        <v>1289</v>
      </c>
      <c r="AX116" t="n">
        <v>1235</v>
      </c>
      <c r="AY116" t="n">
        <v>1320</v>
      </c>
      <c r="AZ116" t="n">
        <v>1161</v>
      </c>
      <c r="BA116" t="n">
        <v>1225</v>
      </c>
      <c r="BB116" t="n">
        <v>1272</v>
      </c>
      <c r="BC116" t="n">
        <v>1056</v>
      </c>
      <c r="BD116" t="n">
        <v>1019</v>
      </c>
      <c r="BE116" t="n">
        <v>899</v>
      </c>
      <c r="BF116" t="n">
        <v>762</v>
      </c>
    </row>
    <row r="117">
      <c r="A117" t="n">
        <v>1283</v>
      </c>
      <c r="B117" s="2" t="n">
        <v>-33278.31197456198</v>
      </c>
      <c r="C117" s="2" t="n">
        <v>-32199.99590754545</v>
      </c>
      <c r="D117" s="2" t="n">
        <v>-39188.38789758678</v>
      </c>
      <c r="E117" s="2" t="n">
        <v>-40800.58268326229</v>
      </c>
      <c r="F117" s="2" t="n">
        <v>-44491.584429</v>
      </c>
      <c r="G117" s="2" t="n">
        <v>-49210.89407801654</v>
      </c>
      <c r="H117" s="2" t="n">
        <v>-60119.17562261538</v>
      </c>
      <c r="I117" s="2" t="n">
        <v>-55105.06467226087</v>
      </c>
      <c r="J117" s="2" t="n">
        <v>-53973.76362276923</v>
      </c>
      <c r="K117" s="2" t="n">
        <v>-39905.2462359832</v>
      </c>
      <c r="L117" s="2" t="n">
        <v>-18567.61625578261</v>
      </c>
      <c r="M117" s="2" t="n">
        <v>-78480.55601565518</v>
      </c>
      <c r="N117" s="2" t="n">
        <v>-37540.0046335641</v>
      </c>
      <c r="O117" s="2" t="n">
        <v>-36934.02548842857</v>
      </c>
      <c r="P117" t="inlineStr">
        <is>
          <t>MINUS</t>
        </is>
      </c>
      <c r="AA117" t="n">
        <v>1282</v>
      </c>
      <c r="AB117" s="2" t="n">
        <v>22313.98148148148</v>
      </c>
      <c r="AC117" s="2" t="n">
        <v>25241.23148148148</v>
      </c>
      <c r="AD117" s="2" t="n">
        <v>28470.7037037037</v>
      </c>
      <c r="AE117" s="2" t="n">
        <v>34255.19444444445</v>
      </c>
      <c r="AF117" s="2" t="n">
        <v>36968.73148148147</v>
      </c>
      <c r="AG117" s="2" t="n">
        <v>37690.90740740741</v>
      </c>
      <c r="AH117" s="2" t="n">
        <v>42160.62037037037</v>
      </c>
      <c r="AI117" s="2" t="n">
        <v>37676.49074074074</v>
      </c>
      <c r="AJ117" s="2" t="n">
        <v>135.712962962963</v>
      </c>
      <c r="AK117" s="2" t="n">
        <v>6.481481481481481</v>
      </c>
      <c r="AL117" s="2" t="n">
        <v>0</v>
      </c>
      <c r="AM117" s="2" t="n">
        <v>0</v>
      </c>
      <c r="AN117" s="2" t="n">
        <v>0</v>
      </c>
      <c r="AO117" s="2" t="n">
        <v>25.93518518518518</v>
      </c>
      <c r="AR117" t="n">
        <v>1282</v>
      </c>
      <c r="AS117" t="n">
        <v>2248</v>
      </c>
      <c r="AT117" t="n">
        <v>2513</v>
      </c>
      <c r="AU117" t="n">
        <v>2903</v>
      </c>
      <c r="AV117" t="n">
        <v>3323</v>
      </c>
      <c r="AW117" t="n">
        <v>3547</v>
      </c>
      <c r="AX117" t="n">
        <v>3527</v>
      </c>
      <c r="AY117" t="n">
        <v>3666</v>
      </c>
      <c r="AZ117" t="n">
        <v>3224</v>
      </c>
      <c r="BA117" t="n">
        <v>16</v>
      </c>
      <c r="BB117" t="n">
        <v>1</v>
      </c>
      <c r="BC117" t="n">
        <v>0</v>
      </c>
      <c r="BD117" t="n">
        <v>0</v>
      </c>
      <c r="BE117" t="n">
        <v>0</v>
      </c>
      <c r="BF117" t="n">
        <v>2</v>
      </c>
    </row>
    <row r="118">
      <c r="A118" t="n">
        <v>1284</v>
      </c>
      <c r="B118" s="2" t="n">
        <v>-33294.90231856199</v>
      </c>
      <c r="C118" s="2" t="n">
        <v>-32219.18341854545</v>
      </c>
      <c r="D118" s="2" t="n">
        <v>-39209.38911058677</v>
      </c>
      <c r="E118" s="2" t="n">
        <v>-40828.31960526229</v>
      </c>
      <c r="F118" s="2" t="n">
        <v>-44523.580486</v>
      </c>
      <c r="G118" s="2" t="n">
        <v>-49245.25335501653</v>
      </c>
      <c r="H118" s="2" t="n">
        <v>-60169.89182861539</v>
      </c>
      <c r="I118" s="2" t="n">
        <v>-55153.09959826087</v>
      </c>
      <c r="J118" s="2" t="n">
        <v>-54051.36435376923</v>
      </c>
      <c r="K118" s="2" t="n">
        <v>-39975.0665429832</v>
      </c>
      <c r="L118" s="2" t="n">
        <v>-18624.92453078261</v>
      </c>
      <c r="M118" s="2" t="n">
        <v>-78545.75443965517</v>
      </c>
      <c r="N118" s="2" t="n">
        <v>-37587.0282465641</v>
      </c>
      <c r="O118" s="2" t="n">
        <v>-36974.63359942857</v>
      </c>
      <c r="P118" t="inlineStr">
        <is>
          <t>MINUS</t>
        </is>
      </c>
      <c r="AA118" t="n">
        <v>1283</v>
      </c>
      <c r="AB118" s="2" t="n">
        <v>15144.42592592593</v>
      </c>
      <c r="AC118" s="2" t="n">
        <v>16518.59259259259</v>
      </c>
      <c r="AD118" s="2" t="n">
        <v>18937.06481481481</v>
      </c>
      <c r="AE118" s="2" t="n">
        <v>22572.25925925926</v>
      </c>
      <c r="AF118" s="2" t="n">
        <v>24274.47222222222</v>
      </c>
      <c r="AG118" s="2" t="n">
        <v>25705.43518518518</v>
      </c>
      <c r="AH118" s="2" t="n">
        <v>33698.47222222222</v>
      </c>
      <c r="AI118" s="2" t="n">
        <v>34146.90740740741</v>
      </c>
      <c r="AJ118" s="2" t="n">
        <v>49583.10185185185</v>
      </c>
      <c r="AK118" s="2" t="n">
        <v>45865.11111111111</v>
      </c>
      <c r="AL118" s="2" t="n">
        <v>35596.6574074074</v>
      </c>
      <c r="AM118" s="2" t="n">
        <v>39827.50925925926</v>
      </c>
      <c r="AN118" s="2" t="n">
        <v>29583.82407407407</v>
      </c>
      <c r="AO118" s="2" t="n">
        <v>25073.53703703703</v>
      </c>
      <c r="AR118" t="n">
        <v>1283</v>
      </c>
      <c r="AS118" t="n">
        <v>1352</v>
      </c>
      <c r="AT118" t="n">
        <v>1415</v>
      </c>
      <c r="AU118" t="n">
        <v>1646</v>
      </c>
      <c r="AV118" t="n">
        <v>1893</v>
      </c>
      <c r="AW118" t="n">
        <v>2052</v>
      </c>
      <c r="AX118" t="n">
        <v>2178</v>
      </c>
      <c r="AY118" t="n">
        <v>2519</v>
      </c>
      <c r="AZ118" t="n">
        <v>2730</v>
      </c>
      <c r="BA118" t="n">
        <v>4450</v>
      </c>
      <c r="BB118" t="n">
        <v>4155</v>
      </c>
      <c r="BC118" t="n">
        <v>3406</v>
      </c>
      <c r="BD118" t="n">
        <v>3729</v>
      </c>
      <c r="BE118" t="n">
        <v>2818</v>
      </c>
      <c r="BF118" t="n">
        <v>2296</v>
      </c>
    </row>
    <row r="119">
      <c r="A119" t="n">
        <v>1285</v>
      </c>
      <c r="B119" s="2" t="n">
        <v>-33293.19469356199</v>
      </c>
      <c r="C119" s="2" t="n">
        <v>-32218.44378654545</v>
      </c>
      <c r="D119" s="2" t="n">
        <v>-39207.64377058677</v>
      </c>
      <c r="E119" s="2" t="n">
        <v>-40827.74941526229</v>
      </c>
      <c r="F119" s="2" t="n">
        <v>-44522.108309</v>
      </c>
      <c r="G119" s="2" t="n">
        <v>-49244.27922501653</v>
      </c>
      <c r="H119" s="2" t="n">
        <v>-60164.64026661538</v>
      </c>
      <c r="I119" s="2" t="n">
        <v>-55150.64736326087</v>
      </c>
      <c r="J119" s="2" t="n">
        <v>-54049.31220176923</v>
      </c>
      <c r="K119" s="2" t="n">
        <v>-39974.71707598319</v>
      </c>
      <c r="L119" s="2" t="n">
        <v>-18621.49109778261</v>
      </c>
      <c r="M119" s="2" t="n">
        <v>-78543.37419565518</v>
      </c>
      <c r="N119" s="2" t="n">
        <v>-37587.0781405641</v>
      </c>
      <c r="O119" s="2" t="n">
        <v>-36973.02517342857</v>
      </c>
      <c r="P119" t="inlineStr">
        <is>
          <t>MINUS</t>
        </is>
      </c>
      <c r="AA119" t="n">
        <v>1284</v>
      </c>
      <c r="AB119" s="2" t="n">
        <v>4377.833333333333</v>
      </c>
      <c r="AC119" s="2" t="n">
        <v>4502.009259259258</v>
      </c>
      <c r="AD119" s="2" t="n">
        <v>4576.407407407407</v>
      </c>
      <c r="AE119" s="2" t="n">
        <v>4900.481481481482</v>
      </c>
      <c r="AF119" s="2" t="n">
        <v>4759.787037037036</v>
      </c>
      <c r="AG119" s="2" t="n">
        <v>4819.833333333334</v>
      </c>
      <c r="AH119" s="2" t="n">
        <v>4714.138888888888</v>
      </c>
      <c r="AI119" s="2" t="n">
        <v>5379.12962962963</v>
      </c>
      <c r="AJ119" s="2" t="n">
        <v>4673.935185185184</v>
      </c>
      <c r="AK119" s="2" t="n">
        <v>5711.481481481481</v>
      </c>
      <c r="AL119" s="2" t="n">
        <v>3622.75</v>
      </c>
      <c r="AM119" s="2" t="n">
        <v>3512.453703703703</v>
      </c>
      <c r="AN119" s="2" t="n">
        <v>3266.935185185185</v>
      </c>
      <c r="AO119" s="2" t="n">
        <v>2726.453703703703</v>
      </c>
      <c r="AR119" t="n">
        <v>1284</v>
      </c>
      <c r="AS119" t="n">
        <v>548</v>
      </c>
      <c r="AT119" t="n">
        <v>547</v>
      </c>
      <c r="AU119" t="n">
        <v>608</v>
      </c>
      <c r="AV119" t="n">
        <v>619</v>
      </c>
      <c r="AW119" t="n">
        <v>617</v>
      </c>
      <c r="AX119" t="n">
        <v>609</v>
      </c>
      <c r="AY119" t="n">
        <v>584</v>
      </c>
      <c r="AZ119" t="n">
        <v>557</v>
      </c>
      <c r="BA119" t="n">
        <v>563</v>
      </c>
      <c r="BB119" t="n">
        <v>699</v>
      </c>
      <c r="BC119" t="n">
        <v>448</v>
      </c>
      <c r="BD119" t="n">
        <v>470</v>
      </c>
      <c r="BE119" t="n">
        <v>376</v>
      </c>
      <c r="BF119" t="n">
        <v>312</v>
      </c>
    </row>
    <row r="120">
      <c r="A120" t="n">
        <v>1286</v>
      </c>
      <c r="B120" s="2" t="n">
        <v>-32177.25928285828</v>
      </c>
      <c r="C120" s="2" t="n">
        <v>-31032.40534265657</v>
      </c>
      <c r="D120" s="2" t="n">
        <v>-37703.01126617937</v>
      </c>
      <c r="E120" s="2" t="n">
        <v>-39460.31685618822</v>
      </c>
      <c r="F120" s="2" t="n">
        <v>-34623.94689802628</v>
      </c>
      <c r="G120" s="2" t="n">
        <v>-48072.44884412764</v>
      </c>
      <c r="H120" s="2" t="n">
        <v>-59092.2832707265</v>
      </c>
      <c r="I120" s="2" t="n">
        <v>-53751.71678174235</v>
      </c>
      <c r="J120" s="2" t="n">
        <v>-53113.93795880627</v>
      </c>
      <c r="K120" s="2" t="n">
        <v>-38988.64443316839</v>
      </c>
      <c r="L120" s="2" t="n">
        <v>-17873.59761256038</v>
      </c>
      <c r="M120" s="2" t="n">
        <v>-77736.14047272925</v>
      </c>
      <c r="N120" s="2" t="n">
        <v>-36512.99849489743</v>
      </c>
      <c r="O120" s="2" t="n">
        <v>-35874.39652961375</v>
      </c>
      <c r="P120" t="inlineStr">
        <is>
          <t>MINUS</t>
        </is>
      </c>
      <c r="AA120" t="n">
        <v>1285</v>
      </c>
      <c r="AB120" s="2" t="n">
        <v>6065.287037037036</v>
      </c>
      <c r="AC120" s="2" t="n">
        <v>5683.333333333333</v>
      </c>
      <c r="AD120" s="2" t="n">
        <v>6515.314814814815</v>
      </c>
      <c r="AE120" s="2" t="n">
        <v>6409.055555555555</v>
      </c>
      <c r="AF120" s="2" t="n">
        <v>6664.648148148149</v>
      </c>
      <c r="AG120" s="2" t="n">
        <v>6463.657407407407</v>
      </c>
      <c r="AH120" s="2" t="n">
        <v>7500.037037037036</v>
      </c>
      <c r="AI120" s="2" t="n">
        <v>7195.814814814815</v>
      </c>
      <c r="AJ120" s="2" t="n">
        <v>6855.712962962964</v>
      </c>
      <c r="AK120" s="2" t="n">
        <v>6494.129629629629</v>
      </c>
      <c r="AL120" s="2" t="n">
        <v>6404.138888888888</v>
      </c>
      <c r="AM120" s="2" t="n">
        <v>5732.824074074074</v>
      </c>
      <c r="AN120" s="2" t="n">
        <v>4066.87962962963</v>
      </c>
      <c r="AO120" s="2" t="n">
        <v>4077.379629629629</v>
      </c>
      <c r="AR120" t="n">
        <v>1285</v>
      </c>
      <c r="AS120" t="n">
        <v>710</v>
      </c>
      <c r="AT120" t="n">
        <v>669</v>
      </c>
      <c r="AU120" t="n">
        <v>770</v>
      </c>
      <c r="AV120" t="n">
        <v>761</v>
      </c>
      <c r="AW120" t="n">
        <v>767</v>
      </c>
      <c r="AX120" t="n">
        <v>765</v>
      </c>
      <c r="AY120" t="n">
        <v>806</v>
      </c>
      <c r="AZ120" t="n">
        <v>769</v>
      </c>
      <c r="BA120" t="n">
        <v>809</v>
      </c>
      <c r="BB120" t="n">
        <v>788</v>
      </c>
      <c r="BC120" t="n">
        <v>759</v>
      </c>
      <c r="BD120" t="n">
        <v>609</v>
      </c>
      <c r="BE120" t="n">
        <v>457</v>
      </c>
      <c r="BF120" t="n">
        <v>420</v>
      </c>
    </row>
    <row r="121">
      <c r="A121" t="n">
        <v>1287</v>
      </c>
      <c r="B121" s="2" t="n">
        <v>-29236.51724256198</v>
      </c>
      <c r="C121" s="2" t="n">
        <v>-28160.71972054545</v>
      </c>
      <c r="D121" s="2" t="n">
        <v>-35150.02086058677</v>
      </c>
      <c r="E121" s="2" t="n">
        <v>-36769.2516692623</v>
      </c>
      <c r="F121" s="2" t="n">
        <v>-40463.860033</v>
      </c>
      <c r="G121" s="2" t="n">
        <v>-45184.55174201653</v>
      </c>
      <c r="H121" s="2" t="n">
        <v>-56109.33015061538</v>
      </c>
      <c r="I121" s="2" t="n">
        <v>-51091.55244726086</v>
      </c>
      <c r="J121" s="2" t="n">
        <v>-49994.13949376923</v>
      </c>
      <c r="K121" s="2" t="n">
        <v>-35918.49323098319</v>
      </c>
      <c r="L121" s="2" t="n">
        <v>-14566.71522378261</v>
      </c>
      <c r="M121" s="2" t="n">
        <v>-74487.20541265517</v>
      </c>
      <c r="N121" s="2" t="n">
        <v>-33486.7464385641</v>
      </c>
      <c r="O121" s="2" t="n">
        <v>-15006.34576242857</v>
      </c>
      <c r="P121" t="inlineStr">
        <is>
          <t>MINUS</t>
        </is>
      </c>
      <c r="AA121" t="n">
        <v>1286</v>
      </c>
      <c r="AB121" s="2" t="n">
        <v>21407.97222222222</v>
      </c>
      <c r="AC121" s="2" t="n">
        <v>21797.36111111111</v>
      </c>
      <c r="AD121" s="2" t="n">
        <v>25673.60185185185</v>
      </c>
      <c r="AE121" s="2" t="n">
        <v>24405.90740740741</v>
      </c>
      <c r="AF121" s="2" t="n">
        <v>25567.16666666666</v>
      </c>
      <c r="AG121" s="2" t="n">
        <v>21807.85185185185</v>
      </c>
      <c r="AH121" s="2" t="n">
        <v>20904.10185185185</v>
      </c>
      <c r="AI121" s="2" t="n">
        <v>24937.99074074074</v>
      </c>
      <c r="AJ121" s="2" t="n">
        <v>18777.51851851852</v>
      </c>
      <c r="AK121" s="2" t="n">
        <v>19537.86111111111</v>
      </c>
      <c r="AL121" s="2" t="n">
        <v>16805.63888888889</v>
      </c>
      <c r="AM121" s="2" t="n">
        <v>17432.62037037037</v>
      </c>
      <c r="AN121" s="2" t="n">
        <v>13561.43518518518</v>
      </c>
      <c r="AO121" s="2" t="n">
        <v>13818.81481481481</v>
      </c>
      <c r="AR121" t="n">
        <v>1286</v>
      </c>
      <c r="AS121" t="n">
        <v>1232</v>
      </c>
      <c r="AT121" t="n">
        <v>1085</v>
      </c>
      <c r="AU121" t="n">
        <v>1249</v>
      </c>
      <c r="AV121" t="n">
        <v>1210</v>
      </c>
      <c r="AW121" t="n">
        <v>1255</v>
      </c>
      <c r="AX121" t="n">
        <v>1131</v>
      </c>
      <c r="AY121" t="n">
        <v>1094</v>
      </c>
      <c r="AZ121" t="n">
        <v>1184</v>
      </c>
      <c r="BA121" t="n">
        <v>914</v>
      </c>
      <c r="BB121" t="n">
        <v>1019</v>
      </c>
      <c r="BC121" t="n">
        <v>923</v>
      </c>
      <c r="BD121" t="n">
        <v>901</v>
      </c>
      <c r="BE121" t="n">
        <v>732</v>
      </c>
      <c r="BF121" t="n">
        <v>716</v>
      </c>
    </row>
    <row r="122">
      <c r="A122" t="n">
        <v>1288</v>
      </c>
      <c r="B122" s="2" t="n">
        <v>-28797.08424956198</v>
      </c>
      <c r="C122" s="2" t="n">
        <v>-27717.29133154545</v>
      </c>
      <c r="D122" s="2" t="n">
        <v>-34710.96682258678</v>
      </c>
      <c r="E122" s="2" t="n">
        <v>-36321.8876962623</v>
      </c>
      <c r="F122" s="2" t="n">
        <v>-39985.642549</v>
      </c>
      <c r="G122" s="2" t="n">
        <v>-44659.65488701654</v>
      </c>
      <c r="H122" s="2" t="n">
        <v>-55506.67874061538</v>
      </c>
      <c r="I122" s="2" t="n">
        <v>-50473.83550026087</v>
      </c>
      <c r="J122" s="2" t="n">
        <v>-49498.53015076923</v>
      </c>
      <c r="K122" s="2" t="n">
        <v>-35477.0033929832</v>
      </c>
      <c r="L122" s="2" t="n">
        <v>-14124.52324078261</v>
      </c>
      <c r="M122" s="2" t="n">
        <v>-74050.62192565517</v>
      </c>
      <c r="N122" s="2" t="n">
        <v>-33081.49915156409</v>
      </c>
      <c r="O122" s="2" t="n">
        <v>-32467.36072242857</v>
      </c>
      <c r="P122" t="inlineStr">
        <is>
          <t>MINUS</t>
        </is>
      </c>
      <c r="AA122" t="n">
        <v>1287</v>
      </c>
      <c r="AB122" s="2" t="n">
        <v>3031.018518518518</v>
      </c>
      <c r="AC122" s="2" t="n">
        <v>3166.537037037036</v>
      </c>
      <c r="AD122" s="2" t="n">
        <v>3624.361111111111</v>
      </c>
      <c r="AE122" s="2" t="n">
        <v>3878.009259259259</v>
      </c>
      <c r="AF122" s="2" t="n">
        <v>4050.861111111111</v>
      </c>
      <c r="AG122" s="2" t="n">
        <v>4555.407407407407</v>
      </c>
      <c r="AH122" s="2" t="n">
        <v>4263.759259259259</v>
      </c>
      <c r="AI122" s="2" t="n">
        <v>5525.453703703703</v>
      </c>
      <c r="AJ122" s="2" t="n">
        <v>2869.657407407407</v>
      </c>
      <c r="AK122" s="2" t="n">
        <v>3341.972222222222</v>
      </c>
      <c r="AL122" s="2" t="n">
        <v>2416.37962962963</v>
      </c>
      <c r="AM122" s="2" t="n">
        <v>2419.287037037037</v>
      </c>
      <c r="AN122" s="2" t="n">
        <v>3217.185185185185</v>
      </c>
      <c r="AO122" s="2" t="n">
        <v>3068.62037037037</v>
      </c>
      <c r="AR122" t="n">
        <v>1287</v>
      </c>
      <c r="AS122" t="n">
        <v>199</v>
      </c>
      <c r="AT122" t="n">
        <v>197</v>
      </c>
      <c r="AU122" t="n">
        <v>231</v>
      </c>
      <c r="AV122" t="n">
        <v>261</v>
      </c>
      <c r="AW122" t="n">
        <v>235</v>
      </c>
      <c r="AX122" t="n">
        <v>254</v>
      </c>
      <c r="AY122" t="n">
        <v>236</v>
      </c>
      <c r="AZ122" t="n">
        <v>293</v>
      </c>
      <c r="BA122" t="n">
        <v>208</v>
      </c>
      <c r="BB122" t="n">
        <v>231</v>
      </c>
      <c r="BC122" t="n">
        <v>164</v>
      </c>
      <c r="BD122" t="n">
        <v>162</v>
      </c>
      <c r="BE122" t="n">
        <v>218</v>
      </c>
      <c r="BF122" t="n">
        <v>210</v>
      </c>
    </row>
    <row r="123">
      <c r="A123" t="n">
        <v>1289</v>
      </c>
      <c r="B123" s="2" t="n">
        <v>-28787.97749256199</v>
      </c>
      <c r="C123" s="2" t="n">
        <v>-27704.63951654545</v>
      </c>
      <c r="D123" s="2" t="n">
        <v>-34698.63215558678</v>
      </c>
      <c r="E123" s="2" t="n">
        <v>-36299.0670052623</v>
      </c>
      <c r="F123" s="2" t="n">
        <v>-39987.29834200001</v>
      </c>
      <c r="G123" s="2" t="n">
        <v>-44666.16157001653</v>
      </c>
      <c r="H123" s="2" t="n">
        <v>-55520.21293461539</v>
      </c>
      <c r="I123" s="2" t="n">
        <v>-50489.44580526086</v>
      </c>
      <c r="J123" s="2" t="n">
        <v>-49495.50031576923</v>
      </c>
      <c r="K123" s="2" t="n">
        <v>-35459.2795089832</v>
      </c>
      <c r="L123" s="2" t="n">
        <v>-14110.53821478261</v>
      </c>
      <c r="M123" s="2" t="n">
        <v>-74043.35784565518</v>
      </c>
      <c r="N123" s="2" t="n">
        <v>-33075.4331925641</v>
      </c>
      <c r="O123" s="2" t="n">
        <v>-32455.89517242857</v>
      </c>
      <c r="P123" t="inlineStr">
        <is>
          <t>MINUS</t>
        </is>
      </c>
      <c r="AA123" t="n">
        <v>1288</v>
      </c>
      <c r="AB123" s="2" t="n">
        <v>5678.675925925925</v>
      </c>
      <c r="AC123" s="2" t="n">
        <v>7761.268518518518</v>
      </c>
      <c r="AD123" s="2" t="n">
        <v>6087.342592592592</v>
      </c>
      <c r="AE123" s="2" t="n">
        <v>10390.66666666667</v>
      </c>
      <c r="AF123" s="2" t="n">
        <v>25599.34259259259</v>
      </c>
      <c r="AG123" s="2" t="n">
        <v>48852.12037037036</v>
      </c>
      <c r="AH123" s="2" t="n">
        <v>86452.55555555555</v>
      </c>
      <c r="AI123" s="2" t="n">
        <v>95056.12962962962</v>
      </c>
      <c r="AJ123" s="2" t="n">
        <v>32893.7037037037</v>
      </c>
      <c r="AK123" s="2" t="n">
        <v>6991.990740740741</v>
      </c>
      <c r="AL123" s="2" t="n">
        <v>6408.574074074074</v>
      </c>
      <c r="AM123" s="2" t="n">
        <v>3678.296296296296</v>
      </c>
      <c r="AN123" s="2" t="n">
        <v>5774.342592592593</v>
      </c>
      <c r="AO123" s="2" t="n">
        <v>5996.027777777776</v>
      </c>
      <c r="AR123" t="n">
        <v>1288</v>
      </c>
      <c r="AS123" t="n">
        <v>346</v>
      </c>
      <c r="AT123" t="n">
        <v>431</v>
      </c>
      <c r="AU123" t="n">
        <v>378</v>
      </c>
      <c r="AV123" t="n">
        <v>641</v>
      </c>
      <c r="AW123" t="n">
        <v>1406</v>
      </c>
      <c r="AX123" t="n">
        <v>2742</v>
      </c>
      <c r="AY123" t="n">
        <v>4434</v>
      </c>
      <c r="AZ123" t="n">
        <v>4967</v>
      </c>
      <c r="BA123" t="n">
        <v>1916</v>
      </c>
      <c r="BB123" t="n">
        <v>416</v>
      </c>
      <c r="BC123" t="n">
        <v>377</v>
      </c>
      <c r="BD123" t="n">
        <v>227</v>
      </c>
      <c r="BE123" t="n">
        <v>365</v>
      </c>
      <c r="BF123" t="n">
        <v>364</v>
      </c>
    </row>
    <row r="124">
      <c r="A124" t="n">
        <v>1290</v>
      </c>
      <c r="B124" s="2" t="n">
        <v>-29908.22441822865</v>
      </c>
      <c r="C124" s="2" t="n">
        <v>-28748.75225017508</v>
      </c>
      <c r="D124" s="2" t="n">
        <v>-36162.29525314234</v>
      </c>
      <c r="E124" s="2" t="n">
        <v>-37904.57207185489</v>
      </c>
      <c r="F124" s="2" t="n">
        <v>-42304.90889400001</v>
      </c>
      <c r="G124" s="2" t="n">
        <v>-46555.26517075728</v>
      </c>
      <c r="H124" s="2" t="n">
        <v>-56537.08372913391</v>
      </c>
      <c r="I124" s="2" t="n">
        <v>-51329.2330310016</v>
      </c>
      <c r="J124" s="2" t="n">
        <v>-53080.00842206553</v>
      </c>
      <c r="K124" s="2" t="n">
        <v>-38092.03642879801</v>
      </c>
      <c r="L124" s="2" t="n">
        <v>-17678.53272300484</v>
      </c>
      <c r="M124" s="2" t="n">
        <v>-77567.53075109964</v>
      </c>
      <c r="N124" s="2" t="n">
        <v>-36646.6685375641</v>
      </c>
      <c r="O124" s="2" t="n">
        <v>-28469.69216204762</v>
      </c>
      <c r="P124" t="inlineStr">
        <is>
          <t>MINUS</t>
        </is>
      </c>
      <c r="AA124" t="n">
        <v>1289</v>
      </c>
      <c r="AB124" s="2" t="n">
        <v>10116.66666666667</v>
      </c>
      <c r="AC124" s="2" t="n">
        <v>13926.87037037037</v>
      </c>
      <c r="AD124" s="2" t="n">
        <v>12098.38888888889</v>
      </c>
      <c r="AE124" s="2" t="n">
        <v>21511.86111111111</v>
      </c>
      <c r="AF124" s="2" t="n">
        <v>24792.42592592592</v>
      </c>
      <c r="AG124" s="2" t="n">
        <v>45681.22222222222</v>
      </c>
      <c r="AH124" s="2" t="n">
        <v>79856.94444444444</v>
      </c>
      <c r="AI124" s="2" t="n">
        <v>87448.76851851853</v>
      </c>
      <c r="AJ124" s="2" t="n">
        <v>34370.23148148147</v>
      </c>
      <c r="AK124" s="2" t="n">
        <v>15629.36111111111</v>
      </c>
      <c r="AL124" s="2" t="n">
        <v>13223.88888888889</v>
      </c>
      <c r="AM124" s="2" t="n">
        <v>7218.296296296296</v>
      </c>
      <c r="AN124" s="2" t="n">
        <v>8730.462962962964</v>
      </c>
      <c r="AO124" s="2" t="n">
        <v>11583.52777777778</v>
      </c>
      <c r="AR124" t="n">
        <v>1289</v>
      </c>
      <c r="AS124" t="n">
        <v>407</v>
      </c>
      <c r="AT124" t="n">
        <v>586</v>
      </c>
      <c r="AU124" t="n">
        <v>549</v>
      </c>
      <c r="AV124" t="n">
        <v>876</v>
      </c>
      <c r="AW124" t="n">
        <v>1038</v>
      </c>
      <c r="AX124" t="n">
        <v>1887</v>
      </c>
      <c r="AY124" t="n">
        <v>2943</v>
      </c>
      <c r="AZ124" t="n">
        <v>3333</v>
      </c>
      <c r="BA124" t="n">
        <v>1501</v>
      </c>
      <c r="BB124" t="n">
        <v>682</v>
      </c>
      <c r="BC124" t="n">
        <v>549</v>
      </c>
      <c r="BD124" t="n">
        <v>357</v>
      </c>
      <c r="BE124" t="n">
        <v>391</v>
      </c>
      <c r="BF124" t="n">
        <v>494</v>
      </c>
    </row>
    <row r="125">
      <c r="A125" t="n">
        <v>1291</v>
      </c>
      <c r="B125" s="2" t="n">
        <v>-32536.60641841383</v>
      </c>
      <c r="C125" s="2" t="n">
        <v>-31190.88538165657</v>
      </c>
      <c r="D125" s="2" t="n">
        <v>-38248.71936862382</v>
      </c>
      <c r="E125" s="2" t="n">
        <v>-39491.87409422526</v>
      </c>
      <c r="F125" s="2" t="n">
        <v>-42907.82101974075</v>
      </c>
      <c r="G125" s="2" t="n">
        <v>-47549.52016586838</v>
      </c>
      <c r="H125" s="2" t="n">
        <v>-57698.63297305983</v>
      </c>
      <c r="I125" s="2" t="n">
        <v>-53028.41252489049</v>
      </c>
      <c r="J125" s="2" t="n">
        <v>-52803.36792536182</v>
      </c>
      <c r="K125" s="2" t="n">
        <v>-38994.78988720541</v>
      </c>
      <c r="L125" s="2" t="n">
        <v>-17919.92145041224</v>
      </c>
      <c r="M125" s="2" t="n">
        <v>-77875.16733461813</v>
      </c>
      <c r="N125" s="2" t="n">
        <v>-36851.1430835641</v>
      </c>
      <c r="O125" s="2" t="n">
        <v>-35719.11134094709</v>
      </c>
      <c r="P125" t="inlineStr">
        <is>
          <t>MINUS</t>
        </is>
      </c>
      <c r="AA125" t="n">
        <v>1290</v>
      </c>
      <c r="AB125" s="2" t="n">
        <v>48840.80555555555</v>
      </c>
      <c r="AC125" s="2" t="n">
        <v>47589.12962962963</v>
      </c>
      <c r="AD125" s="2" t="n">
        <v>57574.25</v>
      </c>
      <c r="AE125" s="2" t="n">
        <v>56964.93518518518</v>
      </c>
      <c r="AF125" s="2" t="n">
        <v>48894.55555555555</v>
      </c>
      <c r="AG125" s="2" t="n">
        <v>54732.60185185184</v>
      </c>
      <c r="AH125" s="2" t="n">
        <v>65919.37037037036</v>
      </c>
      <c r="AI125" s="2" t="n">
        <v>68963.4074074074</v>
      </c>
      <c r="AJ125" s="2" t="n">
        <v>34556.55555555555</v>
      </c>
      <c r="AK125" s="2" t="n">
        <v>45746.77777777777</v>
      </c>
      <c r="AL125" s="2" t="n">
        <v>34433.46296296296</v>
      </c>
      <c r="AM125" s="2" t="n">
        <v>34793.64814814815</v>
      </c>
      <c r="AN125" s="2" t="n">
        <v>32668.9537037037</v>
      </c>
      <c r="AO125" s="2" t="n">
        <v>24562.09259259259</v>
      </c>
      <c r="AR125" t="n">
        <v>1290</v>
      </c>
      <c r="AS125" t="n">
        <v>2390</v>
      </c>
      <c r="AT125" t="n">
        <v>2270</v>
      </c>
      <c r="AU125" t="n">
        <v>2625</v>
      </c>
      <c r="AV125" t="n">
        <v>2626</v>
      </c>
      <c r="AW125" t="n">
        <v>2358</v>
      </c>
      <c r="AX125" t="n">
        <v>2601</v>
      </c>
      <c r="AY125" t="n">
        <v>2891</v>
      </c>
      <c r="AZ125" t="n">
        <v>3227</v>
      </c>
      <c r="BA125" t="n">
        <v>1804</v>
      </c>
      <c r="BB125" t="n">
        <v>2540</v>
      </c>
      <c r="BC125" t="n">
        <v>2009</v>
      </c>
      <c r="BD125" t="n">
        <v>1897</v>
      </c>
      <c r="BE125" t="n">
        <v>1754</v>
      </c>
      <c r="BF125" t="n">
        <v>1358</v>
      </c>
    </row>
    <row r="126">
      <c r="A126" t="n">
        <v>1292</v>
      </c>
      <c r="B126" s="2" t="n">
        <v>-28937.43509345087</v>
      </c>
      <c r="C126" s="2" t="n">
        <v>-27843.99738176767</v>
      </c>
      <c r="D126" s="2" t="n">
        <v>-34708.98567988307</v>
      </c>
      <c r="E126" s="2" t="n">
        <v>-36268.91146111414</v>
      </c>
      <c r="F126" s="2" t="n">
        <v>-39849.73657403704</v>
      </c>
      <c r="G126" s="2" t="n">
        <v>-44513.2096776832</v>
      </c>
      <c r="H126" s="2" t="n">
        <v>-55574.07652465242</v>
      </c>
      <c r="I126" s="2" t="n">
        <v>-50489.13076389049</v>
      </c>
      <c r="J126" s="2" t="n">
        <v>-49553.23957376923</v>
      </c>
      <c r="K126" s="2" t="n">
        <v>-35619.80719783505</v>
      </c>
      <c r="L126" s="2" t="n">
        <v>-14291.92491270854</v>
      </c>
      <c r="M126" s="2" t="n">
        <v>-74202.29808821072</v>
      </c>
      <c r="N126" s="2" t="n">
        <v>-33251.28410993447</v>
      </c>
      <c r="O126" s="2" t="n">
        <v>-32651.2386220582</v>
      </c>
      <c r="P126" t="inlineStr">
        <is>
          <t>MINUS</t>
        </is>
      </c>
      <c r="AA126" t="n">
        <v>1291</v>
      </c>
      <c r="AB126" s="2" t="n">
        <v>21065.93518518519</v>
      </c>
      <c r="AC126" s="2" t="n">
        <v>19036.82407407407</v>
      </c>
      <c r="AD126" s="2" t="n">
        <v>22082.72222222222</v>
      </c>
      <c r="AE126" s="2" t="n">
        <v>26406.23148148148</v>
      </c>
      <c r="AF126" s="2" t="n">
        <v>30011.84259259259</v>
      </c>
      <c r="AG126" s="2" t="n">
        <v>30691.93518518518</v>
      </c>
      <c r="AH126" s="2" t="n">
        <v>37559.58333333334</v>
      </c>
      <c r="AI126" s="2" t="n">
        <v>36163.31481481482</v>
      </c>
      <c r="AJ126" s="2" t="n">
        <v>25492.29629629629</v>
      </c>
      <c r="AK126" s="2" t="n">
        <v>22438.25</v>
      </c>
      <c r="AL126" s="2" t="n">
        <v>19210</v>
      </c>
      <c r="AM126" s="2" t="n">
        <v>18730.83333333333</v>
      </c>
      <c r="AN126" s="2" t="n">
        <v>17130.38888888889</v>
      </c>
      <c r="AO126" s="2" t="n">
        <v>14558.78703703703</v>
      </c>
      <c r="AR126" t="n">
        <v>1291</v>
      </c>
      <c r="AS126" t="n">
        <v>1576</v>
      </c>
      <c r="AT126" t="n">
        <v>1336</v>
      </c>
      <c r="AU126" t="n">
        <v>1694</v>
      </c>
      <c r="AV126" t="n">
        <v>1924</v>
      </c>
      <c r="AW126" t="n">
        <v>1945</v>
      </c>
      <c r="AX126" t="n">
        <v>2191</v>
      </c>
      <c r="AY126" t="n">
        <v>2343</v>
      </c>
      <c r="AZ126" t="n">
        <v>2301</v>
      </c>
      <c r="BA126" t="n">
        <v>1795</v>
      </c>
      <c r="BB126" t="n">
        <v>1742</v>
      </c>
      <c r="BC126" t="n">
        <v>1498</v>
      </c>
      <c r="BD126" t="n">
        <v>1489</v>
      </c>
      <c r="BE126" t="n">
        <v>1375</v>
      </c>
      <c r="BF126" t="n">
        <v>1204</v>
      </c>
    </row>
    <row r="127">
      <c r="A127" t="n">
        <v>1293</v>
      </c>
      <c r="B127" s="2" t="n">
        <v>-29067.33921556198</v>
      </c>
      <c r="C127" s="2" t="n">
        <v>-27966.86928065656</v>
      </c>
      <c r="D127" s="2" t="n">
        <v>-34972.00717958678</v>
      </c>
      <c r="E127" s="2" t="n">
        <v>-36600.09826626229</v>
      </c>
      <c r="F127" s="2" t="n">
        <v>-13660.93036413262</v>
      </c>
      <c r="G127" s="2" t="n">
        <v>-44976.32071920172</v>
      </c>
      <c r="H127" s="2" t="n">
        <v>-55839.58783094872</v>
      </c>
      <c r="I127" s="2" t="n">
        <v>-50806.40726618678</v>
      </c>
      <c r="J127" s="2" t="n">
        <v>-49812.29182917663</v>
      </c>
      <c r="K127" s="2" t="n">
        <v>-35743.49727487208</v>
      </c>
      <c r="L127" s="2" t="n">
        <v>-14389.53858693076</v>
      </c>
      <c r="M127" s="2" t="n">
        <v>-74312.43124732183</v>
      </c>
      <c r="N127" s="2" t="n">
        <v>-33387.73568211965</v>
      </c>
      <c r="O127" s="2" t="n">
        <v>-32777.54871242856</v>
      </c>
      <c r="P127" t="inlineStr">
        <is>
          <t>MINUS</t>
        </is>
      </c>
      <c r="AA127" t="n">
        <v>1292</v>
      </c>
      <c r="AB127" s="2" t="n">
        <v>8697.657407407407</v>
      </c>
      <c r="AC127" s="2" t="n">
        <v>9654.157407407407</v>
      </c>
      <c r="AD127" s="2" t="n">
        <v>12412.04629629629</v>
      </c>
      <c r="AE127" s="2" t="n">
        <v>11978.87962962963</v>
      </c>
      <c r="AF127" s="2" t="n">
        <v>15889.84259259259</v>
      </c>
      <c r="AG127" s="2" t="n">
        <v>15967.06481481481</v>
      </c>
      <c r="AH127" s="2" t="n">
        <v>14539.00925925926</v>
      </c>
      <c r="AI127" s="2" t="n">
        <v>17148.19444444445</v>
      </c>
      <c r="AJ127" s="2" t="n">
        <v>12657.2962962963</v>
      </c>
      <c r="AK127" s="2" t="n">
        <v>10088.21296296296</v>
      </c>
      <c r="AL127" s="2" t="n">
        <v>8723.268518518518</v>
      </c>
      <c r="AM127" s="2" t="n">
        <v>9228.916666666664</v>
      </c>
      <c r="AN127" s="2" t="n">
        <v>8932.092592592593</v>
      </c>
      <c r="AO127" s="2" t="n">
        <v>7511.657407407406</v>
      </c>
      <c r="AR127" t="n">
        <v>1292</v>
      </c>
      <c r="AS127" t="n">
        <v>574</v>
      </c>
      <c r="AT127" t="n">
        <v>644</v>
      </c>
      <c r="AU127" t="n">
        <v>803</v>
      </c>
      <c r="AV127" t="n">
        <v>743</v>
      </c>
      <c r="AW127" t="n">
        <v>919</v>
      </c>
      <c r="AX127" t="n">
        <v>931</v>
      </c>
      <c r="AY127" t="n">
        <v>862</v>
      </c>
      <c r="AZ127" t="n">
        <v>957</v>
      </c>
      <c r="BA127" t="n">
        <v>738</v>
      </c>
      <c r="BB127" t="n">
        <v>740</v>
      </c>
      <c r="BC127" t="n">
        <v>626</v>
      </c>
      <c r="BD127" t="n">
        <v>683</v>
      </c>
      <c r="BE127" t="n">
        <v>616</v>
      </c>
      <c r="BF127" t="n">
        <v>546</v>
      </c>
    </row>
    <row r="128">
      <c r="A128" t="n">
        <v>1294</v>
      </c>
      <c r="B128" s="2" t="n">
        <v>-30872.13076615457</v>
      </c>
      <c r="C128" s="2" t="n">
        <v>-29670.34673280471</v>
      </c>
      <c r="D128" s="2" t="n">
        <v>-36516.2817801053</v>
      </c>
      <c r="E128" s="2" t="n">
        <v>-38328.97978444747</v>
      </c>
      <c r="F128" s="2" t="n">
        <v>-41899.19853996296</v>
      </c>
      <c r="G128" s="2" t="n">
        <v>-776.5130656831961</v>
      </c>
      <c r="H128" s="2" t="n">
        <v>-57717.97041594871</v>
      </c>
      <c r="I128" s="2" t="n">
        <v>-52451.50797537198</v>
      </c>
      <c r="J128" s="2" t="n">
        <v>-51357.45636150997</v>
      </c>
      <c r="K128" s="2" t="n">
        <v>-37679.5880266869</v>
      </c>
      <c r="L128" s="2" t="n">
        <v>-16431.36330126409</v>
      </c>
      <c r="M128" s="2" t="n">
        <v>-76434.55085132185</v>
      </c>
      <c r="N128" s="2" t="n">
        <v>-35657.78793445299</v>
      </c>
      <c r="O128" s="2" t="n">
        <v>-33671.43474687301</v>
      </c>
      <c r="P128" t="inlineStr">
        <is>
          <t>MINUS</t>
        </is>
      </c>
      <c r="AA128" t="n">
        <v>1293</v>
      </c>
      <c r="AB128" s="2" t="n">
        <v>5537.407407407407</v>
      </c>
      <c r="AC128" s="2" t="n">
        <v>7275.435185185184</v>
      </c>
      <c r="AD128" s="2" t="n">
        <v>7852.953703703703</v>
      </c>
      <c r="AE128" s="2" t="n">
        <v>7228.268518518518</v>
      </c>
      <c r="AF128" s="2" t="n">
        <v>8840.675925925925</v>
      </c>
      <c r="AG128" s="2" t="n">
        <v>9834.120370370369</v>
      </c>
      <c r="AH128" s="2" t="n">
        <v>13803.42592592593</v>
      </c>
      <c r="AI128" s="2" t="n">
        <v>17292.63888888889</v>
      </c>
      <c r="AJ128" s="2" t="n">
        <v>7854.62037037037</v>
      </c>
      <c r="AK128" s="2" t="n">
        <v>4504.601851851851</v>
      </c>
      <c r="AL128" s="2" t="n">
        <v>5205.499999999999</v>
      </c>
      <c r="AM128" s="2" t="n">
        <v>4797.25</v>
      </c>
      <c r="AN128" s="2" t="n">
        <v>3399.851851851852</v>
      </c>
      <c r="AO128" s="2" t="n">
        <v>1337.962962962963</v>
      </c>
      <c r="AR128" t="n">
        <v>1293</v>
      </c>
      <c r="AS128" t="n">
        <v>556</v>
      </c>
      <c r="AT128" t="n">
        <v>698</v>
      </c>
      <c r="AU128" t="n">
        <v>787</v>
      </c>
      <c r="AV128" t="n">
        <v>721</v>
      </c>
      <c r="AW128" t="n">
        <v>852</v>
      </c>
      <c r="AX128" t="n">
        <v>877</v>
      </c>
      <c r="AY128" t="n">
        <v>1008</v>
      </c>
      <c r="AZ128" t="n">
        <v>1179</v>
      </c>
      <c r="BA128" t="n">
        <v>618</v>
      </c>
      <c r="BB128" t="n">
        <v>419</v>
      </c>
      <c r="BC128" t="n">
        <v>459</v>
      </c>
      <c r="BD128" t="n">
        <v>436</v>
      </c>
      <c r="BE128" t="n">
        <v>354</v>
      </c>
      <c r="BF128" t="n">
        <v>138</v>
      </c>
    </row>
    <row r="129">
      <c r="A129" t="n">
        <v>1295</v>
      </c>
      <c r="B129" s="2" t="n">
        <v>-31431.12239522865</v>
      </c>
      <c r="C129" s="2" t="n">
        <v>-30723.49490224915</v>
      </c>
      <c r="D129" s="2" t="n">
        <v>-37453.30492266085</v>
      </c>
      <c r="E129" s="2" t="n">
        <v>-38916.81139089193</v>
      </c>
      <c r="F129" s="2" t="n">
        <v>-42431.34668218519</v>
      </c>
      <c r="G129" s="2" t="n">
        <v>-47106.22274709061</v>
      </c>
      <c r="H129" s="2" t="n">
        <v>-57620.44766531909</v>
      </c>
      <c r="I129" s="2" t="n">
        <v>-52472.73550237197</v>
      </c>
      <c r="J129" s="2" t="n">
        <v>-52029.70990495442</v>
      </c>
      <c r="K129" s="2" t="n">
        <v>-38062.14522602023</v>
      </c>
      <c r="L129" s="2" t="n">
        <v>-17172.17709144927</v>
      </c>
      <c r="M129" s="2" t="n">
        <v>-76926.77700146999</v>
      </c>
      <c r="N129" s="2" t="n">
        <v>-36229.15434449002</v>
      </c>
      <c r="O129" s="2" t="n">
        <v>-35547.8135484656</v>
      </c>
      <c r="P129" t="inlineStr">
        <is>
          <t>MINUS</t>
        </is>
      </c>
      <c r="AA129" t="n">
        <v>1294</v>
      </c>
      <c r="AB129" s="2" t="n">
        <v>31820.80555555555</v>
      </c>
      <c r="AC129" s="2" t="n">
        <v>30085.39814814815</v>
      </c>
      <c r="AD129" s="2" t="n">
        <v>34747.79629629629</v>
      </c>
      <c r="AE129" s="2" t="n">
        <v>32514.63888888889</v>
      </c>
      <c r="AF129" s="2" t="n">
        <v>34021.80555555555</v>
      </c>
      <c r="AG129" s="2" t="n">
        <v>32020.26851851852</v>
      </c>
      <c r="AH129" s="2" t="n">
        <v>32049.24074074074</v>
      </c>
      <c r="AI129" s="2" t="n">
        <v>35084.38888888889</v>
      </c>
      <c r="AJ129" s="2" t="n">
        <v>34942.2037037037</v>
      </c>
      <c r="AK129" s="2" t="n">
        <v>27064.69444444444</v>
      </c>
      <c r="AL129" s="2" t="n">
        <v>26066.21296296296</v>
      </c>
      <c r="AM129" s="2" t="n">
        <v>25024.61111111111</v>
      </c>
      <c r="AN129" s="2" t="n">
        <v>22004.90740740741</v>
      </c>
      <c r="AO129" s="2" t="n">
        <v>37474.25</v>
      </c>
      <c r="AR129" t="n">
        <v>1294</v>
      </c>
      <c r="AS129" t="n">
        <v>2374</v>
      </c>
      <c r="AT129" t="n">
        <v>2232</v>
      </c>
      <c r="AU129" t="n">
        <v>2472</v>
      </c>
      <c r="AV129" t="n">
        <v>2321</v>
      </c>
      <c r="AW129" t="n">
        <v>2466</v>
      </c>
      <c r="AX129" t="n">
        <v>2461</v>
      </c>
      <c r="AY129" t="n">
        <v>2312</v>
      </c>
      <c r="AZ129" t="n">
        <v>2535</v>
      </c>
      <c r="BA129" t="n">
        <v>2567</v>
      </c>
      <c r="BB129" t="n">
        <v>2147</v>
      </c>
      <c r="BC129" t="n">
        <v>2063</v>
      </c>
      <c r="BD129" t="n">
        <v>1965</v>
      </c>
      <c r="BE129" t="n">
        <v>1638</v>
      </c>
      <c r="BF129" t="n">
        <v>2639</v>
      </c>
    </row>
    <row r="130">
      <c r="A130" t="n">
        <v>1296</v>
      </c>
      <c r="B130" s="2" t="n">
        <v>-31074.42166322865</v>
      </c>
      <c r="C130" s="2" t="n">
        <v>-29976.0117029899</v>
      </c>
      <c r="D130" s="2" t="n">
        <v>-36913.55307595715</v>
      </c>
      <c r="E130" s="2" t="n">
        <v>-37718.140585966</v>
      </c>
      <c r="F130" s="2" t="n">
        <v>-37000.09030556869</v>
      </c>
      <c r="G130" s="2" t="n">
        <v>-46353.48674475728</v>
      </c>
      <c r="H130" s="2" t="n">
        <v>-57509.30010165242</v>
      </c>
      <c r="I130" s="2" t="n">
        <v>-51984.17501411272</v>
      </c>
      <c r="J130" s="2" t="n">
        <v>-51281.8168734359</v>
      </c>
      <c r="K130" s="2" t="n">
        <v>-37534.30337390912</v>
      </c>
      <c r="L130" s="2" t="n">
        <v>-16303.72696956039</v>
      </c>
      <c r="M130" s="2" t="n">
        <v>-76375.36581521074</v>
      </c>
      <c r="N130" s="2" t="n">
        <v>-35506.24159523077</v>
      </c>
      <c r="O130" s="2" t="n">
        <v>-34540.44861142857</v>
      </c>
      <c r="P130" t="inlineStr">
        <is>
          <t>MINUS</t>
        </is>
      </c>
      <c r="AA130" t="n">
        <v>1295</v>
      </c>
      <c r="AB130" s="2" t="n">
        <v>23160.56481481481</v>
      </c>
      <c r="AC130" s="2" t="n">
        <v>18402.83333333333</v>
      </c>
      <c r="AD130" s="2" t="n">
        <v>21734.47222222222</v>
      </c>
      <c r="AE130" s="2" t="n">
        <v>23585.85185185185</v>
      </c>
      <c r="AF130" s="2" t="n">
        <v>25767.53703703704</v>
      </c>
      <c r="AG130" s="2" t="n">
        <v>26486.49074074074</v>
      </c>
      <c r="AH130" s="2" t="n">
        <v>31408.75</v>
      </c>
      <c r="AI130" s="2" t="n">
        <v>32899.77777777777</v>
      </c>
      <c r="AJ130" s="2" t="n">
        <v>24923.43518518518</v>
      </c>
      <c r="AK130" s="2" t="n">
        <v>23699.19444444444</v>
      </c>
      <c r="AL130" s="2" t="n">
        <v>18002.71296296296</v>
      </c>
      <c r="AM130" s="2" t="n">
        <v>20371.87037037037</v>
      </c>
      <c r="AN130" s="2" t="n">
        <v>16473.92592592592</v>
      </c>
      <c r="AO130" s="2" t="n">
        <v>17363.21296296296</v>
      </c>
      <c r="AR130" t="n">
        <v>1295</v>
      </c>
      <c r="AS130" t="n">
        <v>1546</v>
      </c>
      <c r="AT130" t="n">
        <v>1202</v>
      </c>
      <c r="AU130" t="n">
        <v>1405</v>
      </c>
      <c r="AV130" t="n">
        <v>1533</v>
      </c>
      <c r="AW130" t="n">
        <v>1646</v>
      </c>
      <c r="AX130" t="n">
        <v>1729</v>
      </c>
      <c r="AY130" t="n">
        <v>1880</v>
      </c>
      <c r="AZ130" t="n">
        <v>1952</v>
      </c>
      <c r="BA130" t="n">
        <v>1658</v>
      </c>
      <c r="BB130" t="n">
        <v>1654</v>
      </c>
      <c r="BC130" t="n">
        <v>1313</v>
      </c>
      <c r="BD130" t="n">
        <v>1442</v>
      </c>
      <c r="BE130" t="n">
        <v>1132</v>
      </c>
      <c r="BF130" t="n">
        <v>1184</v>
      </c>
    </row>
    <row r="131">
      <c r="A131" t="n">
        <v>1297</v>
      </c>
      <c r="B131" s="2" t="n">
        <v>-32339.1079493768</v>
      </c>
      <c r="C131" s="2" t="n">
        <v>-31994.35563821212</v>
      </c>
      <c r="D131" s="2" t="n">
        <v>-38464.52512532752</v>
      </c>
      <c r="E131" s="2" t="n">
        <v>-40074.47371411414</v>
      </c>
      <c r="F131" s="2" t="n">
        <v>-39517.92512771685</v>
      </c>
      <c r="G131" s="2" t="n">
        <v>-47254.59656886839</v>
      </c>
      <c r="H131" s="2" t="n">
        <v>-57620.15810357835</v>
      </c>
      <c r="I131" s="2" t="n">
        <v>-52936.08327877938</v>
      </c>
      <c r="J131" s="2" t="n">
        <v>-52626.65629039886</v>
      </c>
      <c r="K131" s="2" t="n">
        <v>-38513.66328327949</v>
      </c>
      <c r="L131" s="2" t="n">
        <v>-17629.16709670853</v>
      </c>
      <c r="M131" s="2" t="n">
        <v>-77275.94440306259</v>
      </c>
      <c r="N131" s="2" t="n">
        <v>-36546.60928056409</v>
      </c>
      <c r="O131" s="2" t="n">
        <v>-35530.66975879894</v>
      </c>
      <c r="P131" t="inlineStr">
        <is>
          <t>MINUS</t>
        </is>
      </c>
      <c r="AA131" t="n">
        <v>1296</v>
      </c>
      <c r="AB131" s="2" t="n">
        <v>35051.07407407407</v>
      </c>
      <c r="AC131" s="2" t="n">
        <v>35310.46296296296</v>
      </c>
      <c r="AD131" s="2" t="n">
        <v>35996.46296296296</v>
      </c>
      <c r="AE131" s="2" t="n">
        <v>46183.47222222222</v>
      </c>
      <c r="AF131" s="2" t="n">
        <v>48710.3148148148</v>
      </c>
      <c r="AG131" s="2" t="n">
        <v>43514.15740740742</v>
      </c>
      <c r="AH131" s="2" t="n">
        <v>40928.00925925926</v>
      </c>
      <c r="AI131" s="2" t="n">
        <v>47406.28703703704</v>
      </c>
      <c r="AJ131" s="2" t="n">
        <v>42137.08333333333</v>
      </c>
      <c r="AK131" s="2" t="n">
        <v>38366.03703703704</v>
      </c>
      <c r="AL131" s="2" t="n">
        <v>36768.69444444445</v>
      </c>
      <c r="AM131" s="2" t="n">
        <v>35130.30555555555</v>
      </c>
      <c r="AN131" s="2" t="n">
        <v>26002.46296296296</v>
      </c>
      <c r="AO131" s="2" t="n">
        <v>30500.69444444445</v>
      </c>
      <c r="AR131" t="n">
        <v>1296</v>
      </c>
      <c r="AS131" t="n">
        <v>1955</v>
      </c>
      <c r="AT131" t="n">
        <v>1929</v>
      </c>
      <c r="AU131" t="n">
        <v>2021</v>
      </c>
      <c r="AV131" t="n">
        <v>2571</v>
      </c>
      <c r="AW131" t="n">
        <v>2607</v>
      </c>
      <c r="AX131" t="n">
        <v>2379</v>
      </c>
      <c r="AY131" t="n">
        <v>2316</v>
      </c>
      <c r="AZ131" t="n">
        <v>2582</v>
      </c>
      <c r="BA131" t="n">
        <v>2384</v>
      </c>
      <c r="BB131" t="n">
        <v>2297</v>
      </c>
      <c r="BC131" t="n">
        <v>2160</v>
      </c>
      <c r="BD131" t="n">
        <v>2022</v>
      </c>
      <c r="BE131" t="n">
        <v>1576</v>
      </c>
      <c r="BF131" t="n">
        <v>1849</v>
      </c>
    </row>
    <row r="132">
      <c r="A132" t="n">
        <v>1298</v>
      </c>
      <c r="B132" s="2" t="n">
        <v>-30765.78598171013</v>
      </c>
      <c r="C132" s="2" t="n">
        <v>-29938.2727999899</v>
      </c>
      <c r="D132" s="2" t="n">
        <v>-37717.04343454974</v>
      </c>
      <c r="E132" s="2" t="n">
        <v>-39243.97862659564</v>
      </c>
      <c r="F132" s="2" t="n">
        <v>-42418.01995244445</v>
      </c>
      <c r="G132" s="2" t="n">
        <v>-47235.97576286839</v>
      </c>
      <c r="H132" s="2" t="n">
        <v>-57631.01498628205</v>
      </c>
      <c r="I132" s="2" t="n">
        <v>-52583.27921937197</v>
      </c>
      <c r="J132" s="2" t="n">
        <v>-52771.06192399145</v>
      </c>
      <c r="K132" s="2" t="n">
        <v>-36986.66247520542</v>
      </c>
      <c r="L132" s="2" t="n">
        <v>-18651.04548996779</v>
      </c>
      <c r="M132" s="2" t="n">
        <v>-78383.38451654407</v>
      </c>
      <c r="N132" s="2" t="n">
        <v>-37282.21683489744</v>
      </c>
      <c r="O132" s="2" t="n">
        <v>-35343.5244123545</v>
      </c>
      <c r="P132" t="inlineStr">
        <is>
          <t>MINUS</t>
        </is>
      </c>
      <c r="AA132" t="n">
        <v>1297</v>
      </c>
      <c r="AB132" s="2" t="n">
        <v>19159.93518518519</v>
      </c>
      <c r="AC132" s="2" t="n">
        <v>9839.703703703703</v>
      </c>
      <c r="AD132" s="2" t="n">
        <v>16414.64814814815</v>
      </c>
      <c r="AE132" s="2" t="n">
        <v>16564.37037037037</v>
      </c>
      <c r="AF132" s="2" t="n">
        <v>16893.91666666666</v>
      </c>
      <c r="AG132" s="2" t="n">
        <v>31923.09259259259</v>
      </c>
      <c r="AH132" s="2" t="n">
        <v>39103.00925925926</v>
      </c>
      <c r="AI132" s="2" t="n">
        <v>35227.09259259259</v>
      </c>
      <c r="AJ132" s="2" t="n">
        <v>24836.88888888888</v>
      </c>
      <c r="AK132" s="2" t="n">
        <v>25372.68518518518</v>
      </c>
      <c r="AL132" s="2" t="n">
        <v>19629.31481481481</v>
      </c>
      <c r="AM132" s="2" t="n">
        <v>23260.76851851851</v>
      </c>
      <c r="AN132" s="2" t="n">
        <v>13056.33333333333</v>
      </c>
      <c r="AO132" s="2" t="n">
        <v>18220.50925925926</v>
      </c>
      <c r="AR132" t="n">
        <v>1297</v>
      </c>
      <c r="AS132" t="n">
        <v>1043</v>
      </c>
      <c r="AT132" t="n">
        <v>577</v>
      </c>
      <c r="AU132" t="n">
        <v>859</v>
      </c>
      <c r="AV132" t="n">
        <v>847</v>
      </c>
      <c r="AW132" t="n">
        <v>831</v>
      </c>
      <c r="AX132" t="n">
        <v>1651</v>
      </c>
      <c r="AY132" t="n">
        <v>2079</v>
      </c>
      <c r="AZ132" t="n">
        <v>1889</v>
      </c>
      <c r="BA132" t="n">
        <v>1351</v>
      </c>
      <c r="BB132" t="n">
        <v>1453</v>
      </c>
      <c r="BC132" t="n">
        <v>1150</v>
      </c>
      <c r="BD132" t="n">
        <v>1380</v>
      </c>
      <c r="BE132" t="n">
        <v>809</v>
      </c>
      <c r="BF132" t="n">
        <v>1125</v>
      </c>
    </row>
    <row r="133">
      <c r="A133" t="n">
        <v>1299</v>
      </c>
      <c r="B133" s="2" t="n">
        <v>-30635.66198748791</v>
      </c>
      <c r="C133" s="2" t="n">
        <v>-30102.29823258249</v>
      </c>
      <c r="D133" s="2" t="n">
        <v>-36583.32541106825</v>
      </c>
      <c r="E133" s="2" t="n">
        <v>-38177.63613774377</v>
      </c>
      <c r="F133" s="2" t="n">
        <v>-41463.30427903704</v>
      </c>
      <c r="G133" s="2" t="n">
        <v>-2286.566232794307</v>
      </c>
      <c r="H133" s="2" t="n">
        <v>-57544.66475291168</v>
      </c>
      <c r="I133" s="2" t="n">
        <v>-52033.80480526087</v>
      </c>
      <c r="J133" s="2" t="n">
        <v>-51620.87770932478</v>
      </c>
      <c r="K133" s="2" t="n">
        <v>-36908.95566531653</v>
      </c>
      <c r="L133" s="2" t="n">
        <v>-15967.94398830113</v>
      </c>
      <c r="M133" s="2" t="n">
        <v>-75781.15548732184</v>
      </c>
      <c r="N133" s="2" t="n">
        <v>-34953.9765745641</v>
      </c>
      <c r="O133" s="2" t="n">
        <v>-34685.67241591005</v>
      </c>
      <c r="P133" t="inlineStr">
        <is>
          <t>MINUS</t>
        </is>
      </c>
      <c r="AA133" t="n">
        <v>1298</v>
      </c>
      <c r="AB133" s="2" t="n">
        <v>39420.76851851852</v>
      </c>
      <c r="AC133" s="2" t="n">
        <v>33732.66666666666</v>
      </c>
      <c r="AD133" s="2" t="n">
        <v>39709.98148148148</v>
      </c>
      <c r="AE133" s="2" t="n">
        <v>41550.08333333334</v>
      </c>
      <c r="AF133" s="2" t="n">
        <v>47537.25</v>
      </c>
      <c r="AG133" s="2" t="n">
        <v>46270.24999999999</v>
      </c>
      <c r="AH133" s="2" t="n">
        <v>52706.58333333333</v>
      </c>
      <c r="AI133" s="2" t="n">
        <v>53490.00925925926</v>
      </c>
      <c r="AJ133" s="2" t="n">
        <v>38030.37037037036</v>
      </c>
      <c r="AK133" s="2" t="n">
        <v>13742.67592592592</v>
      </c>
      <c r="AL133" s="2" t="n">
        <v>22565.4537037037</v>
      </c>
      <c r="AM133" s="2" t="n">
        <v>24860.5</v>
      </c>
      <c r="AN133" s="2" t="n">
        <v>25398.18518518518</v>
      </c>
      <c r="AO133" s="2" t="n">
        <v>18990.5</v>
      </c>
      <c r="AR133" t="n">
        <v>1298</v>
      </c>
      <c r="AS133" t="n">
        <v>2268</v>
      </c>
      <c r="AT133" t="n">
        <v>1829</v>
      </c>
      <c r="AU133" t="n">
        <v>2201</v>
      </c>
      <c r="AV133" t="n">
        <v>2262</v>
      </c>
      <c r="AW133" t="n">
        <v>2459</v>
      </c>
      <c r="AX133" t="n">
        <v>2333</v>
      </c>
      <c r="AY133" t="n">
        <v>2681</v>
      </c>
      <c r="AZ133" t="n">
        <v>2775</v>
      </c>
      <c r="BA133" t="n">
        <v>2068</v>
      </c>
      <c r="BB133" t="n">
        <v>780</v>
      </c>
      <c r="BC133" t="n">
        <v>1348</v>
      </c>
      <c r="BD133" t="n">
        <v>1425</v>
      </c>
      <c r="BE133" t="n">
        <v>1486</v>
      </c>
      <c r="BF133" t="n">
        <v>1134</v>
      </c>
    </row>
    <row r="134">
      <c r="AA134" t="n">
        <v>1299</v>
      </c>
      <c r="AB134" s="2" t="n">
        <v>41875.24074074074</v>
      </c>
      <c r="AC134" s="2" t="n">
        <v>34498.62962962963</v>
      </c>
      <c r="AD134" s="2" t="n">
        <v>43035.50925925926</v>
      </c>
      <c r="AE134" s="2" t="n">
        <v>45355.43518518518</v>
      </c>
      <c r="AF134" s="2" t="n">
        <v>53248.12037037036</v>
      </c>
      <c r="AG134" s="2" t="n">
        <v>45060.74074074074</v>
      </c>
      <c r="AH134" s="2" t="n">
        <v>46532.18518518518</v>
      </c>
      <c r="AI134" s="2" t="n">
        <v>55373.16666666666</v>
      </c>
      <c r="AJ134" s="2" t="n">
        <v>43346.33333333333</v>
      </c>
      <c r="AK134" s="2" t="n">
        <v>41218.68518518518</v>
      </c>
      <c r="AL134" s="2" t="n">
        <v>33857.18518518518</v>
      </c>
      <c r="AM134" s="2" t="n">
        <v>36450.59259259259</v>
      </c>
      <c r="AN134" s="2" t="n">
        <v>29880.2037037037</v>
      </c>
      <c r="AO134" s="2" t="n">
        <v>23724.21296296296</v>
      </c>
      <c r="AR134" t="n">
        <v>1299</v>
      </c>
      <c r="AS134" t="n">
        <v>1677</v>
      </c>
      <c r="AT134" t="n">
        <v>1519</v>
      </c>
      <c r="AU134" t="n">
        <v>1804</v>
      </c>
      <c r="AV134" t="n">
        <v>1893</v>
      </c>
      <c r="AW134" t="n">
        <v>2143</v>
      </c>
      <c r="AX134" t="n">
        <v>1900</v>
      </c>
      <c r="AY134" t="n">
        <v>1836</v>
      </c>
      <c r="AZ134" t="n">
        <v>2064</v>
      </c>
      <c r="BA134" t="n">
        <v>1794</v>
      </c>
      <c r="BB134" t="n">
        <v>1912</v>
      </c>
      <c r="BC134" t="n">
        <v>1656</v>
      </c>
      <c r="BD134" t="n">
        <v>1732</v>
      </c>
      <c r="BE134" t="n">
        <v>1397</v>
      </c>
      <c r="BF134" t="n">
        <v>1179</v>
      </c>
    </row>
    <row r="135"/>
    <row r="136">
      <c r="A136" s="7" t="inlineStr">
        <is>
          <t>Pseudo-pivot: porównanie automatu (miesiąc do miesiąca)</t>
        </is>
      </c>
    </row>
    <row r="137">
      <c r="A137" t="inlineStr">
        <is>
          <t>Nr automatu</t>
        </is>
      </c>
      <c r="B137" t="n">
        <v>1101</v>
      </c>
    </row>
    <row r="138">
      <c r="A138" t="inlineStr">
        <is>
          <t>Metryka</t>
        </is>
      </c>
      <c r="B138" t="inlineStr">
        <is>
          <t>Netto Suma</t>
        </is>
      </c>
    </row>
    <row r="139">
      <c r="A139" t="inlineStr">
        <is>
          <t>Miesiąc bazowy</t>
        </is>
      </c>
      <c r="B139" t="inlineStr">
        <is>
          <t>2025-01</t>
        </is>
      </c>
    </row>
    <row r="140">
      <c r="A140" t="inlineStr">
        <is>
          <t>Miesiąc porównawczy</t>
        </is>
      </c>
      <c r="B140" t="inlineStr">
        <is>
          <t>2026-02</t>
        </is>
      </c>
    </row>
    <row r="141"/>
    <row r="142">
      <c r="A142" t="inlineStr">
        <is>
          <t>Wybrana metryka</t>
        </is>
      </c>
      <c r="B142">
        <f>$B$138</f>
        <v/>
      </c>
    </row>
    <row r="143">
      <c r="A143" t="inlineStr">
        <is>
          <t>Wartość bazowa</t>
        </is>
      </c>
      <c r="B143" s="2">
        <f>IF($B$138="Netto Suma",IFERROR(INDEX($AB$3:$AO$134,MATCH($B$137,$AA$3:$AA$134,0),MATCH($B$139,$AB$2:$AO$2,0)),""),IFERROR(INDEX($AS$3:$BF$134,MATCH($B$137,$AR$3:$AR$134,0),MATCH($B$139,$AS$2:$BF$2,0)),""))</f>
        <v/>
      </c>
      <c r="C143" t="inlineStr">
        <is>
          <t>Miesiąc bazowy</t>
        </is>
      </c>
      <c r="D143">
        <f>$B$139</f>
        <v/>
      </c>
    </row>
    <row r="144">
      <c r="A144" t="inlineStr">
        <is>
          <t>Wartość porównawcza</t>
        </is>
      </c>
      <c r="B144" s="2">
        <f>IF($B$138="Netto Suma",IFERROR(INDEX($AB$3:$AO$134,MATCH($B$137,$AA$3:$AA$134,0),MATCH($B$140,$AB$2:$AO$2,0)),""),IFERROR(INDEX($AS$3:$BF$134,MATCH($B$137,$AR$3:$AR$134,0),MATCH($B$140,$AS$2:$BF$2,0)),""))</f>
        <v/>
      </c>
      <c r="C144" t="inlineStr">
        <is>
          <t>Miesiąc porównawczy</t>
        </is>
      </c>
      <c r="D144">
        <f>$B$140</f>
        <v/>
      </c>
    </row>
    <row r="145">
      <c r="A145" t="inlineStr">
        <is>
          <t>Delta</t>
        </is>
      </c>
      <c r="B145" s="2">
        <f>IF(OR(B143="",B144=""),"",B144-B143)</f>
        <v/>
      </c>
    </row>
    <row r="146">
      <c r="A146" t="inlineStr">
        <is>
          <t>Trend</t>
        </is>
      </c>
      <c r="B146">
        <f>IF(B145="","",IF(B145&gt;0,"Wzrost",IF(B145&lt;0,"Spadek","Bez zmian")))</f>
        <v/>
      </c>
    </row>
    <row r="147"/>
    <row r="148">
      <c r="A148" s="8" t="inlineStr">
        <is>
          <t>Wykres porównawczy (wybrana metryka)</t>
        </is>
      </c>
    </row>
  </sheetData>
  <mergeCells count="2">
    <mergeCell ref="V1:X1"/>
    <mergeCell ref="R1:T1"/>
  </mergeCells>
  <dataValidations count="4">
    <dataValidation sqref="B137" showDropDown="0" showInputMessage="0" showErrorMessage="0" allowBlank="0" type="list">
      <formula1>=$AA$3:$AA$134</formula1>
    </dataValidation>
    <dataValidation sqref="B139" showDropDown="0" showInputMessage="0" showErrorMessage="0" allowBlank="0" type="list">
      <formula1>=$AB$2:$AO$2</formula1>
    </dataValidation>
    <dataValidation sqref="B140" showDropDown="0" showInputMessage="0" showErrorMessage="0" allowBlank="0" type="list">
      <formula1>=$AB$2:$AO$2</formula1>
    </dataValidation>
    <dataValidation sqref="B138" showDropDown="0" showInputMessage="0" showErrorMessage="0" allowBlank="0" type="list">
      <formula1>=$BH$2:$BH$3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2026-03-31T17:49:26Z</dcterms:created>
  <dcterms:modified xsi:type="dcterms:W3CDTF">2026-03-31T17:49:59Z</dcterms:modified>
</cp:coreProperties>
</file>
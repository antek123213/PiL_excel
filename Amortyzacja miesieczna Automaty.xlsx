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"/>
    </mc:Choice>
  </mc:AlternateContent>
  <xr:revisionPtr revIDLastSave="1" documentId="13_ncr:1_{5F1E0736-F1D5-4AD5-9E76-A1C611F77101}" xr6:coauthVersionLast="47" xr6:coauthVersionMax="47" xr10:uidLastSave="{809072BB-7EA2-4FF7-ADAD-F338B9016C0D}"/>
  <bookViews>
    <workbookView xWindow="-120" yWindow="-120" windowWidth="38640" windowHeight="21840" activeTab="1" xr2:uid="{F43583CD-4CA5-4225-8524-8CC9137B419C}"/>
  </bookViews>
  <sheets>
    <sheet name="Arkusz1" sheetId="1" r:id="rId1"/>
    <sheet name="bb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G42" i="2"/>
  <c r="P42" i="2"/>
  <c r="O42" i="2"/>
  <c r="N42" i="2"/>
  <c r="M42" i="2"/>
  <c r="L42" i="2"/>
  <c r="K42" i="2"/>
  <c r="J42" i="2"/>
  <c r="I42" i="2"/>
</calcChain>
</file>

<file path=xl/sharedStrings.xml><?xml version="1.0" encoding="utf-8"?>
<sst xmlns="http://schemas.openxmlformats.org/spreadsheetml/2006/main" count="174" uniqueCount="102">
  <si>
    <t>ST-40</t>
  </si>
  <si>
    <t>FAA 2000</t>
  </si>
  <si>
    <t>IX/19</t>
  </si>
  <si>
    <t>AUTOMAT  GDAŃSK</t>
  </si>
  <si>
    <t>AUTOMAT KATOWICE</t>
  </si>
  <si>
    <t>AUTOMAT OSTRÓW WLKP</t>
  </si>
  <si>
    <t>XII/19</t>
  </si>
  <si>
    <t>AUTOMAT MALBORK</t>
  </si>
  <si>
    <t>AUTOMAT KALISZ</t>
  </si>
  <si>
    <t>AUTOMAT RYBNIK</t>
  </si>
  <si>
    <t>AUTOMAT TYCHY</t>
  </si>
  <si>
    <t>AUTOMAT SOSNOWIEC</t>
  </si>
  <si>
    <t>AUTOMAT LUBLINIEC</t>
  </si>
  <si>
    <t>AUTOMAT GLIWICE</t>
  </si>
  <si>
    <t>AUTOMAT WAŁBRZYCH</t>
  </si>
  <si>
    <t>AUTOMAT GDAŃSK OLIWA</t>
  </si>
  <si>
    <t>AUTOMAT GDYNIA GŁÓWNA</t>
  </si>
  <si>
    <t>II/20</t>
  </si>
  <si>
    <t>AUTOMAT GŁOGÓW</t>
  </si>
  <si>
    <t>V/20</t>
  </si>
  <si>
    <t>AUTOMAT- ST40-OPOLE</t>
  </si>
  <si>
    <t>AUTOMAT-ST40- WROCŁAW</t>
  </si>
  <si>
    <t>VIII/20</t>
  </si>
  <si>
    <t>AUTOMAT ST-40 RZEPIN</t>
  </si>
  <si>
    <t>AUTOMAT ST-40 ŚWIEBODZIN</t>
  </si>
  <si>
    <t>AUTOMAT ST-40 PSZCZYNA</t>
  </si>
  <si>
    <t>IX/20</t>
  </si>
  <si>
    <t>AUTOMAT ST-40 ZABRZE</t>
  </si>
  <si>
    <t xml:space="preserve">IX/20 </t>
  </si>
  <si>
    <t>AUTOMAT ST-40 CZECHOWICE-DZIEDZICE</t>
  </si>
  <si>
    <t>XI/20</t>
  </si>
  <si>
    <t>AUTOMAT ST-40 BIELSKO BIAŁA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</si>
  <si>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</si>
  <si>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</si>
  <si>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</si>
  <si>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</si>
  <si>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</si>
  <si>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</si>
  <si>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</si>
  <si>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</si>
  <si>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</si>
  <si>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</si>
  <si>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</si>
  <si>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</si>
  <si>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Lp.</t>
  </si>
  <si>
    <t>OKREŚLENIE ŚRODKA TRWAŁEGO</t>
  </si>
  <si>
    <t>Nr inw.</t>
  </si>
  <si>
    <t>Ilość szt</t>
  </si>
  <si>
    <t>M-c</t>
  </si>
  <si>
    <t>Nazwa</t>
  </si>
  <si>
    <t>1.</t>
  </si>
  <si>
    <t>2.</t>
  </si>
  <si>
    <t>X/2022</t>
  </si>
  <si>
    <t>Automat biletowy BB8 Kraków Gł</t>
  </si>
  <si>
    <t>Automat biletowy BB8 Ziel.Góra</t>
  </si>
  <si>
    <t>Automat biletowy BB8 Wrocław Gł</t>
  </si>
  <si>
    <t>Automat biletowy BB8 Poznań Gł</t>
  </si>
  <si>
    <t>Automat biletowy BB8 Świnoujście</t>
  </si>
  <si>
    <t>Automat biletowy BB8 Szczecin Gł</t>
  </si>
  <si>
    <t>Automat biletowy BB8 Opole</t>
  </si>
  <si>
    <t>Automat biletowy BB8 Łódź Widzew</t>
  </si>
  <si>
    <t>Automat biletowy BB8 Jarosław</t>
  </si>
  <si>
    <t>Automat biletowy BB8 Białystok</t>
  </si>
  <si>
    <t>III/2024</t>
  </si>
  <si>
    <t>Automat biletowy BB8 Puck</t>
  </si>
  <si>
    <t xml:space="preserve">Automat biletowy BB8 Chojnice </t>
  </si>
  <si>
    <t>Automat biletowy BB8 Oława</t>
  </si>
  <si>
    <t>Automat biletowy BB8 Człuchów</t>
  </si>
  <si>
    <t>IV/2024</t>
  </si>
  <si>
    <t>Automat biletowy BB8 Pszczółki</t>
  </si>
  <si>
    <t>Automat biletowy BB8 Zakopane</t>
  </si>
  <si>
    <t>VI/2024</t>
  </si>
  <si>
    <t>Automat biletowy BB8 Elbląg</t>
  </si>
  <si>
    <t>Automat biletowy BB8 Gdańsk Wrzeszcz</t>
  </si>
  <si>
    <t>Automat biletowy BB8 Strzelce Krajeńskie</t>
  </si>
  <si>
    <t>VII/2024</t>
  </si>
  <si>
    <t xml:space="preserve">Automat biletowy Wrocław </t>
  </si>
  <si>
    <t>Automat biletowy  Głogów</t>
  </si>
  <si>
    <t>IX/2024</t>
  </si>
  <si>
    <t>Automat biletowy  Kędzierzyn Koźle</t>
  </si>
  <si>
    <t>Automat biletowy  Gogolin</t>
  </si>
  <si>
    <t>X/2024</t>
  </si>
  <si>
    <t xml:space="preserve">Automat biletowy Częstochowa </t>
  </si>
  <si>
    <t>XII/2024</t>
  </si>
  <si>
    <t>Automat biletowy W-wa CENTRALNA</t>
  </si>
  <si>
    <t>Automat biletowy KRZYŻ WLKP</t>
  </si>
  <si>
    <t>IV/2025</t>
  </si>
  <si>
    <t>Automat biletowy Września</t>
  </si>
  <si>
    <t>Automat biletowy Nowy Tomyśl</t>
  </si>
  <si>
    <t>Automat biletowy Kościan</t>
  </si>
  <si>
    <t>V/2025</t>
  </si>
  <si>
    <t>Autmat biletowy Rawicz</t>
  </si>
  <si>
    <t>VI/2025</t>
  </si>
  <si>
    <t>Automat biletowy Kielce</t>
  </si>
  <si>
    <t>VII/2025</t>
  </si>
  <si>
    <t>Automat biletowy Polędzie</t>
  </si>
  <si>
    <t>Automat biletowy Chodzież</t>
  </si>
  <si>
    <t>X/2025</t>
  </si>
  <si>
    <t>Automat biletowy Poznań</t>
  </si>
  <si>
    <t>Automat biletowy Bochnia</t>
  </si>
  <si>
    <t>Automat biletowy Rzeszów</t>
  </si>
  <si>
    <t>WARTOŚĆ MIESIĘCZNEGO UMORZEMIA - AMORTYZACJI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</si>
</sst>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_-* #,##0.00\ _z_ł_-;\-* #,##0.00\ _z_ł_-;_-* &quot;-&quot;??\ _z_ł_-;_-@_-"/>
  </numFmts>
  <fonts count="3" x14ac:knownFonts="1">
    <font>
      <sz val="11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 wrapText="1"/>
    </xf>
    <xf numFmtId="165" fontId="2" fillId="2" borderId="6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left"/>
    </xf>
    <xf numFmtId="4" fontId="2" fillId="0" borderId="2" xfId="0" applyNumberFormat="1" applyFont="1" applyBorder="1"/>
    <xf numFmtId="0" fontId="2" fillId="0" borderId="9" xfId="0" applyFont="1" applyBorder="1"/>
    <xf numFmtId="4" fontId="2" fillId="0" borderId="7" xfId="0" applyNumberFormat="1" applyFont="1" applyBorder="1"/>
    <xf numFmtId="0" fontId="2" fillId="0" borderId="7" xfId="0" applyFont="1" applyBorder="1"/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2" fillId="0" borderId="7" xfId="0" applyNumberFormat="1" applyFont="1" applyBorder="1" applyAlignment="1">
      <alignment wrapText="1"/>
    </xf>
    <xf numFmtId="0" fontId="2" fillId="0" borderId="1" xfId="0" applyFont="1" applyBorder="1"/>
    <xf numFmtId="0" fontId="0" fillId="0" borderId="3" xfId="0" applyBorder="1" applyAlignment="1">
      <alignment horizontal="left"/>
    </xf>
    <xf numFmtId="165" fontId="2" fillId="2" borderId="7" xfId="0" applyNumberFormat="1" applyFont="1" applyFill="1" applyBorder="1"/>
    <xf numFmtId="165" fontId="2" fillId="2" borderId="7" xfId="0" applyNumberFormat="1" applyFont="1" applyFill="1" applyBorder="1" applyAlignment="1">
      <alignment shrinkToFit="1"/>
    </xf>
    <xf numFmtId="165" fontId="2" fillId="2" borderId="7" xfId="0" applyNumberFormat="1" applyFont="1" applyFill="1" applyBorder="1" applyAlignment="1">
      <alignment horizontal="center" shrinkToFit="1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F13B-D4AE-464C-B286-11E1D5ACF627}">
  <dimension ref="A1:Q28"/>
  <sheetViews>
    <sheetView workbookViewId="0">
      <selection activeCell="F3" sqref="F3:G24"/>
    </sheetView>
  </sheetViews>
  <sheetFormatPr defaultRowHeight="15" x14ac:dyDescent="0.25"/>
  <cols>
    <col min="5" max="5" width="24.140625" customWidth="1"/>
    <col min="6" max="7" width="9.42578125" bestFit="1" customWidth="1"/>
  </cols>
  <sheetData>
    <row r="1" spans="1:17" x14ac:dyDescent="0.25">
      <c r="F1" s="56" t="s">
        <v>101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</row>
    <row r="2" spans="1:17" x14ac:dyDescent="0.25"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7" t="s">
        <v>43</v>
      </c>
    </row>
    <row r="3" spans="1:17" x14ac:dyDescent="0.25">
      <c r="A3" s="1" t="s">
        <v>0</v>
      </c>
      <c r="B3" s="2">
        <v>1</v>
      </c>
      <c r="C3" s="3" t="s">
        <v>2</v>
      </c>
      <c r="D3" s="59" t="s">
        <v>3</v>
      </c>
      <c r="E3" s="60"/>
      <c r="F3" s="6">
        <v>932.27</v>
      </c>
      <c r="G3" s="6">
        <v>932.27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1" t="s">
        <v>0</v>
      </c>
      <c r="B4" s="2">
        <v>1</v>
      </c>
      <c r="C4" s="3" t="s">
        <v>2</v>
      </c>
      <c r="D4" s="59" t="s">
        <v>4</v>
      </c>
      <c r="E4" s="60"/>
      <c r="F4" s="6">
        <v>932.27</v>
      </c>
      <c r="G4" s="6">
        <v>932.27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1" t="s">
        <v>0</v>
      </c>
      <c r="B5" s="2">
        <v>1</v>
      </c>
      <c r="C5" s="3" t="s">
        <v>2</v>
      </c>
      <c r="D5" s="59" t="s">
        <v>5</v>
      </c>
      <c r="E5" s="60"/>
      <c r="F5" s="6">
        <v>932.27</v>
      </c>
      <c r="G5" s="6">
        <v>932.27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1" t="s">
        <v>1</v>
      </c>
      <c r="B6" s="2">
        <v>1</v>
      </c>
      <c r="C6" s="3" t="s">
        <v>6</v>
      </c>
      <c r="D6" s="59" t="s">
        <v>7</v>
      </c>
      <c r="E6" s="60"/>
      <c r="F6" s="6">
        <v>617.61</v>
      </c>
      <c r="G6" s="6">
        <v>617.61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1" t="s">
        <v>0</v>
      </c>
      <c r="B7" s="2">
        <v>1</v>
      </c>
      <c r="C7" s="3" t="s">
        <v>6</v>
      </c>
      <c r="D7" s="59" t="s">
        <v>8</v>
      </c>
      <c r="E7" s="60"/>
      <c r="F7" s="6">
        <v>1047.8900000000001</v>
      </c>
      <c r="G7" s="6">
        <v>1047.8900000000001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1" t="s">
        <v>0</v>
      </c>
      <c r="B8" s="2">
        <v>1</v>
      </c>
      <c r="C8" s="3" t="s">
        <v>6</v>
      </c>
      <c r="D8" s="59" t="s">
        <v>9</v>
      </c>
      <c r="E8" s="60"/>
      <c r="F8" s="6">
        <v>1047.8900000000001</v>
      </c>
      <c r="G8" s="6">
        <v>1047.8900000000001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1" t="s">
        <v>0</v>
      </c>
      <c r="B9" s="2">
        <v>1</v>
      </c>
      <c r="C9" s="3" t="s">
        <v>6</v>
      </c>
      <c r="D9" s="59" t="s">
        <v>10</v>
      </c>
      <c r="E9" s="60"/>
      <c r="F9" s="6">
        <v>1047.8900000000001</v>
      </c>
      <c r="G9" s="6">
        <v>1047.8900000000001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1" t="s">
        <v>0</v>
      </c>
      <c r="B10" s="2">
        <v>1</v>
      </c>
      <c r="C10" s="3" t="s">
        <v>6</v>
      </c>
      <c r="D10" s="59" t="s">
        <v>11</v>
      </c>
      <c r="E10" s="60"/>
      <c r="F10" s="6">
        <v>1047.8900000000001</v>
      </c>
      <c r="G10" s="6">
        <v>1047.8900000000001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1" t="s">
        <v>0</v>
      </c>
      <c r="B11" s="2">
        <v>1</v>
      </c>
      <c r="C11" s="3" t="s">
        <v>6</v>
      </c>
      <c r="D11" s="59" t="s">
        <v>12</v>
      </c>
      <c r="E11" s="60"/>
      <c r="F11" s="6">
        <v>1047.8900000000001</v>
      </c>
      <c r="G11" s="6">
        <v>1047.8900000000001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1" t="s">
        <v>0</v>
      </c>
      <c r="B12" s="2">
        <v>1</v>
      </c>
      <c r="C12" s="3" t="s">
        <v>6</v>
      </c>
      <c r="D12" s="59" t="s">
        <v>13</v>
      </c>
      <c r="E12" s="60"/>
      <c r="F12" s="6">
        <v>1047.8900000000001</v>
      </c>
      <c r="G12" s="6">
        <v>1047.8900000000001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1" t="s">
        <v>0</v>
      </c>
      <c r="B13" s="2">
        <v>1</v>
      </c>
      <c r="C13" s="3" t="s">
        <v>6</v>
      </c>
      <c r="D13" s="59" t="s">
        <v>14</v>
      </c>
      <c r="E13" s="60"/>
      <c r="F13" s="6">
        <v>1047.8900000000001</v>
      </c>
      <c r="G13" s="6">
        <v>1047.8900000000001</v>
      </c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1" t="s">
        <v>0</v>
      </c>
      <c r="B14" s="2">
        <v>1</v>
      </c>
      <c r="C14" s="3" t="s">
        <v>6</v>
      </c>
      <c r="D14" s="59" t="s">
        <v>15</v>
      </c>
      <c r="E14" s="60"/>
      <c r="F14" s="6">
        <v>1047.8900000000001</v>
      </c>
      <c r="G14" s="6">
        <v>1047.8900000000001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1" t="s">
        <v>0</v>
      </c>
      <c r="B15" s="2">
        <v>1</v>
      </c>
      <c r="C15" s="3" t="s">
        <v>6</v>
      </c>
      <c r="D15" s="59" t="s">
        <v>16</v>
      </c>
      <c r="E15" s="60"/>
      <c r="F15" s="6">
        <v>1047.8900000000001</v>
      </c>
      <c r="G15" s="6">
        <v>1047.8900000000001</v>
      </c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1" t="s">
        <v>0</v>
      </c>
      <c r="B16" s="2">
        <v>1</v>
      </c>
      <c r="C16" s="3" t="s">
        <v>17</v>
      </c>
      <c r="D16" s="4" t="s">
        <v>18</v>
      </c>
      <c r="E16" s="5"/>
      <c r="F16" s="6">
        <v>1093.3699999999999</v>
      </c>
      <c r="G16" s="6">
        <v>1093.3699999999999</v>
      </c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1" t="s">
        <v>0</v>
      </c>
      <c r="B17" s="2">
        <v>2</v>
      </c>
      <c r="C17" s="3" t="s">
        <v>19</v>
      </c>
      <c r="D17" s="59" t="s">
        <v>20</v>
      </c>
      <c r="E17" s="60"/>
      <c r="F17" s="6">
        <v>2136.33</v>
      </c>
      <c r="G17" s="6">
        <v>2136.33</v>
      </c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1" t="s">
        <v>0</v>
      </c>
      <c r="B18" s="2">
        <v>2</v>
      </c>
      <c r="C18" s="3" t="s">
        <v>19</v>
      </c>
      <c r="D18" s="59" t="s">
        <v>21</v>
      </c>
      <c r="E18" s="60"/>
      <c r="F18" s="6">
        <v>2143.25</v>
      </c>
      <c r="G18" s="6">
        <v>2143.25</v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1" t="s">
        <v>0</v>
      </c>
      <c r="B19" s="2">
        <v>1</v>
      </c>
      <c r="C19" s="3" t="s">
        <v>22</v>
      </c>
      <c r="D19" s="59" t="s">
        <v>23</v>
      </c>
      <c r="E19" s="60"/>
      <c r="F19" s="6">
        <v>1096.25</v>
      </c>
      <c r="G19" s="6">
        <v>1096.25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1" t="s">
        <v>0</v>
      </c>
      <c r="B20" s="2">
        <v>1</v>
      </c>
      <c r="C20" s="3" t="s">
        <v>22</v>
      </c>
      <c r="D20" s="59" t="s">
        <v>24</v>
      </c>
      <c r="E20" s="60"/>
      <c r="F20" s="6">
        <v>1096.25</v>
      </c>
      <c r="G20" s="6">
        <v>1096.25</v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1" t="s">
        <v>0</v>
      </c>
      <c r="B21" s="2">
        <v>1</v>
      </c>
      <c r="C21" s="3" t="s">
        <v>22</v>
      </c>
      <c r="D21" s="59" t="s">
        <v>25</v>
      </c>
      <c r="E21" s="60"/>
      <c r="F21" s="6">
        <v>1096.25</v>
      </c>
      <c r="G21" s="6">
        <v>1096.25</v>
      </c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1" t="s">
        <v>0</v>
      </c>
      <c r="B22" s="2">
        <v>1</v>
      </c>
      <c r="C22" s="3" t="s">
        <v>26</v>
      </c>
      <c r="D22" s="59" t="s">
        <v>27</v>
      </c>
      <c r="E22" s="60"/>
      <c r="F22" s="6">
        <v>1041.74</v>
      </c>
      <c r="G22" s="6">
        <v>1041.74</v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1" t="s">
        <v>0</v>
      </c>
      <c r="B23" s="2">
        <v>1</v>
      </c>
      <c r="C23" s="3" t="s">
        <v>28</v>
      </c>
      <c r="D23" s="59" t="s">
        <v>29</v>
      </c>
      <c r="E23" s="60"/>
      <c r="F23" s="6">
        <v>1041.74</v>
      </c>
      <c r="G23" s="6">
        <v>1041.74</v>
      </c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1" t="s">
        <v>0</v>
      </c>
      <c r="B24" s="2">
        <v>1</v>
      </c>
      <c r="C24" s="3" t="s">
        <v>30</v>
      </c>
      <c r="D24" s="59" t="s">
        <v>31</v>
      </c>
      <c r="E24" s="60"/>
      <c r="F24" s="6">
        <v>1041.74</v>
      </c>
      <c r="G24" s="6">
        <v>1041.74</v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F25" s="32"/>
    </row>
    <row r="28" spans="1:17" x14ac:dyDescent="0.25">
      <c r="G28" s="32"/>
    </row>
  </sheetData>
  <mergeCells count="22">
    <mergeCell ref="D23:E23"/>
    <mergeCell ref="D24:E24"/>
    <mergeCell ref="D12:E12"/>
    <mergeCell ref="D13:E13"/>
    <mergeCell ref="D14:E14"/>
    <mergeCell ref="D15:E15"/>
    <mergeCell ref="D17:E17"/>
    <mergeCell ref="D18:E18"/>
    <mergeCell ref="F1:Q1"/>
    <mergeCell ref="D19:E19"/>
    <mergeCell ref="D20:E20"/>
    <mergeCell ref="D21:E21"/>
    <mergeCell ref="D22:E22"/>
    <mergeCell ref="D6:E6"/>
    <mergeCell ref="D7:E7"/>
    <mergeCell ref="D8:E8"/>
    <mergeCell ref="D9:E9"/>
    <mergeCell ref="D10:E10"/>
    <mergeCell ref="D11:E11"/>
    <mergeCell ref="D3:E3"/>
    <mergeCell ref="D4:E4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DEAE-E67D-4606-BE2F-DBD37344F7AC}">
  <dimension ref="A1:R44"/>
  <sheetViews>
    <sheetView tabSelected="1" workbookViewId="0">
      <selection activeCell="Y36" sqref="Y36"/>
    </sheetView>
  </sheetViews>
  <sheetFormatPr defaultRowHeight="15" x14ac:dyDescent="0.25"/>
  <cols>
    <col min="6" max="6" width="32" customWidth="1"/>
    <col min="7" max="7" width="10.5703125" bestFit="1" customWidth="1"/>
    <col min="8" max="8" width="12.28515625" bestFit="1" customWidth="1"/>
    <col min="9" max="10" width="10.5703125" bestFit="1" customWidth="1"/>
    <col min="12" max="16" width="10.5703125" bestFit="1" customWidth="1"/>
  </cols>
  <sheetData>
    <row r="1" spans="1:18" x14ac:dyDescent="0.25">
      <c r="A1" s="41" t="s">
        <v>44</v>
      </c>
      <c r="B1" s="43" t="s">
        <v>45</v>
      </c>
      <c r="C1" s="44"/>
      <c r="D1" s="44"/>
      <c r="E1" s="44"/>
      <c r="F1" s="45"/>
      <c r="G1" s="46" t="s">
        <v>101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x14ac:dyDescent="0.25">
      <c r="A2" s="42"/>
      <c r="B2" s="8" t="s">
        <v>46</v>
      </c>
      <c r="C2" s="8" t="s">
        <v>47</v>
      </c>
      <c r="D2" s="8" t="s">
        <v>48</v>
      </c>
      <c r="E2" s="48" t="s">
        <v>49</v>
      </c>
      <c r="F2" s="49"/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s">
        <v>37</v>
      </c>
      <c r="M2" s="8" t="s">
        <v>38</v>
      </c>
      <c r="N2" s="8" t="s">
        <v>39</v>
      </c>
      <c r="O2" s="8" t="s">
        <v>40</v>
      </c>
      <c r="P2" s="8" t="s">
        <v>41</v>
      </c>
      <c r="Q2" s="8" t="s">
        <v>42</v>
      </c>
      <c r="R2" s="9" t="s">
        <v>43</v>
      </c>
    </row>
    <row r="3" spans="1:18" x14ac:dyDescent="0.25">
      <c r="A3" s="10" t="s">
        <v>50</v>
      </c>
      <c r="B3" s="50" t="s">
        <v>51</v>
      </c>
      <c r="C3" s="51"/>
      <c r="D3" s="51"/>
      <c r="E3" s="51"/>
      <c r="F3" s="52"/>
      <c r="G3" s="13"/>
      <c r="H3" s="13"/>
      <c r="I3" s="13"/>
      <c r="J3" s="13"/>
      <c r="K3" s="13"/>
      <c r="L3" s="10"/>
      <c r="M3" s="8"/>
      <c r="N3" s="8"/>
      <c r="O3" s="8"/>
      <c r="P3" s="8"/>
      <c r="Q3" s="8"/>
      <c r="R3" s="14"/>
    </row>
    <row r="4" spans="1:18" x14ac:dyDescent="0.25">
      <c r="A4" s="53"/>
      <c r="B4" s="54"/>
      <c r="C4" s="54"/>
      <c r="D4" s="54"/>
      <c r="E4" s="54"/>
      <c r="F4" s="5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7"/>
    </row>
    <row r="5" spans="1:18" x14ac:dyDescent="0.25">
      <c r="A5" s="18">
        <v>1</v>
      </c>
      <c r="B5" s="18">
        <v>1101</v>
      </c>
      <c r="C5" s="11">
        <v>1</v>
      </c>
      <c r="D5" s="11" t="s">
        <v>52</v>
      </c>
      <c r="E5" s="34" t="s">
        <v>53</v>
      </c>
      <c r="F5" s="39"/>
      <c r="G5" s="20">
        <v>862.79</v>
      </c>
      <c r="H5" s="20">
        <v>862.79</v>
      </c>
      <c r="I5" s="20"/>
      <c r="J5" s="20"/>
      <c r="K5" s="20"/>
      <c r="L5" s="20"/>
      <c r="M5" s="20"/>
      <c r="N5" s="20"/>
      <c r="O5" s="20"/>
      <c r="P5" s="20"/>
      <c r="R5" s="20"/>
    </row>
    <row r="6" spans="1:18" x14ac:dyDescent="0.25">
      <c r="A6" s="18">
        <v>2</v>
      </c>
      <c r="B6" s="18">
        <v>1102</v>
      </c>
      <c r="C6" s="11">
        <v>1</v>
      </c>
      <c r="D6" s="11" t="s">
        <v>52</v>
      </c>
      <c r="E6" s="34" t="s">
        <v>54</v>
      </c>
      <c r="F6" s="39"/>
      <c r="G6" s="20">
        <v>862.79</v>
      </c>
      <c r="H6" s="20">
        <v>862.79</v>
      </c>
      <c r="I6" s="20"/>
      <c r="J6" s="20"/>
      <c r="K6" s="20"/>
      <c r="L6" s="20"/>
      <c r="M6" s="20"/>
      <c r="N6" s="20"/>
      <c r="O6" s="20"/>
      <c r="P6" s="20"/>
      <c r="R6" s="20"/>
    </row>
    <row r="7" spans="1:18" x14ac:dyDescent="0.25">
      <c r="A7" s="18">
        <v>3</v>
      </c>
      <c r="B7" s="18">
        <v>1103</v>
      </c>
      <c r="C7" s="11">
        <v>1</v>
      </c>
      <c r="D7" s="11" t="s">
        <v>52</v>
      </c>
      <c r="E7" s="34" t="s">
        <v>55</v>
      </c>
      <c r="F7" s="39"/>
      <c r="G7" s="20">
        <v>862.79</v>
      </c>
      <c r="H7" s="20">
        <v>862.79</v>
      </c>
      <c r="I7" s="20"/>
      <c r="J7" s="20"/>
      <c r="K7" s="20"/>
      <c r="L7" s="20"/>
      <c r="M7" s="20"/>
      <c r="N7" s="20"/>
      <c r="O7" s="20"/>
      <c r="P7" s="20"/>
      <c r="R7" s="20"/>
    </row>
    <row r="8" spans="1:18" x14ac:dyDescent="0.25">
      <c r="A8" s="18">
        <v>4</v>
      </c>
      <c r="B8" s="18">
        <v>1104</v>
      </c>
      <c r="C8" s="11">
        <v>1</v>
      </c>
      <c r="D8" s="11" t="s">
        <v>52</v>
      </c>
      <c r="E8" s="34" t="s">
        <v>56</v>
      </c>
      <c r="F8" s="39"/>
      <c r="G8" s="20">
        <v>862.79</v>
      </c>
      <c r="H8" s="20">
        <v>862.79</v>
      </c>
      <c r="I8" s="20"/>
      <c r="J8" s="20"/>
      <c r="K8" s="20"/>
      <c r="L8" s="20"/>
      <c r="M8" s="20"/>
      <c r="N8" s="20"/>
      <c r="O8" s="20"/>
      <c r="P8" s="20"/>
      <c r="R8" s="20"/>
    </row>
    <row r="9" spans="1:18" x14ac:dyDescent="0.25">
      <c r="A9" s="18">
        <v>5</v>
      </c>
      <c r="B9" s="18">
        <v>1105</v>
      </c>
      <c r="C9" s="11">
        <v>1</v>
      </c>
      <c r="D9" s="11" t="s">
        <v>52</v>
      </c>
      <c r="E9" s="34" t="s">
        <v>57</v>
      </c>
      <c r="F9" s="39"/>
      <c r="G9" s="20">
        <v>862.79</v>
      </c>
      <c r="H9" s="20">
        <v>862.79</v>
      </c>
      <c r="I9" s="20"/>
      <c r="J9" s="20"/>
      <c r="K9" s="20"/>
      <c r="L9" s="20"/>
      <c r="M9" s="20"/>
      <c r="N9" s="20"/>
      <c r="O9" s="20"/>
      <c r="P9" s="20"/>
      <c r="R9" s="20"/>
    </row>
    <row r="10" spans="1:18" x14ac:dyDescent="0.25">
      <c r="A10" s="18">
        <v>6</v>
      </c>
      <c r="B10" s="18">
        <v>1106</v>
      </c>
      <c r="C10" s="11">
        <v>1</v>
      </c>
      <c r="D10" s="11" t="s">
        <v>52</v>
      </c>
      <c r="E10" s="34" t="s">
        <v>58</v>
      </c>
      <c r="F10" s="39"/>
      <c r="G10" s="20">
        <v>862.79</v>
      </c>
      <c r="H10" s="20">
        <v>862.79</v>
      </c>
      <c r="I10" s="20"/>
      <c r="J10" s="20"/>
      <c r="K10" s="20"/>
      <c r="L10" s="20"/>
      <c r="M10" s="20"/>
      <c r="N10" s="20"/>
      <c r="O10" s="20"/>
      <c r="P10" s="20"/>
      <c r="R10" s="20"/>
    </row>
    <row r="11" spans="1:18" x14ac:dyDescent="0.25">
      <c r="A11" s="18">
        <v>7</v>
      </c>
      <c r="B11" s="18">
        <v>1107</v>
      </c>
      <c r="C11" s="11">
        <v>1</v>
      </c>
      <c r="D11" s="11" t="s">
        <v>52</v>
      </c>
      <c r="E11" s="34" t="s">
        <v>59</v>
      </c>
      <c r="F11" s="39"/>
      <c r="G11" s="20">
        <v>862.79</v>
      </c>
      <c r="H11" s="20">
        <v>862.79</v>
      </c>
      <c r="I11" s="20"/>
      <c r="J11" s="20"/>
      <c r="K11" s="20"/>
      <c r="L11" s="20"/>
      <c r="M11" s="20"/>
      <c r="N11" s="20"/>
      <c r="O11" s="20"/>
      <c r="P11" s="20"/>
      <c r="R11" s="20"/>
    </row>
    <row r="12" spans="1:18" x14ac:dyDescent="0.25">
      <c r="A12" s="18">
        <v>8</v>
      </c>
      <c r="B12" s="18">
        <v>1108</v>
      </c>
      <c r="C12" s="11">
        <v>1</v>
      </c>
      <c r="D12" s="11" t="s">
        <v>52</v>
      </c>
      <c r="E12" s="34" t="s">
        <v>60</v>
      </c>
      <c r="F12" s="39"/>
      <c r="G12" s="20">
        <v>862.79</v>
      </c>
      <c r="H12" s="20">
        <v>862.79</v>
      </c>
      <c r="I12" s="20"/>
      <c r="J12" s="20"/>
      <c r="K12" s="20"/>
      <c r="L12" s="20"/>
      <c r="M12" s="20"/>
      <c r="N12" s="20"/>
      <c r="O12" s="20"/>
      <c r="P12" s="20"/>
      <c r="R12" s="20"/>
    </row>
    <row r="13" spans="1:18" x14ac:dyDescent="0.25">
      <c r="A13" s="18">
        <v>9</v>
      </c>
      <c r="B13" s="18">
        <v>1109</v>
      </c>
      <c r="C13" s="11">
        <v>1</v>
      </c>
      <c r="D13" s="11" t="s">
        <v>52</v>
      </c>
      <c r="E13" s="34" t="s">
        <v>61</v>
      </c>
      <c r="F13" s="39"/>
      <c r="G13" s="20">
        <v>862.79</v>
      </c>
      <c r="H13" s="20">
        <v>862.79</v>
      </c>
      <c r="I13" s="20"/>
      <c r="J13" s="20"/>
      <c r="K13" s="20"/>
      <c r="L13" s="20"/>
      <c r="M13" s="20"/>
      <c r="N13" s="20"/>
      <c r="O13" s="20"/>
      <c r="P13" s="20"/>
      <c r="R13" s="20"/>
    </row>
    <row r="14" spans="1:18" x14ac:dyDescent="0.25">
      <c r="A14" s="18">
        <v>10</v>
      </c>
      <c r="B14" s="18">
        <v>1110</v>
      </c>
      <c r="C14" s="11">
        <v>1</v>
      </c>
      <c r="D14" s="11" t="s">
        <v>52</v>
      </c>
      <c r="E14" s="34" t="s">
        <v>62</v>
      </c>
      <c r="F14" s="39"/>
      <c r="G14" s="20">
        <v>862.8</v>
      </c>
      <c r="H14" s="20">
        <v>862.8</v>
      </c>
      <c r="I14" s="20"/>
      <c r="J14" s="20"/>
      <c r="K14" s="20"/>
      <c r="L14" s="20"/>
      <c r="M14" s="20"/>
      <c r="N14" s="20"/>
      <c r="O14" s="20"/>
      <c r="P14" s="20"/>
      <c r="R14" s="20"/>
    </row>
    <row r="15" spans="1:18" x14ac:dyDescent="0.25">
      <c r="A15" s="18">
        <v>11</v>
      </c>
      <c r="B15" s="18">
        <v>1111</v>
      </c>
      <c r="C15" s="11">
        <v>1</v>
      </c>
      <c r="D15" s="11" t="s">
        <v>63</v>
      </c>
      <c r="E15" s="34" t="s">
        <v>64</v>
      </c>
      <c r="F15" s="39"/>
      <c r="G15" s="20">
        <v>767.95</v>
      </c>
      <c r="H15" s="20">
        <v>767.95</v>
      </c>
      <c r="I15" s="20"/>
      <c r="J15" s="20"/>
      <c r="K15" s="20"/>
      <c r="L15" s="20"/>
      <c r="M15" s="20"/>
      <c r="N15" s="20"/>
      <c r="O15" s="20"/>
      <c r="P15" s="20"/>
      <c r="R15" s="20"/>
    </row>
    <row r="16" spans="1:18" x14ac:dyDescent="0.25">
      <c r="A16" s="18">
        <v>12</v>
      </c>
      <c r="B16" s="18">
        <v>1112</v>
      </c>
      <c r="C16" s="11">
        <v>1</v>
      </c>
      <c r="D16" s="11" t="s">
        <v>63</v>
      </c>
      <c r="E16" s="34" t="s">
        <v>65</v>
      </c>
      <c r="F16" s="39"/>
      <c r="G16" s="20">
        <v>789.5</v>
      </c>
      <c r="H16" s="20">
        <v>789.5</v>
      </c>
      <c r="I16" s="20"/>
      <c r="J16" s="20"/>
      <c r="K16" s="20"/>
      <c r="L16" s="20"/>
      <c r="M16" s="20"/>
      <c r="N16" s="20"/>
      <c r="O16" s="20"/>
      <c r="P16" s="20"/>
      <c r="R16" s="20"/>
    </row>
    <row r="17" spans="1:18" x14ac:dyDescent="0.25">
      <c r="A17" s="18">
        <v>13</v>
      </c>
      <c r="B17" s="18">
        <v>1113</v>
      </c>
      <c r="C17" s="11">
        <v>1</v>
      </c>
      <c r="D17" s="11" t="s">
        <v>63</v>
      </c>
      <c r="E17" s="34" t="s">
        <v>66</v>
      </c>
      <c r="F17" s="39"/>
      <c r="G17" s="20">
        <v>789.5</v>
      </c>
      <c r="H17" s="20">
        <v>789.5</v>
      </c>
      <c r="I17" s="20"/>
      <c r="J17" s="20"/>
      <c r="K17" s="20"/>
      <c r="L17" s="20"/>
      <c r="M17" s="20"/>
      <c r="N17" s="20"/>
      <c r="O17" s="20"/>
      <c r="P17" s="20"/>
      <c r="R17" s="20"/>
    </row>
    <row r="18" spans="1:18" x14ac:dyDescent="0.25">
      <c r="A18" s="18">
        <v>14</v>
      </c>
      <c r="B18" s="18">
        <v>1114</v>
      </c>
      <c r="C18" s="11">
        <v>1</v>
      </c>
      <c r="D18" s="11" t="s">
        <v>63</v>
      </c>
      <c r="E18" s="34" t="s">
        <v>67</v>
      </c>
      <c r="F18" s="39"/>
      <c r="G18" s="20">
        <v>789.5</v>
      </c>
      <c r="H18" s="20">
        <v>789.5</v>
      </c>
      <c r="I18" s="20"/>
      <c r="J18" s="20"/>
      <c r="K18" s="20"/>
      <c r="L18" s="20"/>
      <c r="M18" s="20"/>
      <c r="N18" s="20"/>
      <c r="O18" s="20"/>
      <c r="P18" s="20"/>
      <c r="R18" s="20"/>
    </row>
    <row r="19" spans="1:18" x14ac:dyDescent="0.25">
      <c r="A19" s="18">
        <v>15</v>
      </c>
      <c r="B19" s="18"/>
      <c r="C19" s="11">
        <v>1</v>
      </c>
      <c r="D19" s="11" t="s">
        <v>68</v>
      </c>
      <c r="E19" s="34" t="s">
        <v>53</v>
      </c>
      <c r="F19" s="39"/>
      <c r="G19" s="20">
        <v>789.5</v>
      </c>
      <c r="H19" s="20">
        <v>789.5</v>
      </c>
      <c r="I19" s="20"/>
      <c r="J19" s="20"/>
      <c r="K19" s="20"/>
      <c r="L19" s="20"/>
      <c r="M19" s="20"/>
      <c r="N19" s="20"/>
      <c r="O19" s="20"/>
      <c r="P19" s="20"/>
      <c r="R19" s="20"/>
    </row>
    <row r="20" spans="1:18" x14ac:dyDescent="0.25">
      <c r="A20" s="18">
        <v>16</v>
      </c>
      <c r="B20" s="18"/>
      <c r="C20" s="11">
        <v>1</v>
      </c>
      <c r="D20" s="11" t="s">
        <v>68</v>
      </c>
      <c r="E20" s="34" t="s">
        <v>69</v>
      </c>
      <c r="F20" s="39"/>
      <c r="G20" s="20">
        <v>789.5</v>
      </c>
      <c r="H20" s="20">
        <v>789.5</v>
      </c>
      <c r="I20" s="20"/>
      <c r="J20" s="20"/>
      <c r="K20" s="20"/>
      <c r="L20" s="20"/>
      <c r="M20" s="20"/>
      <c r="N20" s="20"/>
      <c r="O20" s="20"/>
      <c r="P20" s="20"/>
      <c r="R20" s="20"/>
    </row>
    <row r="21" spans="1:18" x14ac:dyDescent="0.25">
      <c r="A21" s="18">
        <v>17</v>
      </c>
      <c r="B21" s="18"/>
      <c r="C21" s="11">
        <v>1</v>
      </c>
      <c r="D21" s="11" t="s">
        <v>68</v>
      </c>
      <c r="E21" s="34" t="s">
        <v>70</v>
      </c>
      <c r="F21" s="39"/>
      <c r="G21" s="20">
        <v>789.5</v>
      </c>
      <c r="H21" s="20">
        <v>789.5</v>
      </c>
      <c r="I21" s="20"/>
      <c r="J21" s="20"/>
      <c r="K21" s="20"/>
      <c r="L21" s="20"/>
      <c r="M21" s="20"/>
      <c r="N21" s="20"/>
      <c r="O21" s="20"/>
      <c r="P21" s="20"/>
      <c r="R21" s="20"/>
    </row>
    <row r="22" spans="1:18" x14ac:dyDescent="0.25">
      <c r="A22" s="18">
        <v>18</v>
      </c>
      <c r="B22" s="18"/>
      <c r="C22" s="11">
        <v>1</v>
      </c>
      <c r="D22" s="11" t="s">
        <v>71</v>
      </c>
      <c r="E22" s="34" t="s">
        <v>72</v>
      </c>
      <c r="F22" s="39"/>
      <c r="G22" s="20">
        <v>789.5</v>
      </c>
      <c r="H22" s="20">
        <v>789.5</v>
      </c>
      <c r="I22" s="20"/>
      <c r="J22" s="20"/>
      <c r="K22" s="20"/>
      <c r="L22" s="20"/>
      <c r="M22" s="20"/>
      <c r="N22" s="20"/>
      <c r="O22" s="20"/>
      <c r="P22" s="20"/>
      <c r="R22" s="20"/>
    </row>
    <row r="23" spans="1:18" x14ac:dyDescent="0.25">
      <c r="A23" s="18">
        <v>19</v>
      </c>
      <c r="B23" s="18"/>
      <c r="C23" s="11">
        <v>1</v>
      </c>
      <c r="D23" s="11" t="s">
        <v>71</v>
      </c>
      <c r="E23" s="34" t="s">
        <v>73</v>
      </c>
      <c r="F23" s="39"/>
      <c r="G23" s="20">
        <v>789.5</v>
      </c>
      <c r="H23" s="20">
        <v>789.5</v>
      </c>
      <c r="I23" s="20"/>
      <c r="J23" s="20"/>
      <c r="K23" s="20"/>
      <c r="L23" s="20"/>
      <c r="M23" s="20"/>
      <c r="N23" s="20"/>
      <c r="O23" s="20"/>
      <c r="P23" s="20"/>
      <c r="R23" s="20"/>
    </row>
    <row r="24" spans="1:18" x14ac:dyDescent="0.25">
      <c r="A24" s="18">
        <v>20</v>
      </c>
      <c r="B24" s="18"/>
      <c r="C24" s="11">
        <v>1</v>
      </c>
      <c r="D24" s="11" t="s">
        <v>71</v>
      </c>
      <c r="E24" s="34" t="s">
        <v>74</v>
      </c>
      <c r="F24" s="39"/>
      <c r="G24" s="20">
        <v>789.5</v>
      </c>
      <c r="H24" s="20">
        <v>789.5</v>
      </c>
      <c r="I24" s="20"/>
      <c r="J24" s="20"/>
      <c r="K24" s="20"/>
      <c r="L24" s="20"/>
      <c r="M24" s="20"/>
      <c r="N24" s="20"/>
      <c r="O24" s="20"/>
      <c r="P24" s="20"/>
      <c r="R24" s="20"/>
    </row>
    <row r="25" spans="1:18" x14ac:dyDescent="0.25">
      <c r="A25" s="18">
        <v>21</v>
      </c>
      <c r="B25" s="18"/>
      <c r="C25" s="11">
        <v>1</v>
      </c>
      <c r="D25" s="11" t="s">
        <v>75</v>
      </c>
      <c r="E25" s="34" t="s">
        <v>76</v>
      </c>
      <c r="F25" s="39"/>
      <c r="G25" s="20">
        <v>789.5</v>
      </c>
      <c r="H25" s="20">
        <v>789.5</v>
      </c>
      <c r="I25" s="20"/>
      <c r="J25" s="20"/>
      <c r="K25" s="20"/>
      <c r="L25" s="20"/>
      <c r="M25" s="20"/>
      <c r="N25" s="20"/>
      <c r="O25" s="20"/>
      <c r="P25" s="20"/>
      <c r="R25" s="20"/>
    </row>
    <row r="26" spans="1:18" x14ac:dyDescent="0.25">
      <c r="A26" s="21">
        <v>22</v>
      </c>
      <c r="B26" s="18"/>
      <c r="C26" s="10">
        <v>1</v>
      </c>
      <c r="D26" s="10" t="s">
        <v>75</v>
      </c>
      <c r="E26" s="34" t="s">
        <v>77</v>
      </c>
      <c r="F26" s="39"/>
      <c r="G26" s="22">
        <v>789.5</v>
      </c>
      <c r="H26" s="22">
        <v>789.5</v>
      </c>
      <c r="I26" s="22"/>
      <c r="J26" s="22"/>
      <c r="K26" s="22"/>
      <c r="L26" s="22"/>
      <c r="M26" s="22"/>
      <c r="N26" s="22"/>
      <c r="O26" s="22"/>
      <c r="P26" s="22"/>
      <c r="R26" s="20"/>
    </row>
    <row r="27" spans="1:18" x14ac:dyDescent="0.25">
      <c r="A27" s="21">
        <v>23</v>
      </c>
      <c r="B27" s="23"/>
      <c r="C27" s="24">
        <v>1</v>
      </c>
      <c r="D27" s="25" t="s">
        <v>78</v>
      </c>
      <c r="E27" s="34" t="s">
        <v>79</v>
      </c>
      <c r="F27" s="39"/>
      <c r="G27" s="22">
        <v>810.61</v>
      </c>
      <c r="H27" s="22">
        <v>810.61</v>
      </c>
      <c r="I27" s="22"/>
      <c r="J27" s="22"/>
      <c r="K27" s="22"/>
      <c r="L27" s="22"/>
      <c r="M27" s="22"/>
      <c r="N27" s="22"/>
      <c r="O27" s="22"/>
      <c r="P27" s="22"/>
      <c r="R27" s="22"/>
    </row>
    <row r="28" spans="1:18" x14ac:dyDescent="0.25">
      <c r="A28" s="21">
        <v>24</v>
      </c>
      <c r="B28" s="18"/>
      <c r="C28" s="24">
        <v>1</v>
      </c>
      <c r="D28" s="10" t="s">
        <v>78</v>
      </c>
      <c r="E28" s="34" t="s">
        <v>80</v>
      </c>
      <c r="F28" s="39"/>
      <c r="G28" s="22">
        <v>810.61</v>
      </c>
      <c r="H28" s="22">
        <v>810.61</v>
      </c>
      <c r="I28" s="22"/>
      <c r="J28" s="22"/>
      <c r="K28" s="22"/>
      <c r="L28" s="22"/>
      <c r="M28" s="22"/>
      <c r="N28" s="22"/>
      <c r="O28" s="22"/>
      <c r="P28" s="22"/>
      <c r="R28" s="22"/>
    </row>
    <row r="29" spans="1:18" x14ac:dyDescent="0.25">
      <c r="A29" s="21">
        <v>25</v>
      </c>
      <c r="B29" s="23"/>
      <c r="C29" s="12">
        <v>1</v>
      </c>
      <c r="D29" s="24" t="s">
        <v>81</v>
      </c>
      <c r="E29" s="34" t="s">
        <v>82</v>
      </c>
      <c r="F29" s="39"/>
      <c r="G29" s="22">
        <v>801.73</v>
      </c>
      <c r="H29" s="22">
        <v>801.73</v>
      </c>
      <c r="I29" s="22"/>
      <c r="J29" s="22"/>
      <c r="K29" s="22"/>
      <c r="L29" s="22"/>
      <c r="M29" s="22"/>
      <c r="N29" s="22"/>
      <c r="O29" s="22"/>
      <c r="P29" s="22"/>
      <c r="R29" s="26"/>
    </row>
    <row r="30" spans="1:18" x14ac:dyDescent="0.25">
      <c r="A30" s="21">
        <v>26</v>
      </c>
      <c r="B30" s="27"/>
      <c r="C30" s="25">
        <v>2</v>
      </c>
      <c r="D30" s="25" t="s">
        <v>83</v>
      </c>
      <c r="E30" s="40" t="s">
        <v>84</v>
      </c>
      <c r="F30" s="40"/>
      <c r="G30" s="26">
        <v>1606.85</v>
      </c>
      <c r="H30" s="26">
        <v>1606.85</v>
      </c>
      <c r="I30" s="22"/>
      <c r="J30" s="22"/>
      <c r="K30" s="22"/>
      <c r="L30" s="22"/>
      <c r="M30" s="22"/>
      <c r="N30" s="22"/>
      <c r="O30" s="22"/>
      <c r="P30" s="22"/>
      <c r="R30" s="26"/>
    </row>
    <row r="31" spans="1:18" x14ac:dyDescent="0.25">
      <c r="A31" s="21">
        <v>27</v>
      </c>
      <c r="B31" s="18"/>
      <c r="C31" s="10">
        <v>1</v>
      </c>
      <c r="D31" s="10" t="s">
        <v>83</v>
      </c>
      <c r="E31" s="40" t="s">
        <v>85</v>
      </c>
      <c r="F31" s="40"/>
      <c r="G31" s="22">
        <v>788.44</v>
      </c>
      <c r="H31" s="22">
        <v>788.44</v>
      </c>
      <c r="I31" s="22"/>
      <c r="J31" s="22"/>
      <c r="K31" s="22"/>
      <c r="L31" s="22"/>
      <c r="M31" s="22"/>
      <c r="N31" s="22"/>
      <c r="O31" s="22"/>
      <c r="P31" s="22"/>
      <c r="R31" s="26"/>
    </row>
    <row r="32" spans="1:18" x14ac:dyDescent="0.25">
      <c r="A32" s="21">
        <v>28</v>
      </c>
      <c r="B32" s="23"/>
      <c r="C32" s="24">
        <v>1</v>
      </c>
      <c r="D32" s="25" t="s">
        <v>86</v>
      </c>
      <c r="E32" s="34" t="s">
        <v>87</v>
      </c>
      <c r="F32" s="35"/>
      <c r="G32" s="22">
        <v>788.44</v>
      </c>
      <c r="H32" s="22">
        <v>788.44</v>
      </c>
      <c r="I32" s="22"/>
      <c r="J32" s="22"/>
      <c r="K32" s="22"/>
      <c r="L32" s="22"/>
      <c r="M32" s="22"/>
      <c r="N32" s="22"/>
      <c r="O32" s="22"/>
      <c r="P32" s="22"/>
      <c r="R32" s="26"/>
    </row>
    <row r="33" spans="1:18" x14ac:dyDescent="0.25">
      <c r="A33" s="21">
        <v>29</v>
      </c>
      <c r="B33" s="23"/>
      <c r="C33" s="24">
        <v>1</v>
      </c>
      <c r="D33" s="25" t="s">
        <v>86</v>
      </c>
      <c r="E33" s="34" t="s">
        <v>88</v>
      </c>
      <c r="F33" s="35"/>
      <c r="G33" s="22">
        <v>788.44</v>
      </c>
      <c r="H33" s="22">
        <v>788.44</v>
      </c>
      <c r="I33" s="22"/>
      <c r="J33" s="22"/>
      <c r="K33" s="22"/>
      <c r="L33" s="22"/>
      <c r="M33" s="22"/>
      <c r="N33" s="22"/>
      <c r="O33" s="22"/>
      <c r="P33" s="22"/>
      <c r="R33" s="26"/>
    </row>
    <row r="34" spans="1:18" x14ac:dyDescent="0.25">
      <c r="A34" s="21">
        <v>30</v>
      </c>
      <c r="B34" s="18"/>
      <c r="C34" s="24">
        <v>1</v>
      </c>
      <c r="D34" s="10" t="s">
        <v>86</v>
      </c>
      <c r="E34" s="34" t="s">
        <v>89</v>
      </c>
      <c r="F34" s="35"/>
      <c r="G34" s="22">
        <v>788.44</v>
      </c>
      <c r="H34" s="22">
        <v>788.44</v>
      </c>
      <c r="I34" s="22"/>
      <c r="J34" s="22"/>
      <c r="K34" s="22"/>
      <c r="L34" s="22"/>
      <c r="M34" s="22"/>
      <c r="N34" s="22"/>
      <c r="O34" s="22"/>
      <c r="P34" s="22"/>
      <c r="R34" s="26"/>
    </row>
    <row r="35" spans="1:18" x14ac:dyDescent="0.25">
      <c r="A35" s="21">
        <v>31</v>
      </c>
      <c r="B35" s="18"/>
      <c r="C35" s="10">
        <v>1</v>
      </c>
      <c r="D35" s="24" t="s">
        <v>90</v>
      </c>
      <c r="E35" s="19" t="s">
        <v>91</v>
      </c>
      <c r="F35" s="28"/>
      <c r="G35" s="22">
        <v>788.44</v>
      </c>
      <c r="H35" s="22">
        <v>788.44</v>
      </c>
      <c r="I35" s="22"/>
      <c r="J35" s="22"/>
      <c r="K35" s="22"/>
      <c r="L35" s="22"/>
      <c r="M35" s="22"/>
      <c r="N35" s="22"/>
      <c r="O35" s="22"/>
      <c r="P35" s="22"/>
      <c r="R35" s="26"/>
    </row>
    <row r="36" spans="1:18" x14ac:dyDescent="0.25">
      <c r="A36" s="21">
        <v>32</v>
      </c>
      <c r="B36" s="21"/>
      <c r="C36" s="25">
        <v>1</v>
      </c>
      <c r="D36" s="25" t="s">
        <v>92</v>
      </c>
      <c r="E36" s="34" t="s">
        <v>93</v>
      </c>
      <c r="F36" s="35"/>
      <c r="G36" s="22">
        <v>788.44</v>
      </c>
      <c r="H36" s="22">
        <v>788.44</v>
      </c>
      <c r="I36" s="22"/>
      <c r="J36" s="22"/>
      <c r="K36" s="22"/>
      <c r="L36" s="22"/>
      <c r="M36" s="22"/>
      <c r="N36" s="22"/>
      <c r="O36" s="22"/>
      <c r="P36" s="22"/>
      <c r="R36" s="26"/>
    </row>
    <row r="37" spans="1:18" x14ac:dyDescent="0.25">
      <c r="A37" s="21">
        <v>33</v>
      </c>
      <c r="B37" s="21"/>
      <c r="C37" s="25">
        <v>1</v>
      </c>
      <c r="D37" s="25" t="s">
        <v>94</v>
      </c>
      <c r="E37" s="34" t="s">
        <v>95</v>
      </c>
      <c r="F37" s="35"/>
      <c r="G37" s="22">
        <v>788.44</v>
      </c>
      <c r="H37" s="22">
        <v>788.44</v>
      </c>
      <c r="I37" s="22"/>
      <c r="J37" s="22"/>
      <c r="K37" s="22"/>
      <c r="L37" s="22"/>
      <c r="M37" s="22"/>
      <c r="N37" s="22"/>
      <c r="O37" s="22"/>
      <c r="P37" s="22"/>
      <c r="R37" s="26"/>
    </row>
    <row r="38" spans="1:18" x14ac:dyDescent="0.25">
      <c r="A38" s="21">
        <v>34</v>
      </c>
      <c r="B38" s="27"/>
      <c r="C38" s="10">
        <v>1</v>
      </c>
      <c r="D38" s="10" t="s">
        <v>94</v>
      </c>
      <c r="E38" s="34" t="s">
        <v>96</v>
      </c>
      <c r="F38" s="35"/>
      <c r="G38" s="22">
        <v>803.42</v>
      </c>
      <c r="H38" s="22">
        <v>803.42</v>
      </c>
      <c r="I38" s="22"/>
      <c r="J38" s="22"/>
      <c r="K38" s="22"/>
      <c r="L38" s="22"/>
      <c r="M38" s="22"/>
      <c r="N38" s="22"/>
      <c r="O38" s="22"/>
      <c r="P38" s="22"/>
      <c r="R38" s="26"/>
    </row>
    <row r="39" spans="1:18" x14ac:dyDescent="0.25">
      <c r="A39" s="23">
        <v>35</v>
      </c>
      <c r="B39" s="23"/>
      <c r="C39" s="25">
        <v>1</v>
      </c>
      <c r="D39" s="25" t="s">
        <v>97</v>
      </c>
      <c r="E39" s="34" t="s">
        <v>98</v>
      </c>
      <c r="F39" s="35"/>
      <c r="G39" s="26">
        <v>788.44</v>
      </c>
      <c r="H39" s="26">
        <v>788.44</v>
      </c>
      <c r="I39" s="22"/>
      <c r="J39" s="22"/>
      <c r="K39" s="22"/>
      <c r="L39" s="22"/>
      <c r="M39" s="22"/>
      <c r="N39" s="22"/>
      <c r="O39" s="22"/>
      <c r="P39" s="22"/>
      <c r="R39" s="26"/>
    </row>
    <row r="40" spans="1:18" x14ac:dyDescent="0.25">
      <c r="A40" s="23">
        <v>36</v>
      </c>
      <c r="B40" s="23"/>
      <c r="C40" s="25">
        <v>1</v>
      </c>
      <c r="D40" s="25" t="s">
        <v>97</v>
      </c>
      <c r="E40" s="34" t="s">
        <v>99</v>
      </c>
      <c r="F40" s="35"/>
      <c r="G40" s="26">
        <v>805.09</v>
      </c>
      <c r="H40" s="26">
        <v>805.09</v>
      </c>
      <c r="I40" s="22"/>
      <c r="J40" s="22"/>
      <c r="K40" s="22"/>
      <c r="L40" s="22"/>
      <c r="M40" s="22"/>
      <c r="N40" s="22"/>
      <c r="O40" s="22"/>
      <c r="P40" s="22"/>
      <c r="R40" s="26"/>
    </row>
    <row r="41" spans="1:18" x14ac:dyDescent="0.25">
      <c r="A41" s="18">
        <v>37</v>
      </c>
      <c r="B41" s="18"/>
      <c r="C41" s="10">
        <v>1</v>
      </c>
      <c r="D41" s="25" t="s">
        <v>97</v>
      </c>
      <c r="E41" s="34" t="s">
        <v>100</v>
      </c>
      <c r="F41" s="35"/>
      <c r="G41" s="26">
        <v>805.09</v>
      </c>
      <c r="H41" s="26">
        <v>805.09</v>
      </c>
      <c r="I41" s="22"/>
      <c r="J41" s="22"/>
      <c r="K41" s="22"/>
      <c r="L41" s="22"/>
      <c r="M41" s="22"/>
      <c r="N41" s="22"/>
      <c r="O41" s="22"/>
      <c r="P41" s="22"/>
      <c r="R41" s="26"/>
    </row>
    <row r="42" spans="1:18" x14ac:dyDescent="0.25">
      <c r="A42" s="36"/>
      <c r="B42" s="37"/>
      <c r="C42" s="37"/>
      <c r="D42" s="37"/>
      <c r="E42" s="37"/>
      <c r="F42" s="38"/>
      <c r="G42" s="29">
        <f>SUM(G5:G41)</f>
        <v>30831.279999999988</v>
      </c>
      <c r="H42" s="29">
        <f>SUM(H4:H41)</f>
        <v>30831.279999999988</v>
      </c>
      <c r="I42" s="29">
        <f>SUM(I4:I31)</f>
        <v>0</v>
      </c>
      <c r="J42" s="30">
        <f>SUM(J5:J31)</f>
        <v>0</v>
      </c>
      <c r="K42" s="31">
        <f>SUM(K4:K34)</f>
        <v>0</v>
      </c>
      <c r="L42" s="29">
        <f>SUM(L5:L35)</f>
        <v>0</v>
      </c>
      <c r="M42" s="29">
        <f>SUM(M4:M38)</f>
        <v>0</v>
      </c>
      <c r="N42" s="29">
        <f>SUM(N5:N38)</f>
        <v>0</v>
      </c>
      <c r="O42" s="29">
        <f>SUM(O5:O38)</f>
        <v>0</v>
      </c>
      <c r="P42" s="29">
        <f>SUM(P5:P38)</f>
        <v>0</v>
      </c>
      <c r="Q42" s="30"/>
      <c r="R42" s="29"/>
    </row>
    <row r="44" spans="1:18" x14ac:dyDescent="0.25">
      <c r="H44" s="33"/>
    </row>
  </sheetData>
  <mergeCells count="43">
    <mergeCell ref="E8:F8"/>
    <mergeCell ref="A1:A2"/>
    <mergeCell ref="B1:F1"/>
    <mergeCell ref="G1:R1"/>
    <mergeCell ref="E2:F2"/>
    <mergeCell ref="B3:F3"/>
    <mergeCell ref="A4:F4"/>
    <mergeCell ref="E5:F5"/>
    <mergeCell ref="E6:F6"/>
    <mergeCell ref="E7:F7"/>
    <mergeCell ref="E20:F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32:F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40:F40"/>
    <mergeCell ref="E41:F41"/>
    <mergeCell ref="A42:F42"/>
    <mergeCell ref="E33:F33"/>
    <mergeCell ref="E34:F34"/>
    <mergeCell ref="E36:F36"/>
    <mergeCell ref="E37:F37"/>
    <mergeCell ref="E38:F38"/>
    <mergeCell ref="E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bb8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Gawron.Justyna</dc:creator>
  <cp:lastModifiedBy>Antoni Mazur</cp:lastModifiedBy>
  <dcterms:created xsi:type="dcterms:W3CDTF">2025-11-28T08:39:45Z</dcterms:created>
  <dcterms:modified xsi:type="dcterms:W3CDTF">2026-03-29T01:04:56Z</dcterms:modified>
</cp:coreProperties>
</file>
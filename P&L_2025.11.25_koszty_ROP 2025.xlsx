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avistapl-my.sharepoint.com/personal/kp_avistapl_onmicrosoft_com/Documents/"/>
    </mc:Choice>
  </mc:AlternateContent>
  <xr:revisionPtr revIDLastSave="0" documentId="8_{F702B794-D9A3-4E2F-A725-18BB99D56385}" xr6:coauthVersionLast="47" xr6:coauthVersionMax="47" xr10:uidLastSave="{00000000-0000-0000-0000-000000000000}"/>
  <bookViews>
    <workbookView xWindow="-108" yWindow="-108" windowWidth="23256" windowHeight="12456" xr2:uid="{15F9F442-F66C-4C0E-97EA-1DEECE69BD92}"/>
  </bookViews>
  <sheets>
    <sheet name="2026" sheetId="4" r:id="rId1"/>
    <sheet name="2025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4" l="1"/>
  <c r="F9" i="4"/>
  <c r="F22" i="4"/>
  <c r="F37" i="4"/>
  <c r="F52" i="4"/>
  <c r="F67" i="4"/>
  <c r="F82" i="4"/>
  <c r="J107" i="4"/>
  <c r="O107" i="4"/>
  <c r="F97" i="4"/>
  <c r="F117" i="4"/>
  <c r="O95" i="4"/>
  <c r="J11" i="4" s="1"/>
  <c r="F149" i="4"/>
  <c r="F130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C162" i="4"/>
  <c r="J22" i="2"/>
  <c r="F130" i="2"/>
  <c r="C46" i="2"/>
  <c r="C45" i="2"/>
  <c r="C30" i="2"/>
  <c r="J21" i="2" s="1"/>
  <c r="K14" i="2"/>
  <c r="K12" i="2"/>
  <c r="K15" i="2"/>
  <c r="K16" i="2"/>
  <c r="K17" i="2"/>
  <c r="K18" i="2"/>
  <c r="K19" i="2"/>
  <c r="K20" i="2"/>
  <c r="K21" i="2"/>
  <c r="K22" i="2"/>
  <c r="K11" i="2"/>
  <c r="F149" i="2"/>
  <c r="F117" i="2"/>
  <c r="F97" i="2"/>
  <c r="F82" i="2"/>
  <c r="F67" i="2"/>
  <c r="F52" i="2"/>
  <c r="F9" i="2"/>
  <c r="C29" i="2"/>
  <c r="J20" i="2" s="1"/>
  <c r="C44" i="2"/>
  <c r="C43" i="2"/>
  <c r="C42" i="2"/>
  <c r="C41" i="2"/>
  <c r="C40" i="2"/>
  <c r="C39" i="2"/>
  <c r="C38" i="2"/>
  <c r="C37" i="2"/>
  <c r="C36" i="2"/>
  <c r="C35" i="2"/>
  <c r="F37" i="2" s="1"/>
  <c r="C28" i="2"/>
  <c r="J19" i="2" s="1"/>
  <c r="C27" i="2"/>
  <c r="J18" i="2" s="1"/>
  <c r="C26" i="2"/>
  <c r="J17" i="2" s="1"/>
  <c r="C25" i="2"/>
  <c r="J16" i="2" s="1"/>
  <c r="C24" i="2"/>
  <c r="J15" i="2" s="1"/>
  <c r="C23" i="2"/>
  <c r="J14" i="2" s="1"/>
  <c r="C21" i="2"/>
  <c r="J12" i="2" s="1"/>
  <c r="C20" i="2"/>
  <c r="C22" i="2"/>
  <c r="J13" i="2" s="1"/>
  <c r="O107" i="2"/>
  <c r="J97" i="2"/>
  <c r="J107" i="2" l="1"/>
  <c r="K13" i="2"/>
  <c r="J11" i="2"/>
  <c r="O11" i="2" s="1"/>
  <c r="F22" i="2"/>
  <c r="C162" i="2"/>
</calcChain>
</file>

<file path=xl/sharedStrings.xml><?xml version="1.0" encoding="utf-8"?>
<sst xmlns="http://schemas.openxmlformats.org/spreadsheetml/2006/main" count="40" uniqueCount="19">
  <si>
    <t>WYNAGRODZENIA Z UMOWY (BEZ DODATKÓW)</t>
  </si>
  <si>
    <t>Brutto</t>
  </si>
  <si>
    <t>Kurleto, Stężowki, Pietruniewicz, Bork, Włoga, Giermak 20%, Peciak 20%</t>
  </si>
  <si>
    <t>Non TVMs</t>
  </si>
  <si>
    <t>Project</t>
  </si>
  <si>
    <t>Liczba TVM</t>
  </si>
  <si>
    <t>KOSZTY PODRÓŻY SŁUŻBOWYCH I SAMOCHODY</t>
  </si>
  <si>
    <t>TELEFONY/INTERNET</t>
  </si>
  <si>
    <t>AMORTYZACJA</t>
  </si>
  <si>
    <t>POCZTA POLSKA</t>
  </si>
  <si>
    <t>PAPIER</t>
  </si>
  <si>
    <t>SERWIS TERENOWY (AB, bez rPOS)</t>
  </si>
  <si>
    <t>SZYSZKOWSKA NAKLEJKI</t>
  </si>
  <si>
    <t>ZDANKIEWICZ NAKLEJKI</t>
  </si>
  <si>
    <t>SUMA</t>
  </si>
  <si>
    <t>NORDPLUS</t>
  </si>
  <si>
    <t>ELAVON</t>
  </si>
  <si>
    <t>UBEZPIECZENIE AUTOMATÓW</t>
  </si>
  <si>
    <t>SUMA za 12 msc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</si>
</sst>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zł&quot;;[Red]\-#,##0.00\ &quot;zł&quot;"/>
    <numFmt numFmtId="164" formatCode="#,##0.00\ &quot;zł&quot;"/>
  </numFmts>
  <fonts count="2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17" fontId="0" fillId="0" borderId="1" xfId="0" applyNumberFormat="1" applyBorder="1"/>
    <xf numFmtId="0" fontId="0" fillId="2" borderId="1" xfId="0" applyFill="1" applyBorder="1"/>
    <xf numFmtId="8" fontId="0" fillId="0" borderId="0" xfId="0" applyNumberFormat="1"/>
    <xf numFmtId="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4" borderId="1" xfId="0" applyNumberFormat="1" applyFill="1" applyBorder="1"/>
    <xf numFmtId="0" fontId="0" fillId="5" borderId="1" xfId="0" applyFill="1" applyBorder="1"/>
    <xf numFmtId="17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8" fontId="0" fillId="0" borderId="2" xfId="0" applyNumberFormat="1" applyBorder="1"/>
    <xf numFmtId="8" fontId="0" fillId="0" borderId="4" xfId="0" applyNumberFormat="1" applyBorder="1"/>
    <xf numFmtId="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8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8" fontId="1" fillId="0" borderId="2" xfId="0" applyNumberFormat="1" applyFont="1" applyBorder="1" applyAlignment="1">
      <alignment horizontal="center"/>
    </xf>
    <xf numFmtId="8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0C55-82FF-4757-A5C6-BA3AD4086787}">
  <dimension ref="B2:W162"/>
  <sheetViews>
    <sheetView tabSelected="1" zoomScale="88" workbookViewId="0">
      <selection activeCell="I11" sqref="I11"/>
    </sheetView>
  </sheetViews>
  <sheetFormatPr defaultRowHeight="15" customHeight="1"/>
  <cols>
    <col min="2" max="2" width="15.5703125" customWidth="1"/>
    <col min="3" max="3" width="10.28515625" customWidth="1"/>
    <col min="4" max="4" width="23.42578125" customWidth="1"/>
    <col min="5" max="5" width="11.5703125" bestFit="1" customWidth="1"/>
    <col min="6" max="6" width="15.7109375" customWidth="1"/>
    <col min="9" max="9" width="10.42578125" bestFit="1" customWidth="1"/>
    <col min="10" max="10" width="12.7109375" customWidth="1"/>
    <col min="11" max="14" width="11.5703125" bestFit="1" customWidth="1"/>
    <col min="15" max="15" width="12.7109375" bestFit="1" customWidth="1"/>
    <col min="16" max="17" width="11.5703125" bestFit="1" customWidth="1"/>
    <col min="18" max="18" width="12.5703125" customWidth="1"/>
    <col min="19" max="19" width="11.7109375" bestFit="1" customWidth="1"/>
    <col min="20" max="20" width="12.5703125" customWidth="1"/>
    <col min="21" max="21" width="12.42578125" customWidth="1"/>
    <col min="22" max="22" width="13.28515625" customWidth="1"/>
    <col min="23" max="23" width="13.7109375" customWidth="1"/>
  </cols>
  <sheetData>
    <row r="2" spans="2:23" ht="14.45">
      <c r="B2" s="16" t="s">
        <v>0</v>
      </c>
      <c r="C2" s="16"/>
      <c r="D2" s="16"/>
      <c r="E2" s="3"/>
    </row>
    <row r="3" spans="2:23" ht="14.45">
      <c r="B3" s="1"/>
      <c r="C3" s="17" t="s">
        <v>1</v>
      </c>
      <c r="D3" s="17"/>
      <c r="E3" s="1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</row>
    <row r="4" spans="2:23" ht="14.45">
      <c r="B4" s="15" t="s">
        <v>2</v>
      </c>
      <c r="C4" s="15"/>
      <c r="D4" s="15"/>
      <c r="E4" s="1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8"/>
    </row>
    <row r="5" spans="2:23">
      <c r="B5" s="2">
        <v>46023</v>
      </c>
      <c r="C5" s="14">
        <v>48030.92</v>
      </c>
      <c r="D5" s="15"/>
      <c r="E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2:23" ht="14.45" customHeight="1">
      <c r="B6" s="2">
        <v>46054</v>
      </c>
      <c r="C6" s="14">
        <v>48017.66</v>
      </c>
      <c r="D6" s="15"/>
      <c r="E6" s="10"/>
    </row>
    <row r="7" spans="2:23">
      <c r="B7" s="2">
        <v>46082</v>
      </c>
      <c r="C7" s="14"/>
      <c r="D7" s="15"/>
      <c r="E7" s="10"/>
    </row>
    <row r="8" spans="2:23" ht="14.45">
      <c r="B8" s="2">
        <v>46113</v>
      </c>
      <c r="C8" s="14"/>
      <c r="D8" s="15"/>
      <c r="E8" s="10"/>
    </row>
    <row r="9" spans="2:23" ht="14.45">
      <c r="B9" s="2">
        <v>46143</v>
      </c>
      <c r="C9" s="14"/>
      <c r="D9" s="15"/>
      <c r="E9" s="10"/>
      <c r="F9" s="4">
        <f>SUM(C5:D16)</f>
        <v>96048.58</v>
      </c>
    </row>
    <row r="10" spans="2:23" ht="14.45">
      <c r="B10" s="2">
        <v>46174</v>
      </c>
      <c r="C10" s="14"/>
      <c r="D10" s="15"/>
      <c r="E10" s="10"/>
      <c r="J10" t="s">
        <v>3</v>
      </c>
      <c r="K10" t="s">
        <v>4</v>
      </c>
      <c r="N10" t="s">
        <v>5</v>
      </c>
    </row>
    <row r="11" spans="2:23" ht="14.45">
      <c r="B11" s="2">
        <v>46204</v>
      </c>
      <c r="C11" s="14"/>
      <c r="D11" s="15"/>
      <c r="E11" s="10"/>
      <c r="I11" s="9">
        <v>46023</v>
      </c>
      <c r="J11" s="4">
        <f>C5+C20+O95</f>
        <v>140243.34</v>
      </c>
      <c r="K11" s="4">
        <f>J95</f>
        <v>0</v>
      </c>
      <c r="N11">
        <v>113</v>
      </c>
      <c r="O11" s="4">
        <f>J11/N11</f>
        <v>1241.0915044247788</v>
      </c>
    </row>
    <row r="12" spans="2:23" ht="14.45">
      <c r="B12" s="2">
        <v>46235</v>
      </c>
      <c r="C12" s="14"/>
      <c r="D12" s="15"/>
      <c r="E12" s="10"/>
      <c r="I12" s="9">
        <v>46054</v>
      </c>
      <c r="J12" s="4">
        <f>C6+C21+O96</f>
        <v>90571.86</v>
      </c>
      <c r="K12" s="4">
        <f t="shared" ref="K12:K22" si="0">J96</f>
        <v>24000</v>
      </c>
    </row>
    <row r="13" spans="2:23" ht="14.45">
      <c r="B13" s="2">
        <v>46266</v>
      </c>
      <c r="C13" s="14"/>
      <c r="D13" s="15"/>
      <c r="E13" s="10"/>
      <c r="I13" s="9">
        <v>46082</v>
      </c>
      <c r="J13" s="4">
        <f t="shared" ref="J13:J20" si="1">C7+C22+O97</f>
        <v>0</v>
      </c>
      <c r="K13" s="4">
        <f t="shared" si="0"/>
        <v>0</v>
      </c>
    </row>
    <row r="14" spans="2:23" ht="14.45">
      <c r="B14" s="2">
        <v>46296</v>
      </c>
      <c r="C14" s="14"/>
      <c r="D14" s="15"/>
      <c r="E14" s="10"/>
      <c r="I14" s="9">
        <v>46113</v>
      </c>
      <c r="J14" s="4">
        <f t="shared" si="1"/>
        <v>0</v>
      </c>
      <c r="K14" s="4">
        <f>J98</f>
        <v>0</v>
      </c>
    </row>
    <row r="15" spans="2:23" ht="14.45">
      <c r="B15" s="2">
        <v>46327</v>
      </c>
      <c r="C15" s="14"/>
      <c r="D15" s="15"/>
      <c r="E15" s="10"/>
      <c r="I15" s="9">
        <v>46143</v>
      </c>
      <c r="J15" s="4">
        <f t="shared" si="1"/>
        <v>0</v>
      </c>
      <c r="K15" s="4">
        <f t="shared" si="0"/>
        <v>0</v>
      </c>
    </row>
    <row r="16" spans="2:23" ht="14.45">
      <c r="B16" s="2">
        <v>46357</v>
      </c>
      <c r="C16" s="14"/>
      <c r="D16" s="15"/>
      <c r="E16" s="10"/>
      <c r="I16" s="9">
        <v>46174</v>
      </c>
      <c r="J16" s="4">
        <f t="shared" si="1"/>
        <v>0</v>
      </c>
      <c r="K16" s="4">
        <f t="shared" si="0"/>
        <v>0</v>
      </c>
    </row>
    <row r="17" spans="2:11" ht="14.45">
      <c r="B17" s="9"/>
      <c r="C17" s="5"/>
      <c r="D17" s="6"/>
      <c r="E17" s="11"/>
      <c r="I17" s="9">
        <v>46204</v>
      </c>
      <c r="J17" s="4">
        <f t="shared" si="1"/>
        <v>0</v>
      </c>
      <c r="K17" s="4">
        <f t="shared" si="0"/>
        <v>0</v>
      </c>
    </row>
    <row r="18" spans="2:11" ht="14.45">
      <c r="I18" s="9">
        <v>46235</v>
      </c>
      <c r="J18" s="4">
        <f t="shared" si="1"/>
        <v>0</v>
      </c>
      <c r="K18" s="4">
        <f t="shared" si="0"/>
        <v>0</v>
      </c>
    </row>
    <row r="19" spans="2:11" ht="14.45">
      <c r="B19" s="20" t="s">
        <v>6</v>
      </c>
      <c r="C19" s="21"/>
      <c r="D19" s="22"/>
      <c r="I19" s="9">
        <v>46266</v>
      </c>
      <c r="J19" s="4">
        <f t="shared" si="1"/>
        <v>0</v>
      </c>
      <c r="K19" s="4">
        <f t="shared" si="0"/>
        <v>0</v>
      </c>
    </row>
    <row r="20" spans="2:11" ht="14.45">
      <c r="B20" s="2">
        <v>46023</v>
      </c>
      <c r="C20" s="18">
        <v>17862.419999999998</v>
      </c>
      <c r="D20" s="19"/>
      <c r="I20" s="9">
        <v>46296</v>
      </c>
      <c r="J20" s="4">
        <f t="shared" si="1"/>
        <v>0</v>
      </c>
      <c r="K20" s="4">
        <f t="shared" si="0"/>
        <v>0</v>
      </c>
    </row>
    <row r="21" spans="2:11" ht="14.45">
      <c r="B21" s="2">
        <v>46054</v>
      </c>
      <c r="C21" s="18">
        <v>13054.2</v>
      </c>
      <c r="D21" s="19"/>
      <c r="I21" s="9">
        <v>46327</v>
      </c>
      <c r="J21" s="4">
        <f>C15+C30+O105</f>
        <v>0</v>
      </c>
      <c r="K21" s="4">
        <f t="shared" si="0"/>
        <v>0</v>
      </c>
    </row>
    <row r="22" spans="2:11" ht="14.45">
      <c r="B22" s="2">
        <v>46082</v>
      </c>
      <c r="C22" s="18"/>
      <c r="D22" s="19"/>
      <c r="F22" s="4">
        <f>SUM(C20:D31)</f>
        <v>30916.62</v>
      </c>
      <c r="I22" s="9">
        <v>46357</v>
      </c>
      <c r="J22" s="4">
        <f>C16+C31+O106</f>
        <v>0</v>
      </c>
      <c r="K22" s="4">
        <f t="shared" si="0"/>
        <v>0</v>
      </c>
    </row>
    <row r="23" spans="2:11" ht="14.45">
      <c r="B23" s="2">
        <v>46113</v>
      </c>
      <c r="C23" s="18"/>
      <c r="D23" s="19"/>
      <c r="F23" s="4"/>
      <c r="I23" s="9"/>
    </row>
    <row r="24" spans="2:11" ht="14.45">
      <c r="B24" s="2">
        <v>46143</v>
      </c>
      <c r="C24" s="18"/>
      <c r="D24" s="19"/>
      <c r="F24" s="4"/>
      <c r="I24" s="9"/>
    </row>
    <row r="25" spans="2:11" ht="14.45">
      <c r="B25" s="2">
        <v>46174</v>
      </c>
      <c r="C25" s="18"/>
      <c r="D25" s="19"/>
      <c r="F25" s="4"/>
    </row>
    <row r="26" spans="2:11" ht="14.45">
      <c r="B26" s="2">
        <v>46204</v>
      </c>
      <c r="C26" s="18"/>
      <c r="D26" s="19"/>
      <c r="F26" s="4"/>
    </row>
    <row r="27" spans="2:11" ht="14.45">
      <c r="B27" s="2">
        <v>46235</v>
      </c>
      <c r="C27" s="18"/>
      <c r="D27" s="19"/>
      <c r="F27" s="4"/>
    </row>
    <row r="28" spans="2:11" ht="14.45">
      <c r="B28" s="2">
        <v>46266</v>
      </c>
      <c r="C28" s="18"/>
      <c r="D28" s="19"/>
      <c r="F28" s="4"/>
    </row>
    <row r="29" spans="2:11" ht="14.45">
      <c r="B29" s="2">
        <v>46296</v>
      </c>
      <c r="C29" s="18"/>
      <c r="D29" s="19"/>
      <c r="F29" s="4"/>
    </row>
    <row r="30" spans="2:11" ht="14.45">
      <c r="B30" s="2">
        <v>46327</v>
      </c>
      <c r="C30" s="18"/>
      <c r="D30" s="19"/>
      <c r="F30" s="4"/>
    </row>
    <row r="31" spans="2:11" ht="14.45">
      <c r="B31" s="2">
        <v>46357</v>
      </c>
      <c r="C31" s="18"/>
      <c r="D31" s="19"/>
      <c r="F31" s="4"/>
    </row>
    <row r="32" spans="2:11" ht="14.45">
      <c r="B32" s="9"/>
      <c r="C32" s="5"/>
      <c r="D32" s="6"/>
      <c r="F32" s="4"/>
    </row>
    <row r="34" spans="2:9">
      <c r="B34" s="20" t="s">
        <v>7</v>
      </c>
      <c r="C34" s="21"/>
      <c r="D34" s="22"/>
    </row>
    <row r="35" spans="2:9">
      <c r="B35" s="2">
        <v>46023</v>
      </c>
      <c r="C35" s="18">
        <v>9326.02</v>
      </c>
      <c r="D35" s="19"/>
    </row>
    <row r="36" spans="2:9" ht="14.45" customHeight="1">
      <c r="B36" s="2">
        <v>46054</v>
      </c>
      <c r="C36" s="18">
        <v>9250.51</v>
      </c>
      <c r="D36" s="23"/>
    </row>
    <row r="37" spans="2:9">
      <c r="B37" s="2">
        <v>46082</v>
      </c>
      <c r="C37" s="18"/>
      <c r="D37" s="19"/>
      <c r="F37" s="4">
        <f>SUM(C35:D46)</f>
        <v>18576.53</v>
      </c>
    </row>
    <row r="38" spans="2:9" ht="14.45">
      <c r="B38" s="2">
        <v>46113</v>
      </c>
      <c r="C38" s="18"/>
      <c r="D38" s="19"/>
      <c r="F38" s="4"/>
      <c r="I38" s="4"/>
    </row>
    <row r="39" spans="2:9" ht="14.45">
      <c r="B39" s="2">
        <v>46143</v>
      </c>
      <c r="C39" s="18"/>
      <c r="D39" s="19"/>
      <c r="F39" s="4"/>
      <c r="I39" s="4"/>
    </row>
    <row r="40" spans="2:9" ht="14.45">
      <c r="B40" s="2">
        <v>46174</v>
      </c>
      <c r="C40" s="18"/>
      <c r="D40" s="19"/>
      <c r="F40" s="4"/>
    </row>
    <row r="41" spans="2:9" ht="14.45">
      <c r="B41" s="2">
        <v>46204</v>
      </c>
      <c r="C41" s="18"/>
      <c r="D41" s="19"/>
      <c r="F41" s="4"/>
    </row>
    <row r="42" spans="2:9" ht="14.45">
      <c r="B42" s="2">
        <v>46235</v>
      </c>
      <c r="C42" s="18"/>
      <c r="D42" s="19"/>
      <c r="F42" s="4"/>
    </row>
    <row r="43" spans="2:9" ht="14.45">
      <c r="B43" s="2">
        <v>46266</v>
      </c>
      <c r="C43" s="18"/>
      <c r="D43" s="19"/>
      <c r="F43" s="4"/>
    </row>
    <row r="44" spans="2:9" ht="14.45">
      <c r="B44" s="2">
        <v>46296</v>
      </c>
      <c r="C44" s="18"/>
      <c r="D44" s="19"/>
      <c r="F44" s="4"/>
    </row>
    <row r="45" spans="2:9" ht="14.45">
      <c r="B45" s="2">
        <v>46327</v>
      </c>
      <c r="C45" s="18"/>
      <c r="D45" s="19"/>
      <c r="F45" s="4"/>
    </row>
    <row r="46" spans="2:9" ht="14.45">
      <c r="B46" s="2">
        <v>46357</v>
      </c>
      <c r="C46" s="18"/>
      <c r="D46" s="19"/>
      <c r="F46" s="4"/>
    </row>
    <row r="47" spans="2:9" ht="14.45">
      <c r="B47" s="9"/>
      <c r="C47" s="5"/>
      <c r="D47" s="6"/>
      <c r="F47" s="4"/>
    </row>
    <row r="49" spans="2:6" ht="14.45">
      <c r="B49" s="20" t="s">
        <v>8</v>
      </c>
      <c r="C49" s="21"/>
      <c r="D49" s="22"/>
    </row>
    <row r="50" spans="2:6" ht="14.45">
      <c r="B50" s="2">
        <v>46023</v>
      </c>
      <c r="C50" s="18">
        <v>55463.63</v>
      </c>
      <c r="D50" s="23"/>
    </row>
    <row r="51" spans="2:6" ht="14.45">
      <c r="B51" s="2">
        <v>46054</v>
      </c>
      <c r="C51" s="18">
        <v>55463.63</v>
      </c>
      <c r="D51" s="23"/>
    </row>
    <row r="52" spans="2:6" ht="14.45">
      <c r="B52" s="2">
        <v>46082</v>
      </c>
      <c r="C52" s="18"/>
      <c r="D52" s="23"/>
      <c r="F52" s="4">
        <f>SUM(C50:D61)</f>
        <v>110927.26</v>
      </c>
    </row>
    <row r="53" spans="2:6" ht="14.45">
      <c r="B53" s="2">
        <v>46113</v>
      </c>
      <c r="C53" s="18"/>
      <c r="D53" s="23"/>
      <c r="F53" s="4"/>
    </row>
    <row r="54" spans="2:6" ht="14.45">
      <c r="B54" s="2">
        <v>46143</v>
      </c>
      <c r="C54" s="18"/>
      <c r="D54" s="23"/>
      <c r="F54" s="4"/>
    </row>
    <row r="55" spans="2:6" ht="14.45">
      <c r="B55" s="2">
        <v>46174</v>
      </c>
      <c r="C55" s="18"/>
      <c r="D55" s="23"/>
      <c r="F55" s="4"/>
    </row>
    <row r="56" spans="2:6" ht="14.45">
      <c r="B56" s="2">
        <v>46204</v>
      </c>
      <c r="C56" s="18"/>
      <c r="D56" s="23"/>
      <c r="F56" s="4"/>
    </row>
    <row r="57" spans="2:6" ht="14.45">
      <c r="B57" s="2">
        <v>46235</v>
      </c>
      <c r="C57" s="18"/>
      <c r="D57" s="23"/>
      <c r="F57" s="4"/>
    </row>
    <row r="58" spans="2:6" ht="14.45">
      <c r="B58" s="2">
        <v>46266</v>
      </c>
      <c r="C58" s="18"/>
      <c r="D58" s="23"/>
      <c r="F58" s="4"/>
    </row>
    <row r="59" spans="2:6" ht="14.45">
      <c r="B59" s="2">
        <v>46296</v>
      </c>
      <c r="C59" s="18"/>
      <c r="D59" s="23"/>
      <c r="F59" s="4"/>
    </row>
    <row r="60" spans="2:6" ht="14.45">
      <c r="B60" s="2">
        <v>46327</v>
      </c>
      <c r="C60" s="18"/>
      <c r="D60" s="23"/>
      <c r="F60" s="4"/>
    </row>
    <row r="61" spans="2:6" ht="14.45">
      <c r="B61" s="2">
        <v>46357</v>
      </c>
      <c r="C61" s="18"/>
      <c r="D61" s="23"/>
      <c r="F61" s="4"/>
    </row>
    <row r="64" spans="2:6" ht="14.45">
      <c r="B64" s="20" t="s">
        <v>9</v>
      </c>
      <c r="C64" s="21"/>
      <c r="D64" s="22"/>
    </row>
    <row r="65" spans="2:6" ht="14.45">
      <c r="B65" s="2">
        <v>46023</v>
      </c>
      <c r="C65" s="18">
        <v>7484.38</v>
      </c>
      <c r="D65" s="19"/>
    </row>
    <row r="66" spans="2:6" ht="14.45">
      <c r="B66" s="2">
        <v>46054</v>
      </c>
      <c r="C66" s="18">
        <v>5977.18</v>
      </c>
      <c r="D66" s="19"/>
    </row>
    <row r="67" spans="2:6" ht="14.45">
      <c r="B67" s="2">
        <v>46082</v>
      </c>
      <c r="C67" s="18"/>
      <c r="D67" s="23"/>
      <c r="F67" s="4">
        <f>SUM(C65:D76)</f>
        <v>13461.560000000001</v>
      </c>
    </row>
    <row r="68" spans="2:6" ht="14.45">
      <c r="B68" s="2">
        <v>46113</v>
      </c>
      <c r="C68" s="18"/>
      <c r="D68" s="23"/>
    </row>
    <row r="69" spans="2:6" ht="14.45">
      <c r="B69" s="2">
        <v>46143</v>
      </c>
      <c r="C69" s="18"/>
      <c r="D69" s="23"/>
    </row>
    <row r="70" spans="2:6" ht="14.45">
      <c r="B70" s="2">
        <v>46174</v>
      </c>
      <c r="C70" s="18"/>
      <c r="D70" s="23"/>
    </row>
    <row r="71" spans="2:6" ht="14.45">
      <c r="B71" s="2">
        <v>46204</v>
      </c>
      <c r="C71" s="18"/>
      <c r="D71" s="23"/>
    </row>
    <row r="72" spans="2:6" ht="14.45">
      <c r="B72" s="2">
        <v>46235</v>
      </c>
      <c r="C72" s="18"/>
      <c r="D72" s="23"/>
    </row>
    <row r="73" spans="2:6" ht="14.45">
      <c r="B73" s="2">
        <v>46266</v>
      </c>
      <c r="C73" s="18"/>
      <c r="D73" s="23"/>
    </row>
    <row r="74" spans="2:6" ht="14.45">
      <c r="B74" s="2">
        <v>46296</v>
      </c>
      <c r="C74" s="18"/>
      <c r="D74" s="23"/>
    </row>
    <row r="75" spans="2:6" ht="14.45">
      <c r="B75" s="2">
        <v>46327</v>
      </c>
      <c r="C75" s="18"/>
      <c r="D75" s="23"/>
    </row>
    <row r="76" spans="2:6" ht="14.45">
      <c r="B76" s="2">
        <v>46357</v>
      </c>
      <c r="C76" s="18"/>
      <c r="D76" s="23"/>
    </row>
    <row r="77" spans="2:6" ht="14.45">
      <c r="B77" s="9"/>
      <c r="C77" s="5"/>
      <c r="D77" s="5"/>
    </row>
    <row r="78" spans="2:6" ht="14.45">
      <c r="B78" s="9"/>
      <c r="C78" s="5"/>
      <c r="D78" s="5"/>
    </row>
    <row r="79" spans="2:6" ht="14.45">
      <c r="B79" s="20" t="s">
        <v>10</v>
      </c>
      <c r="C79" s="21"/>
      <c r="D79" s="22"/>
    </row>
    <row r="80" spans="2:6" ht="14.45">
      <c r="B80" s="2">
        <v>46023</v>
      </c>
      <c r="C80" s="18"/>
      <c r="D80" s="19"/>
    </row>
    <row r="81" spans="2:16" ht="14.45">
      <c r="B81" s="2">
        <v>46054</v>
      </c>
      <c r="C81" s="18"/>
      <c r="D81" s="19"/>
    </row>
    <row r="82" spans="2:16" ht="14.45">
      <c r="B82" s="2">
        <v>46082</v>
      </c>
      <c r="C82" s="18"/>
      <c r="D82" s="23"/>
      <c r="F82" s="4">
        <f>SUM(C80:D91)</f>
        <v>0</v>
      </c>
    </row>
    <row r="83" spans="2:16" ht="14.45">
      <c r="B83" s="2">
        <v>46113</v>
      </c>
      <c r="C83" s="18"/>
      <c r="D83" s="23"/>
    </row>
    <row r="84" spans="2:16" ht="14.45">
      <c r="B84" s="2">
        <v>46143</v>
      </c>
      <c r="C84" s="18"/>
      <c r="D84" s="23"/>
    </row>
    <row r="85" spans="2:16" ht="14.45">
      <c r="B85" s="2">
        <v>46174</v>
      </c>
      <c r="C85" s="18"/>
      <c r="D85" s="23"/>
    </row>
    <row r="86" spans="2:16" ht="14.45">
      <c r="B86" s="2">
        <v>46204</v>
      </c>
      <c r="C86" s="18"/>
      <c r="D86" s="23"/>
    </row>
    <row r="87" spans="2:16" ht="14.45">
      <c r="B87" s="2">
        <v>46235</v>
      </c>
      <c r="C87" s="18"/>
      <c r="D87" s="23"/>
    </row>
    <row r="88" spans="2:16" ht="14.45">
      <c r="B88" s="2">
        <v>46266</v>
      </c>
      <c r="C88" s="18"/>
      <c r="D88" s="23"/>
    </row>
    <row r="89" spans="2:16" ht="14.45">
      <c r="B89" s="2">
        <v>46296</v>
      </c>
      <c r="C89" s="18"/>
      <c r="D89" s="23"/>
      <c r="G89" s="12"/>
      <c r="H89" s="13"/>
    </row>
    <row r="90" spans="2:16" ht="14.45">
      <c r="B90" s="2">
        <v>46327</v>
      </c>
      <c r="C90" s="18"/>
      <c r="D90" s="23"/>
    </row>
    <row r="91" spans="2:16" ht="14.45">
      <c r="B91" s="2">
        <v>46357</v>
      </c>
      <c r="C91" s="18"/>
      <c r="D91" s="23"/>
    </row>
    <row r="92" spans="2:16" ht="15.75" customHeight="1">
      <c r="B92" s="9"/>
      <c r="C92" s="5"/>
      <c r="D92" s="5"/>
    </row>
    <row r="93" spans="2:16" ht="15.75" customHeight="1">
      <c r="B93" s="9"/>
      <c r="C93" s="5"/>
      <c r="D93" s="5"/>
    </row>
    <row r="94" spans="2:16" ht="15.75" customHeight="1">
      <c r="B94" s="20" t="s">
        <v>11</v>
      </c>
      <c r="C94" s="21"/>
      <c r="D94" s="22"/>
      <c r="I94" s="20" t="s">
        <v>12</v>
      </c>
      <c r="J94" s="21"/>
      <c r="K94" s="22"/>
      <c r="N94" s="20" t="s">
        <v>13</v>
      </c>
      <c r="O94" s="21"/>
      <c r="P94" s="22"/>
    </row>
    <row r="95" spans="2:16" ht="15.75" customHeight="1">
      <c r="B95" s="2">
        <v>46023</v>
      </c>
      <c r="C95" s="18">
        <v>24970</v>
      </c>
      <c r="D95" s="19"/>
      <c r="I95" s="2">
        <v>46023</v>
      </c>
      <c r="J95" s="18"/>
      <c r="K95" s="23"/>
      <c r="N95" s="2">
        <v>46023</v>
      </c>
      <c r="O95" s="18">
        <f>44850+29500</f>
        <v>74350</v>
      </c>
      <c r="P95" s="19"/>
    </row>
    <row r="96" spans="2:16" ht="15.75" customHeight="1">
      <c r="B96" s="2">
        <v>46054</v>
      </c>
      <c r="C96" s="18">
        <v>19107.400000000001</v>
      </c>
      <c r="D96" s="19"/>
      <c r="I96" s="2">
        <v>46054</v>
      </c>
      <c r="J96" s="18">
        <v>24000</v>
      </c>
      <c r="K96" s="23"/>
      <c r="N96" s="2">
        <v>46054</v>
      </c>
      <c r="O96" s="18">
        <v>29500</v>
      </c>
      <c r="P96" s="19"/>
    </row>
    <row r="97" spans="2:18" ht="15.75" customHeight="1">
      <c r="B97" s="2">
        <v>46082</v>
      </c>
      <c r="C97" s="18"/>
      <c r="D97" s="23"/>
      <c r="F97" s="4">
        <f>SUM(C95:D106)</f>
        <v>44077.4</v>
      </c>
      <c r="I97" s="2">
        <v>46082</v>
      </c>
      <c r="J97" s="18"/>
      <c r="K97" s="23"/>
      <c r="N97" s="2">
        <v>46082</v>
      </c>
      <c r="O97" s="18"/>
      <c r="P97" s="19"/>
    </row>
    <row r="98" spans="2:18" ht="15.75" customHeight="1">
      <c r="B98" s="2">
        <v>46113</v>
      </c>
      <c r="C98" s="18"/>
      <c r="D98" s="23"/>
      <c r="I98" s="2">
        <v>46113</v>
      </c>
      <c r="J98" s="18"/>
      <c r="K98" s="23"/>
      <c r="N98" s="2">
        <v>46113</v>
      </c>
      <c r="O98" s="18"/>
      <c r="P98" s="19"/>
    </row>
    <row r="99" spans="2:18" ht="15.6" customHeight="1">
      <c r="B99" s="2">
        <v>46143</v>
      </c>
      <c r="C99" s="18"/>
      <c r="D99" s="23"/>
      <c r="I99" s="2">
        <v>46143</v>
      </c>
      <c r="J99" s="18"/>
      <c r="K99" s="23"/>
      <c r="N99" s="2">
        <v>46143</v>
      </c>
      <c r="O99" s="18"/>
      <c r="P99" s="19"/>
    </row>
    <row r="100" spans="2:18" ht="15.6" customHeight="1">
      <c r="B100" s="2">
        <v>46174</v>
      </c>
      <c r="C100" s="18"/>
      <c r="D100" s="23"/>
      <c r="I100" s="2">
        <v>46174</v>
      </c>
      <c r="J100" s="18"/>
      <c r="K100" s="23"/>
      <c r="N100" s="2">
        <v>46174</v>
      </c>
      <c r="O100" s="18"/>
      <c r="P100" s="19"/>
    </row>
    <row r="101" spans="2:18" ht="15.6" customHeight="1">
      <c r="B101" s="2">
        <v>46204</v>
      </c>
      <c r="C101" s="18"/>
      <c r="D101" s="23"/>
      <c r="I101" s="2">
        <v>46204</v>
      </c>
      <c r="J101" s="18"/>
      <c r="K101" s="23"/>
      <c r="N101" s="2">
        <v>46204</v>
      </c>
      <c r="O101" s="18"/>
      <c r="P101" s="19"/>
    </row>
    <row r="102" spans="2:18" ht="15.6" customHeight="1">
      <c r="B102" s="2">
        <v>46235</v>
      </c>
      <c r="C102" s="18"/>
      <c r="D102" s="23"/>
      <c r="I102" s="2">
        <v>46235</v>
      </c>
      <c r="J102" s="18"/>
      <c r="K102" s="23"/>
      <c r="N102" s="2">
        <v>46235</v>
      </c>
      <c r="O102" s="18"/>
      <c r="P102" s="19"/>
    </row>
    <row r="103" spans="2:18" ht="14.45">
      <c r="B103" s="2">
        <v>46266</v>
      </c>
      <c r="C103" s="18"/>
      <c r="D103" s="23"/>
      <c r="I103" s="2">
        <v>46266</v>
      </c>
      <c r="J103" s="18"/>
      <c r="K103" s="23"/>
      <c r="N103" s="2">
        <v>46266</v>
      </c>
      <c r="O103" s="18"/>
      <c r="P103" s="19"/>
    </row>
    <row r="104" spans="2:18" ht="14.45">
      <c r="B104" s="2">
        <v>46296</v>
      </c>
      <c r="C104" s="18"/>
      <c r="D104" s="23"/>
      <c r="I104" s="2">
        <v>46296</v>
      </c>
      <c r="J104" s="18"/>
      <c r="K104" s="23"/>
      <c r="N104" s="2">
        <v>46296</v>
      </c>
      <c r="O104" s="18"/>
      <c r="P104" s="19"/>
    </row>
    <row r="105" spans="2:18" ht="14.45">
      <c r="B105" s="2">
        <v>46327</v>
      </c>
      <c r="C105" s="18"/>
      <c r="D105" s="23"/>
      <c r="I105" s="2">
        <v>46327</v>
      </c>
      <c r="J105" s="18"/>
      <c r="K105" s="23"/>
      <c r="N105" s="2">
        <v>46327</v>
      </c>
      <c r="O105" s="18"/>
      <c r="P105" s="23"/>
    </row>
    <row r="106" spans="2:18" ht="15" customHeight="1">
      <c r="B106" s="2">
        <v>46357</v>
      </c>
      <c r="C106" s="18"/>
      <c r="D106" s="23"/>
      <c r="I106" s="2">
        <v>46357</v>
      </c>
      <c r="J106" s="18"/>
      <c r="K106" s="23"/>
      <c r="N106" s="2">
        <v>46357</v>
      </c>
      <c r="O106" s="18"/>
      <c r="P106" s="23"/>
    </row>
    <row r="107" spans="2:18" ht="14.45">
      <c r="B107" s="9"/>
      <c r="C107" s="5"/>
      <c r="D107" s="5"/>
      <c r="I107" t="s">
        <v>14</v>
      </c>
      <c r="J107" s="24">
        <f>SUM(J95:K106)</f>
        <v>24000</v>
      </c>
      <c r="K107" s="25"/>
      <c r="N107" t="s">
        <v>14</v>
      </c>
      <c r="O107" s="4">
        <f>SUM(O95:P106)</f>
        <v>103850</v>
      </c>
      <c r="R107" s="4"/>
    </row>
    <row r="108" spans="2:18" ht="14.45" customHeight="1">
      <c r="B108" s="9"/>
      <c r="C108" s="5"/>
      <c r="D108" s="5"/>
    </row>
    <row r="109" spans="2:18" ht="14.45" customHeight="1">
      <c r="B109" s="9"/>
      <c r="C109" s="5"/>
      <c r="D109" s="5"/>
    </row>
    <row r="110" spans="2:18" ht="14.45" customHeight="1">
      <c r="B110" s="9"/>
      <c r="C110" s="5"/>
      <c r="D110" s="5"/>
    </row>
    <row r="111" spans="2:18" ht="14.45" customHeight="1">
      <c r="B111" s="20" t="s">
        <v>15</v>
      </c>
      <c r="C111" s="21"/>
      <c r="D111" s="22"/>
    </row>
    <row r="112" spans="2:18" ht="14.45" customHeight="1">
      <c r="B112" s="2">
        <v>46023</v>
      </c>
      <c r="C112" s="18">
        <v>18064</v>
      </c>
      <c r="D112" s="19"/>
      <c r="E112" s="4"/>
    </row>
    <row r="113" spans="2:6" ht="14.45" customHeight="1">
      <c r="B113" s="2">
        <v>46054</v>
      </c>
      <c r="C113" s="18">
        <v>18002</v>
      </c>
      <c r="D113" s="19"/>
      <c r="E113" s="4"/>
    </row>
    <row r="114" spans="2:6" ht="14.45" customHeight="1">
      <c r="B114" s="2">
        <v>46082</v>
      </c>
      <c r="C114" s="18"/>
      <c r="D114" s="23"/>
      <c r="E114" s="4"/>
    </row>
    <row r="115" spans="2:6" ht="14.45" customHeight="1">
      <c r="B115" s="2">
        <v>46113</v>
      </c>
      <c r="C115" s="18"/>
      <c r="D115" s="23"/>
      <c r="E115" s="4"/>
    </row>
    <row r="116" spans="2:6" ht="14.45" customHeight="1">
      <c r="B116" s="2">
        <v>46143</v>
      </c>
      <c r="C116" s="18"/>
      <c r="D116" s="23"/>
      <c r="E116" s="4"/>
    </row>
    <row r="117" spans="2:6" ht="14.45" customHeight="1">
      <c r="B117" s="2">
        <v>46174</v>
      </c>
      <c r="C117" s="18"/>
      <c r="D117" s="23"/>
      <c r="E117" s="4"/>
      <c r="F117" s="4">
        <f>SUM(C112:D123)</f>
        <v>36066</v>
      </c>
    </row>
    <row r="118" spans="2:6" ht="14.45" customHeight="1">
      <c r="B118" s="2">
        <v>46204</v>
      </c>
      <c r="C118" s="18"/>
      <c r="D118" s="23"/>
      <c r="E118" s="4"/>
    </row>
    <row r="119" spans="2:6" ht="14.45" customHeight="1">
      <c r="B119" s="2">
        <v>46235</v>
      </c>
      <c r="C119" s="18"/>
      <c r="D119" s="23"/>
      <c r="E119" s="4"/>
    </row>
    <row r="120" spans="2:6" ht="14.45" customHeight="1">
      <c r="B120" s="2">
        <v>46266</v>
      </c>
      <c r="C120" s="18"/>
      <c r="D120" s="23"/>
      <c r="E120" s="4"/>
    </row>
    <row r="121" spans="2:6" ht="14.45" customHeight="1">
      <c r="B121" s="2">
        <v>46296</v>
      </c>
      <c r="C121" s="18"/>
      <c r="D121" s="23"/>
      <c r="E121" s="4"/>
    </row>
    <row r="122" spans="2:6" ht="14.45" customHeight="1">
      <c r="B122" s="2">
        <v>46327</v>
      </c>
      <c r="C122" s="18"/>
      <c r="D122" s="23"/>
    </row>
    <row r="123" spans="2:6" ht="14.45" customHeight="1">
      <c r="B123" s="2">
        <v>46357</v>
      </c>
      <c r="C123" s="18"/>
      <c r="D123" s="23"/>
    </row>
    <row r="124" spans="2:6" ht="14.45" customHeight="1">
      <c r="B124" s="9"/>
      <c r="C124" s="5"/>
      <c r="D124" s="5"/>
    </row>
    <row r="125" spans="2:6" ht="14.45" customHeight="1">
      <c r="B125" s="9"/>
      <c r="C125" s="5"/>
      <c r="D125" s="5"/>
    </row>
    <row r="126" spans="2:6" ht="14.45" customHeight="1">
      <c r="B126" s="9"/>
      <c r="C126" s="5"/>
      <c r="D126" s="5"/>
    </row>
    <row r="127" spans="2:6" ht="14.45" customHeight="1">
      <c r="B127" s="20" t="s">
        <v>16</v>
      </c>
      <c r="C127" s="21"/>
      <c r="D127" s="22"/>
    </row>
    <row r="128" spans="2:6" ht="14.45" customHeight="1">
      <c r="B128" s="2">
        <v>46023</v>
      </c>
      <c r="C128" s="18">
        <v>30040.16</v>
      </c>
      <c r="D128" s="19"/>
    </row>
    <row r="129" spans="2:6" ht="14.45" customHeight="1">
      <c r="B129" s="2">
        <v>46054</v>
      </c>
      <c r="C129" s="18">
        <v>29778.37</v>
      </c>
      <c r="D129" s="19"/>
    </row>
    <row r="130" spans="2:6" ht="14.45" customHeight="1">
      <c r="B130" s="2">
        <v>46082</v>
      </c>
      <c r="C130" s="18"/>
      <c r="D130" s="23"/>
      <c r="F130" s="4">
        <f>SUM(C128:D139)</f>
        <v>59818.53</v>
      </c>
    </row>
    <row r="131" spans="2:6" ht="14.45" customHeight="1">
      <c r="B131" s="2">
        <v>46113</v>
      </c>
      <c r="C131" s="18"/>
      <c r="D131" s="23"/>
    </row>
    <row r="132" spans="2:6" ht="14.45" customHeight="1">
      <c r="B132" s="2">
        <v>46143</v>
      </c>
      <c r="C132" s="18"/>
      <c r="D132" s="23"/>
    </row>
    <row r="133" spans="2:6" ht="14.45" customHeight="1">
      <c r="B133" s="2">
        <v>46174</v>
      </c>
      <c r="C133" s="18"/>
      <c r="D133" s="23"/>
    </row>
    <row r="134" spans="2:6" ht="14.45" customHeight="1">
      <c r="B134" s="2">
        <v>46204</v>
      </c>
      <c r="C134" s="18"/>
      <c r="D134" s="23"/>
    </row>
    <row r="135" spans="2:6" ht="14.45" customHeight="1">
      <c r="B135" s="2">
        <v>46235</v>
      </c>
      <c r="C135" s="18"/>
      <c r="D135" s="23"/>
    </row>
    <row r="136" spans="2:6" ht="14.45" customHeight="1">
      <c r="B136" s="2">
        <v>46266</v>
      </c>
      <c r="C136" s="18"/>
      <c r="D136" s="23"/>
    </row>
    <row r="137" spans="2:6" ht="14.45" customHeight="1">
      <c r="B137" s="2">
        <v>46296</v>
      </c>
      <c r="C137" s="18"/>
      <c r="D137" s="23"/>
    </row>
    <row r="138" spans="2:6" ht="14.45">
      <c r="B138" s="2">
        <v>46327</v>
      </c>
      <c r="C138" s="18"/>
      <c r="D138" s="23"/>
    </row>
    <row r="139" spans="2:6" ht="14.45">
      <c r="B139" s="2">
        <v>46357</v>
      </c>
      <c r="C139" s="18"/>
      <c r="D139" s="23"/>
    </row>
    <row r="140" spans="2:6" ht="14.45">
      <c r="B140" s="9"/>
      <c r="C140" s="5"/>
      <c r="D140" s="5"/>
    </row>
    <row r="141" spans="2:6" ht="14.45">
      <c r="B141" s="9"/>
      <c r="C141" s="5"/>
      <c r="D141" s="5"/>
    </row>
    <row r="142" spans="2:6" ht="14.45">
      <c r="B142" s="9"/>
      <c r="C142" s="5"/>
      <c r="D142" s="5"/>
    </row>
    <row r="143" spans="2:6" ht="14.45">
      <c r="B143" s="20" t="s">
        <v>17</v>
      </c>
      <c r="C143" s="21"/>
      <c r="D143" s="22"/>
    </row>
    <row r="144" spans="2:6" ht="14.45">
      <c r="B144" s="2">
        <v>46023</v>
      </c>
      <c r="C144" s="18"/>
      <c r="D144" s="19"/>
    </row>
    <row r="145" spans="2:6" ht="14.45">
      <c r="B145" s="2">
        <v>46054</v>
      </c>
      <c r="C145" s="18"/>
      <c r="D145" s="19"/>
    </row>
    <row r="146" spans="2:6" ht="14.45">
      <c r="B146" s="2">
        <v>46082</v>
      </c>
      <c r="C146" s="18"/>
      <c r="D146" s="23"/>
    </row>
    <row r="147" spans="2:6" ht="14.45">
      <c r="B147" s="2">
        <v>46113</v>
      </c>
      <c r="C147" s="18"/>
      <c r="D147" s="23"/>
    </row>
    <row r="148" spans="2:6" ht="14.45">
      <c r="B148" s="2">
        <v>46143</v>
      </c>
      <c r="C148" s="18"/>
      <c r="D148" s="23"/>
    </row>
    <row r="149" spans="2:6" ht="14.45">
      <c r="B149" s="2">
        <v>46174</v>
      </c>
      <c r="C149" s="18"/>
      <c r="D149" s="23"/>
      <c r="F149" s="4">
        <f>SUM(C144:D155)</f>
        <v>0</v>
      </c>
    </row>
    <row r="150" spans="2:6" ht="14.45">
      <c r="B150" s="2">
        <v>46204</v>
      </c>
      <c r="C150" s="18"/>
      <c r="D150" s="23"/>
    </row>
    <row r="151" spans="2:6" ht="14.45">
      <c r="B151" s="2">
        <v>46235</v>
      </c>
      <c r="C151" s="18"/>
      <c r="D151" s="23"/>
    </row>
    <row r="152" spans="2:6" ht="14.45">
      <c r="B152" s="2">
        <v>46266</v>
      </c>
      <c r="C152" s="18"/>
      <c r="D152" s="23"/>
    </row>
    <row r="153" spans="2:6" ht="14.45">
      <c r="B153" s="2">
        <v>46296</v>
      </c>
      <c r="C153" s="18"/>
      <c r="D153" s="23"/>
    </row>
    <row r="154" spans="2:6" ht="14.45">
      <c r="B154" s="2">
        <v>46327</v>
      </c>
      <c r="C154" s="18"/>
      <c r="D154" s="23"/>
    </row>
    <row r="155" spans="2:6" ht="14.45">
      <c r="B155" s="2">
        <v>46357</v>
      </c>
      <c r="C155" s="18"/>
      <c r="D155" s="23"/>
    </row>
    <row r="162" spans="2:4" ht="14.45">
      <c r="B162" s="3" t="s">
        <v>18</v>
      </c>
      <c r="C162" s="26">
        <f>SUM(F9+F22+F37+F52+F67+F82+F97+F117+F130+F149+J107+O107)</f>
        <v>537742.48</v>
      </c>
      <c r="D162" s="27"/>
    </row>
  </sheetData>
  <mergeCells count="160">
    <mergeCell ref="C155:D155"/>
    <mergeCell ref="C162:D162"/>
    <mergeCell ref="C149:D149"/>
    <mergeCell ref="C150:D150"/>
    <mergeCell ref="C151:D151"/>
    <mergeCell ref="C152:D152"/>
    <mergeCell ref="C153:D153"/>
    <mergeCell ref="C154:D154"/>
    <mergeCell ref="B143:D143"/>
    <mergeCell ref="C144:D144"/>
    <mergeCell ref="C145:D145"/>
    <mergeCell ref="C146:D146"/>
    <mergeCell ref="C147:D147"/>
    <mergeCell ref="C148:D148"/>
    <mergeCell ref="C134:D134"/>
    <mergeCell ref="C135:D135"/>
    <mergeCell ref="C136:D136"/>
    <mergeCell ref="C137:D137"/>
    <mergeCell ref="C138:D138"/>
    <mergeCell ref="C139:D139"/>
    <mergeCell ref="C128:D128"/>
    <mergeCell ref="C129:D129"/>
    <mergeCell ref="C130:D130"/>
    <mergeCell ref="C131:D131"/>
    <mergeCell ref="C132:D132"/>
    <mergeCell ref="C133:D133"/>
    <mergeCell ref="C119:D119"/>
    <mergeCell ref="C120:D120"/>
    <mergeCell ref="C121:D121"/>
    <mergeCell ref="C122:D122"/>
    <mergeCell ref="C123:D123"/>
    <mergeCell ref="B127:D127"/>
    <mergeCell ref="C113:D113"/>
    <mergeCell ref="C114:D114"/>
    <mergeCell ref="C115:D115"/>
    <mergeCell ref="C116:D116"/>
    <mergeCell ref="C117:D117"/>
    <mergeCell ref="C118:D118"/>
    <mergeCell ref="C106:D106"/>
    <mergeCell ref="J106:K106"/>
    <mergeCell ref="O106:P106"/>
    <mergeCell ref="J107:K107"/>
    <mergeCell ref="B111:D111"/>
    <mergeCell ref="C112:D112"/>
    <mergeCell ref="C104:D104"/>
    <mergeCell ref="J104:K104"/>
    <mergeCell ref="O104:P104"/>
    <mergeCell ref="C105:D105"/>
    <mergeCell ref="J105:K105"/>
    <mergeCell ref="O105:P105"/>
    <mergeCell ref="C102:D102"/>
    <mergeCell ref="J102:K102"/>
    <mergeCell ref="O102:P102"/>
    <mergeCell ref="C103:D103"/>
    <mergeCell ref="J103:K103"/>
    <mergeCell ref="O103:P103"/>
    <mergeCell ref="C100:D100"/>
    <mergeCell ref="J100:K100"/>
    <mergeCell ref="O100:P100"/>
    <mergeCell ref="C101:D101"/>
    <mergeCell ref="J101:K101"/>
    <mergeCell ref="O101:P101"/>
    <mergeCell ref="C98:D98"/>
    <mergeCell ref="J98:K98"/>
    <mergeCell ref="O98:P98"/>
    <mergeCell ref="C99:D99"/>
    <mergeCell ref="J99:K99"/>
    <mergeCell ref="O99:P99"/>
    <mergeCell ref="C96:D96"/>
    <mergeCell ref="J96:K96"/>
    <mergeCell ref="O96:P96"/>
    <mergeCell ref="C97:D97"/>
    <mergeCell ref="J97:K97"/>
    <mergeCell ref="O97:P97"/>
    <mergeCell ref="C90:D90"/>
    <mergeCell ref="C91:D91"/>
    <mergeCell ref="B94:D94"/>
    <mergeCell ref="I94:K94"/>
    <mergeCell ref="N94:P94"/>
    <mergeCell ref="C95:D95"/>
    <mergeCell ref="J95:K95"/>
    <mergeCell ref="O95:P95"/>
    <mergeCell ref="C84:D84"/>
    <mergeCell ref="C85:D85"/>
    <mergeCell ref="C86:D86"/>
    <mergeCell ref="C87:D87"/>
    <mergeCell ref="C88:D88"/>
    <mergeCell ref="C89:D89"/>
    <mergeCell ref="C76:D76"/>
    <mergeCell ref="B79:D79"/>
    <mergeCell ref="C80:D80"/>
    <mergeCell ref="C81:D81"/>
    <mergeCell ref="C82:D82"/>
    <mergeCell ref="C83:D83"/>
    <mergeCell ref="C70:D70"/>
    <mergeCell ref="C71:D71"/>
    <mergeCell ref="C72:D72"/>
    <mergeCell ref="C73:D73"/>
    <mergeCell ref="C74:D74"/>
    <mergeCell ref="C75:D75"/>
    <mergeCell ref="B64:D64"/>
    <mergeCell ref="C65:D65"/>
    <mergeCell ref="C66:D66"/>
    <mergeCell ref="C67:D67"/>
    <mergeCell ref="C68:D68"/>
    <mergeCell ref="C69:D69"/>
    <mergeCell ref="C56:D56"/>
    <mergeCell ref="C57:D57"/>
    <mergeCell ref="C58:D58"/>
    <mergeCell ref="C59:D59"/>
    <mergeCell ref="C60:D60"/>
    <mergeCell ref="C61:D61"/>
    <mergeCell ref="C50:D50"/>
    <mergeCell ref="C51:D51"/>
    <mergeCell ref="C52:D52"/>
    <mergeCell ref="C53:D53"/>
    <mergeCell ref="C54:D54"/>
    <mergeCell ref="C55:D55"/>
    <mergeCell ref="C42:D42"/>
    <mergeCell ref="C43:D43"/>
    <mergeCell ref="C44:D44"/>
    <mergeCell ref="C45:D45"/>
    <mergeCell ref="C46:D46"/>
    <mergeCell ref="B49:D49"/>
    <mergeCell ref="C36:D36"/>
    <mergeCell ref="C37:D37"/>
    <mergeCell ref="C38:D38"/>
    <mergeCell ref="C39:D39"/>
    <mergeCell ref="C40:D40"/>
    <mergeCell ref="C41:D41"/>
    <mergeCell ref="C28:D28"/>
    <mergeCell ref="C29:D29"/>
    <mergeCell ref="C30:D30"/>
    <mergeCell ref="C31:D31"/>
    <mergeCell ref="B34:D34"/>
    <mergeCell ref="C35:D35"/>
    <mergeCell ref="C22:D22"/>
    <mergeCell ref="C23:D23"/>
    <mergeCell ref="C24:D24"/>
    <mergeCell ref="C25:D25"/>
    <mergeCell ref="C26:D26"/>
    <mergeCell ref="C27:D27"/>
    <mergeCell ref="C14:D14"/>
    <mergeCell ref="C15:D15"/>
    <mergeCell ref="C16:D16"/>
    <mergeCell ref="B19:D19"/>
    <mergeCell ref="C20:D20"/>
    <mergeCell ref="C21:D21"/>
    <mergeCell ref="C8:D8"/>
    <mergeCell ref="C9:D9"/>
    <mergeCell ref="C10:D10"/>
    <mergeCell ref="C11:D11"/>
    <mergeCell ref="C12:D12"/>
    <mergeCell ref="C13:D13"/>
    <mergeCell ref="B2:D2"/>
    <mergeCell ref="C3:D3"/>
    <mergeCell ref="B4:E4"/>
    <mergeCell ref="C5:D5"/>
    <mergeCell ref="C6:D6"/>
    <mergeCell ref="C7:D7"/>
  </mergeCells>
  <conditionalFormatting sqref="B18">
    <cfRule type="uniqu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3085-85C2-4E3C-98FD-01CE94F157A9}">
  <dimension ref="B2:W162"/>
  <sheetViews>
    <sheetView topLeftCell="A93" zoomScale="88" workbookViewId="0">
      <selection activeCell="C173" sqref="A173:XFD173"/>
    </sheetView>
  </sheetViews>
  <sheetFormatPr defaultRowHeight="15" customHeight="1"/>
  <cols>
    <col min="2" max="2" width="15.5703125" customWidth="1"/>
    <col min="3" max="3" width="10.28515625" customWidth="1"/>
    <col min="4" max="4" width="23.42578125" customWidth="1"/>
    <col min="5" max="5" width="11.5703125" bestFit="1" customWidth="1"/>
    <col min="6" max="6" width="15.7109375" customWidth="1"/>
    <col min="9" max="9" width="10.42578125" bestFit="1" customWidth="1"/>
    <col min="10" max="10" width="12.7109375" customWidth="1"/>
    <col min="11" max="14" width="11.5703125" bestFit="1" customWidth="1"/>
    <col min="15" max="15" width="12.7109375" bestFit="1" customWidth="1"/>
    <col min="16" max="17" width="11.5703125" bestFit="1" customWidth="1"/>
    <col min="18" max="18" width="12.5703125" customWidth="1"/>
    <col min="19" max="19" width="11.7109375" bestFit="1" customWidth="1"/>
    <col min="20" max="20" width="12.5703125" customWidth="1"/>
    <col min="21" max="21" width="12.42578125" customWidth="1"/>
    <col min="22" max="22" width="13.28515625" customWidth="1"/>
    <col min="23" max="23" width="13.7109375" customWidth="1"/>
  </cols>
  <sheetData>
    <row r="2" spans="2:23" ht="14.45">
      <c r="B2" s="16" t="s">
        <v>0</v>
      </c>
      <c r="C2" s="16"/>
      <c r="D2" s="16"/>
      <c r="E2" s="3"/>
    </row>
    <row r="3" spans="2:23" ht="14.45">
      <c r="B3" s="1"/>
      <c r="C3" s="17" t="s">
        <v>1</v>
      </c>
      <c r="D3" s="17"/>
      <c r="E3" s="1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</row>
    <row r="4" spans="2:23" ht="14.45">
      <c r="B4" s="15" t="s">
        <v>2</v>
      </c>
      <c r="C4" s="15"/>
      <c r="D4" s="15"/>
      <c r="E4" s="1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8"/>
    </row>
    <row r="5" spans="2:23" ht="14.45">
      <c r="B5" s="2">
        <v>45658</v>
      </c>
      <c r="C5" s="14">
        <v>41430</v>
      </c>
      <c r="D5" s="15"/>
      <c r="E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2:23" ht="14.45">
      <c r="B6" s="2">
        <v>45689</v>
      </c>
      <c r="C6" s="14">
        <v>41430</v>
      </c>
      <c r="D6" s="15"/>
      <c r="E6" s="10"/>
    </row>
    <row r="7" spans="2:23" ht="14.45">
      <c r="B7" s="2">
        <v>45717</v>
      </c>
      <c r="C7" s="14">
        <v>41430</v>
      </c>
      <c r="D7" s="15"/>
      <c r="E7" s="10"/>
    </row>
    <row r="8" spans="2:23" ht="14.45">
      <c r="B8" s="2">
        <v>45748</v>
      </c>
      <c r="C8" s="14">
        <v>41430</v>
      </c>
      <c r="D8" s="15"/>
      <c r="E8" s="10"/>
    </row>
    <row r="9" spans="2:23" ht="14.45">
      <c r="B9" s="2">
        <v>45778</v>
      </c>
      <c r="C9" s="14">
        <v>41430</v>
      </c>
      <c r="D9" s="15"/>
      <c r="E9" s="10"/>
      <c r="F9" s="4">
        <f>SUM(C5:D16)</f>
        <v>522515.62299999996</v>
      </c>
    </row>
    <row r="10" spans="2:23" ht="14.45">
      <c r="B10" s="2">
        <v>45809</v>
      </c>
      <c r="C10" s="14">
        <v>44010</v>
      </c>
      <c r="D10" s="15"/>
      <c r="E10" s="10"/>
      <c r="J10" t="s">
        <v>3</v>
      </c>
      <c r="K10" t="s">
        <v>4</v>
      </c>
      <c r="N10" t="s">
        <v>5</v>
      </c>
    </row>
    <row r="11" spans="2:23" ht="14.45">
      <c r="B11" s="2">
        <v>45839</v>
      </c>
      <c r="C11" s="14">
        <v>44936.99</v>
      </c>
      <c r="D11" s="15"/>
      <c r="E11" s="10"/>
      <c r="I11" s="9">
        <v>45658</v>
      </c>
      <c r="J11" s="4">
        <f>C5+C20+O95</f>
        <v>94157.5</v>
      </c>
      <c r="K11" s="4">
        <f>J95</f>
        <v>0</v>
      </c>
      <c r="N11">
        <v>113</v>
      </c>
      <c r="O11" s="4">
        <f>J11/N11</f>
        <v>833.25221238938047</v>
      </c>
    </row>
    <row r="12" spans="2:23" ht="14.45">
      <c r="B12" s="2">
        <v>45870</v>
      </c>
      <c r="C12" s="14">
        <v>44930</v>
      </c>
      <c r="D12" s="15"/>
      <c r="E12" s="10"/>
      <c r="I12" s="9">
        <v>45689</v>
      </c>
      <c r="J12" s="4">
        <f>C6+C21+O96</f>
        <v>98309.98</v>
      </c>
      <c r="K12" s="4">
        <f t="shared" ref="K12:K22" si="0">J96</f>
        <v>0</v>
      </c>
    </row>
    <row r="13" spans="2:23" ht="14.45">
      <c r="B13" s="2">
        <v>45901</v>
      </c>
      <c r="C13" s="14">
        <v>45015.642999999996</v>
      </c>
      <c r="D13" s="15"/>
      <c r="E13" s="10"/>
      <c r="I13" s="9">
        <v>45717</v>
      </c>
      <c r="J13" s="4">
        <f t="shared" ref="J13:J20" si="1">C7+C22+O97</f>
        <v>98416.78</v>
      </c>
      <c r="K13" s="4">
        <f t="shared" si="0"/>
        <v>55400</v>
      </c>
    </row>
    <row r="14" spans="2:23" ht="14.45">
      <c r="B14" s="2">
        <v>45931</v>
      </c>
      <c r="C14" s="14">
        <v>45159.46</v>
      </c>
      <c r="D14" s="15"/>
      <c r="E14" s="10"/>
      <c r="I14" s="9">
        <v>45748</v>
      </c>
      <c r="J14" s="4">
        <f t="shared" si="1"/>
        <v>114511.81</v>
      </c>
      <c r="K14" s="4">
        <f>J98</f>
        <v>48000</v>
      </c>
    </row>
    <row r="15" spans="2:23" ht="14.45">
      <c r="B15" s="2">
        <v>45962</v>
      </c>
      <c r="C15" s="14">
        <v>45160.800000000003</v>
      </c>
      <c r="D15" s="15"/>
      <c r="E15" s="10"/>
      <c r="I15" s="9">
        <v>45778</v>
      </c>
      <c r="J15" s="4">
        <f t="shared" si="1"/>
        <v>96217.38</v>
      </c>
      <c r="K15" s="4">
        <f t="shared" si="0"/>
        <v>0</v>
      </c>
    </row>
    <row r="16" spans="2:23" ht="14.45">
      <c r="B16" s="2">
        <v>45992</v>
      </c>
      <c r="C16" s="14">
        <v>46152.73</v>
      </c>
      <c r="D16" s="15"/>
      <c r="E16" s="10"/>
      <c r="I16" s="9">
        <v>45809</v>
      </c>
      <c r="J16" s="4">
        <f t="shared" si="1"/>
        <v>103529.15</v>
      </c>
      <c r="K16" s="4">
        <f t="shared" si="0"/>
        <v>48000</v>
      </c>
    </row>
    <row r="17" spans="2:11" ht="14.45">
      <c r="B17" s="9"/>
      <c r="C17" s="5"/>
      <c r="D17" s="6"/>
      <c r="E17" s="11"/>
      <c r="I17" s="9">
        <v>45839</v>
      </c>
      <c r="J17" s="4">
        <f t="shared" si="1"/>
        <v>101696.33</v>
      </c>
      <c r="K17" s="4">
        <f t="shared" si="0"/>
        <v>0</v>
      </c>
    </row>
    <row r="18" spans="2:11" ht="14.45">
      <c r="I18" s="9">
        <v>45870</v>
      </c>
      <c r="J18" s="4">
        <f t="shared" si="1"/>
        <v>98586.43</v>
      </c>
      <c r="K18" s="4">
        <f t="shared" si="0"/>
        <v>0</v>
      </c>
    </row>
    <row r="19" spans="2:11" ht="14.45">
      <c r="B19" s="20" t="s">
        <v>6</v>
      </c>
      <c r="C19" s="21"/>
      <c r="D19" s="22"/>
      <c r="I19" s="9">
        <v>45901</v>
      </c>
      <c r="J19" s="4">
        <f t="shared" si="1"/>
        <v>100248.34299999999</v>
      </c>
      <c r="K19" s="4">
        <f t="shared" si="0"/>
        <v>48000</v>
      </c>
    </row>
    <row r="20" spans="2:11" ht="14.45">
      <c r="B20" s="2">
        <v>45658</v>
      </c>
      <c r="C20" s="18">
        <f>11949.03+1459.08+319.39</f>
        <v>13727.5</v>
      </c>
      <c r="D20" s="19"/>
      <c r="I20" s="9">
        <v>45931</v>
      </c>
      <c r="J20" s="4">
        <f t="shared" si="1"/>
        <v>112389.52</v>
      </c>
      <c r="K20" s="4">
        <f t="shared" si="0"/>
        <v>0</v>
      </c>
    </row>
    <row r="21" spans="2:11" ht="14.45">
      <c r="B21" s="2">
        <v>45689</v>
      </c>
      <c r="C21" s="18">
        <f>14456.16+2124.54+1142.32+156.96</f>
        <v>17879.98</v>
      </c>
      <c r="D21" s="19"/>
      <c r="I21" s="9">
        <v>45962</v>
      </c>
      <c r="J21" s="4">
        <f>C15+C30+O105</f>
        <v>98335.34</v>
      </c>
      <c r="K21" s="4">
        <f t="shared" si="0"/>
        <v>0</v>
      </c>
    </row>
    <row r="22" spans="2:11" ht="14.45">
      <c r="B22" s="2">
        <v>45717</v>
      </c>
      <c r="C22" s="18">
        <f>15660.94+895.86+1429.98</f>
        <v>17986.78</v>
      </c>
      <c r="D22" s="19"/>
      <c r="F22" s="4">
        <f>SUM(C20:D31)</f>
        <v>227049.24000000002</v>
      </c>
      <c r="I22" s="9">
        <v>45992</v>
      </c>
      <c r="J22" s="4">
        <f>C16+C31+O106</f>
        <v>101916.3</v>
      </c>
      <c r="K22" s="4">
        <f t="shared" si="0"/>
        <v>0</v>
      </c>
    </row>
    <row r="23" spans="2:11" ht="14.45">
      <c r="B23" s="2">
        <v>45748</v>
      </c>
      <c r="C23" s="18">
        <f>31632.79+899.52+1404.78+144.72</f>
        <v>34081.810000000005</v>
      </c>
      <c r="D23" s="19"/>
      <c r="F23" s="4"/>
      <c r="I23" s="9"/>
    </row>
    <row r="24" spans="2:11" ht="14.45">
      <c r="B24" s="2">
        <v>45778</v>
      </c>
      <c r="C24" s="18">
        <f>14482.01+1222.32+83.05</f>
        <v>15787.38</v>
      </c>
      <c r="D24" s="19"/>
      <c r="F24" s="4"/>
      <c r="I24" s="9"/>
    </row>
    <row r="25" spans="2:11" ht="14.45">
      <c r="B25" s="2">
        <v>45809</v>
      </c>
      <c r="C25" s="18">
        <f>16963.02+1765.44+749.18+291.51</f>
        <v>19769.149999999998</v>
      </c>
      <c r="D25" s="19"/>
      <c r="F25" s="4"/>
    </row>
    <row r="26" spans="2:11" ht="14.45">
      <c r="B26" s="2">
        <v>45839</v>
      </c>
      <c r="C26" s="18">
        <f>14276.19+2577.99+727.77+177.39</f>
        <v>17759.34</v>
      </c>
      <c r="D26" s="19"/>
      <c r="F26" s="4"/>
    </row>
    <row r="27" spans="2:11" ht="14.45">
      <c r="B27" s="2">
        <v>45870</v>
      </c>
      <c r="C27" s="18">
        <f>13844.26+812.17</f>
        <v>14656.43</v>
      </c>
      <c r="D27" s="19"/>
      <c r="F27" s="4"/>
    </row>
    <row r="28" spans="2:11" ht="14.45">
      <c r="B28" s="2">
        <v>45901</v>
      </c>
      <c r="C28" s="18">
        <f>11947.75+3241.73+981.58+61.64</f>
        <v>16232.699999999999</v>
      </c>
      <c r="D28" s="19"/>
      <c r="F28" s="4"/>
    </row>
    <row r="29" spans="2:11" ht="14.45">
      <c r="B29" s="2">
        <v>45931</v>
      </c>
      <c r="C29" s="18">
        <f>25663.46+1489.5+850.29+226.81</f>
        <v>28230.06</v>
      </c>
      <c r="D29" s="19"/>
      <c r="F29" s="4"/>
    </row>
    <row r="30" spans="2:11" ht="14.45">
      <c r="B30" s="2">
        <v>45962</v>
      </c>
      <c r="C30" s="18">
        <f>13224.12+950.42</f>
        <v>14174.54</v>
      </c>
      <c r="D30" s="19"/>
      <c r="F30" s="4"/>
    </row>
    <row r="31" spans="2:11" ht="14.45">
      <c r="B31" s="2">
        <v>45992</v>
      </c>
      <c r="C31" s="18">
        <v>16763.57</v>
      </c>
      <c r="D31" s="19"/>
      <c r="F31" s="4"/>
    </row>
    <row r="32" spans="2:11" ht="14.45">
      <c r="B32" s="9"/>
      <c r="C32" s="5"/>
      <c r="D32" s="6"/>
      <c r="F32" s="4"/>
    </row>
    <row r="34" spans="2:9" ht="14.45">
      <c r="B34" s="20" t="s">
        <v>7</v>
      </c>
      <c r="C34" s="21"/>
      <c r="D34" s="22"/>
    </row>
    <row r="35" spans="2:9" ht="14.45">
      <c r="B35" s="2">
        <v>45658</v>
      </c>
      <c r="C35" s="18">
        <f>12457.03+9.96+35</f>
        <v>12501.99</v>
      </c>
      <c r="D35" s="19"/>
    </row>
    <row r="36" spans="2:9" ht="14.45">
      <c r="B36" s="2">
        <v>45689</v>
      </c>
      <c r="C36" s="18">
        <f>11977.68+9.96+35</f>
        <v>12022.64</v>
      </c>
      <c r="D36" s="19"/>
    </row>
    <row r="37" spans="2:9" ht="14.45">
      <c r="B37" s="2">
        <v>45717</v>
      </c>
      <c r="C37" s="18">
        <f>11191.45+9.96+35</f>
        <v>11236.41</v>
      </c>
      <c r="D37" s="19"/>
      <c r="F37" s="4">
        <f>SUM(C35:D46)</f>
        <v>119711.46999999997</v>
      </c>
    </row>
    <row r="38" spans="2:9" ht="14.45">
      <c r="B38" s="2">
        <v>45748</v>
      </c>
      <c r="C38" s="18">
        <f>9172.56+9.96+35</f>
        <v>9217.5199999999986</v>
      </c>
      <c r="D38" s="19"/>
      <c r="F38" s="4"/>
      <c r="I38" s="4"/>
    </row>
    <row r="39" spans="2:9" ht="14.45">
      <c r="B39" s="2">
        <v>45778</v>
      </c>
      <c r="C39" s="18">
        <f>9654.35+9.96+35</f>
        <v>9699.31</v>
      </c>
      <c r="D39" s="19"/>
      <c r="F39" s="4"/>
      <c r="I39" s="4"/>
    </row>
    <row r="40" spans="2:9" ht="14.45">
      <c r="B40" s="2">
        <v>45809</v>
      </c>
      <c r="C40" s="18">
        <f>9150.55+9.96+35</f>
        <v>9195.5099999999984</v>
      </c>
      <c r="D40" s="19"/>
      <c r="F40" s="4"/>
    </row>
    <row r="41" spans="2:9" ht="14.45">
      <c r="B41" s="2">
        <v>45839</v>
      </c>
      <c r="C41" s="18">
        <f>9295.99+9.96+35</f>
        <v>9340.9499999999989</v>
      </c>
      <c r="D41" s="19"/>
      <c r="F41" s="4"/>
    </row>
    <row r="42" spans="2:9" ht="14.45">
      <c r="B42" s="2">
        <v>45870</v>
      </c>
      <c r="C42" s="18">
        <f>9150.55+9.96+35</f>
        <v>9195.5099999999984</v>
      </c>
      <c r="D42" s="19"/>
      <c r="F42" s="4"/>
    </row>
    <row r="43" spans="2:9" ht="14.45">
      <c r="B43" s="2">
        <v>45901</v>
      </c>
      <c r="C43" s="18">
        <f>9451.98+9.96+35</f>
        <v>9496.9399999999987</v>
      </c>
      <c r="D43" s="19"/>
      <c r="F43" s="4"/>
    </row>
    <row r="44" spans="2:9" ht="14.45">
      <c r="B44" s="2">
        <v>45931</v>
      </c>
      <c r="C44" s="18">
        <f>9251.22+9.96+35</f>
        <v>9296.1799999999985</v>
      </c>
      <c r="D44" s="19"/>
      <c r="F44" s="4"/>
    </row>
    <row r="45" spans="2:9" ht="14.45">
      <c r="B45" s="2">
        <v>45962</v>
      </c>
      <c r="C45" s="18">
        <f>9174.54+35+9.96</f>
        <v>9219.5</v>
      </c>
      <c r="D45" s="19"/>
      <c r="F45" s="4"/>
    </row>
    <row r="46" spans="2:9" ht="14.45">
      <c r="B46" s="2">
        <v>45992</v>
      </c>
      <c r="C46" s="18">
        <f>9244.05+9.96+35</f>
        <v>9289.0099999999984</v>
      </c>
      <c r="D46" s="19"/>
      <c r="F46" s="4"/>
    </row>
    <row r="47" spans="2:9" ht="14.45">
      <c r="B47" s="9"/>
      <c r="C47" s="5"/>
      <c r="D47" s="6"/>
      <c r="F47" s="4"/>
    </row>
    <row r="49" spans="2:6" ht="14.45">
      <c r="B49" s="20" t="s">
        <v>8</v>
      </c>
      <c r="C49" s="21"/>
      <c r="D49" s="22"/>
    </row>
    <row r="50" spans="2:6" ht="14.45">
      <c r="B50" s="2">
        <v>45658</v>
      </c>
      <c r="C50" s="18">
        <v>52735.51</v>
      </c>
      <c r="D50" s="23"/>
    </row>
    <row r="51" spans="2:6" ht="14.45">
      <c r="B51" s="2">
        <v>45689</v>
      </c>
      <c r="C51" s="18">
        <v>47448.62</v>
      </c>
      <c r="D51" s="23"/>
    </row>
    <row r="52" spans="2:6" ht="14.45">
      <c r="B52" s="2">
        <v>45717</v>
      </c>
      <c r="C52" s="18">
        <v>47448.62</v>
      </c>
      <c r="D52" s="23"/>
      <c r="F52" s="4">
        <f>SUM(C50:D61)</f>
        <v>617587.11</v>
      </c>
    </row>
    <row r="53" spans="2:6" ht="14.45">
      <c r="B53" s="2">
        <v>45748</v>
      </c>
      <c r="C53" s="18">
        <v>47448.62</v>
      </c>
      <c r="D53" s="23"/>
      <c r="F53" s="4"/>
    </row>
    <row r="54" spans="2:6" ht="14.45">
      <c r="B54" s="2">
        <v>45778</v>
      </c>
      <c r="C54" s="18">
        <v>49813.94</v>
      </c>
      <c r="D54" s="23"/>
      <c r="F54" s="4"/>
    </row>
    <row r="55" spans="2:6" ht="14.45">
      <c r="B55" s="2">
        <v>45809</v>
      </c>
      <c r="C55" s="18">
        <v>50602.38</v>
      </c>
      <c r="D55" s="23"/>
      <c r="F55" s="4"/>
    </row>
    <row r="56" spans="2:6" ht="14.45">
      <c r="B56" s="2">
        <v>45839</v>
      </c>
      <c r="C56" s="18">
        <v>51390.82</v>
      </c>
      <c r="D56" s="23"/>
      <c r="F56" s="4"/>
    </row>
    <row r="57" spans="2:6" ht="14.45">
      <c r="B57" s="2">
        <v>45870</v>
      </c>
      <c r="C57" s="18">
        <v>52967.7</v>
      </c>
      <c r="D57" s="23"/>
      <c r="F57" s="4"/>
    </row>
    <row r="58" spans="2:6" ht="14.45">
      <c r="B58" s="2">
        <v>45901</v>
      </c>
      <c r="C58" s="18">
        <v>53738.63</v>
      </c>
      <c r="D58" s="23"/>
      <c r="F58" s="4"/>
    </row>
    <row r="59" spans="2:6" ht="14.45">
      <c r="B59" s="2">
        <v>45931</v>
      </c>
      <c r="C59" s="18">
        <v>53065.01</v>
      </c>
      <c r="D59" s="23"/>
      <c r="F59" s="4"/>
    </row>
    <row r="60" spans="2:6" ht="14.45">
      <c r="B60" s="2">
        <v>45962</v>
      </c>
      <c r="C60" s="18">
        <v>55463.63</v>
      </c>
      <c r="D60" s="23"/>
      <c r="F60" s="4"/>
    </row>
    <row r="61" spans="2:6" ht="14.45">
      <c r="B61" s="2">
        <v>45992</v>
      </c>
      <c r="C61" s="18">
        <v>55463.63</v>
      </c>
      <c r="D61" s="23"/>
      <c r="F61" s="4"/>
    </row>
    <row r="64" spans="2:6" ht="14.45">
      <c r="B64" s="20" t="s">
        <v>9</v>
      </c>
      <c r="C64" s="21"/>
      <c r="D64" s="22"/>
    </row>
    <row r="65" spans="2:6" ht="14.45">
      <c r="B65" s="2">
        <v>45658</v>
      </c>
      <c r="C65" s="18">
        <v>9798.5300000000007</v>
      </c>
      <c r="D65" s="19"/>
    </row>
    <row r="66" spans="2:6" ht="14.45">
      <c r="B66" s="2">
        <v>45689</v>
      </c>
      <c r="C66" s="18">
        <v>10568.79</v>
      </c>
      <c r="D66" s="19"/>
    </row>
    <row r="67" spans="2:6" ht="14.45">
      <c r="B67" s="2">
        <v>45717</v>
      </c>
      <c r="C67" s="18">
        <v>10655.5</v>
      </c>
      <c r="D67" s="23"/>
      <c r="F67" s="4">
        <f>SUM(C65:D76)</f>
        <v>117903.48</v>
      </c>
    </row>
    <row r="68" spans="2:6" ht="14.45">
      <c r="B68" s="2">
        <v>45748</v>
      </c>
      <c r="C68" s="18">
        <v>10655.94</v>
      </c>
      <c r="D68" s="23"/>
    </row>
    <row r="69" spans="2:6" ht="14.45">
      <c r="B69" s="2">
        <v>45778</v>
      </c>
      <c r="C69" s="18">
        <v>11499.86</v>
      </c>
      <c r="D69" s="23"/>
    </row>
    <row r="70" spans="2:6" ht="14.45">
      <c r="B70" s="2">
        <v>45809</v>
      </c>
      <c r="C70" s="18">
        <v>10957.66</v>
      </c>
      <c r="D70" s="23"/>
    </row>
    <row r="71" spans="2:6" ht="14.45">
      <c r="B71" s="2">
        <v>45839</v>
      </c>
      <c r="C71" s="18">
        <v>11690.16</v>
      </c>
      <c r="D71" s="23"/>
    </row>
    <row r="72" spans="2:6" ht="14.45">
      <c r="B72" s="2">
        <v>45870</v>
      </c>
      <c r="C72" s="18">
        <v>10534.26</v>
      </c>
      <c r="D72" s="23"/>
    </row>
    <row r="73" spans="2:6" ht="14.45">
      <c r="B73" s="2">
        <v>45901</v>
      </c>
      <c r="C73" s="18">
        <v>7435.25</v>
      </c>
      <c r="D73" s="23"/>
    </row>
    <row r="74" spans="2:6" ht="14.45">
      <c r="B74" s="2">
        <v>45931</v>
      </c>
      <c r="C74" s="18">
        <v>9268.44</v>
      </c>
      <c r="D74" s="23"/>
    </row>
    <row r="75" spans="2:6" ht="14.45">
      <c r="B75" s="2">
        <v>45962</v>
      </c>
      <c r="C75" s="18">
        <v>6758.75</v>
      </c>
      <c r="D75" s="23"/>
    </row>
    <row r="76" spans="2:6" ht="14.45">
      <c r="B76" s="2">
        <v>45992</v>
      </c>
      <c r="C76" s="18">
        <v>8080.34</v>
      </c>
      <c r="D76" s="23"/>
    </row>
    <row r="77" spans="2:6" ht="14.45">
      <c r="B77" s="9"/>
      <c r="C77" s="5"/>
      <c r="D77" s="5"/>
    </row>
    <row r="78" spans="2:6" ht="14.45">
      <c r="B78" s="9"/>
      <c r="C78" s="5"/>
      <c r="D78" s="5"/>
    </row>
    <row r="79" spans="2:6" ht="14.45">
      <c r="B79" s="20" t="s">
        <v>10</v>
      </c>
      <c r="C79" s="21"/>
      <c r="D79" s="22"/>
    </row>
    <row r="80" spans="2:6" ht="14.45">
      <c r="B80" s="2">
        <v>45658</v>
      </c>
      <c r="C80" s="18"/>
      <c r="D80" s="19"/>
    </row>
    <row r="81" spans="2:16" ht="14.45">
      <c r="B81" s="2">
        <v>45689</v>
      </c>
      <c r="C81" s="18"/>
      <c r="D81" s="19"/>
    </row>
    <row r="82" spans="2:16" ht="14.45">
      <c r="B82" s="2">
        <v>45717</v>
      </c>
      <c r="C82" s="18"/>
      <c r="D82" s="23"/>
      <c r="F82" s="4">
        <f>SUM(C80:D91)</f>
        <v>56040</v>
      </c>
    </row>
    <row r="83" spans="2:16" ht="14.45">
      <c r="B83" s="2">
        <v>45748</v>
      </c>
      <c r="C83" s="18"/>
      <c r="D83" s="23"/>
    </row>
    <row r="84" spans="2:16" ht="14.45">
      <c r="B84" s="2">
        <v>45778</v>
      </c>
      <c r="C84" s="18"/>
      <c r="D84" s="23"/>
    </row>
    <row r="85" spans="2:16" ht="14.45">
      <c r="B85" s="2">
        <v>45809</v>
      </c>
      <c r="C85" s="18"/>
      <c r="D85" s="23"/>
    </row>
    <row r="86" spans="2:16" ht="14.45">
      <c r="B86" s="2">
        <v>45839</v>
      </c>
      <c r="C86" s="18"/>
      <c r="D86" s="23"/>
    </row>
    <row r="87" spans="2:16" ht="14.45">
      <c r="B87" s="2">
        <v>45870</v>
      </c>
      <c r="C87" s="18"/>
      <c r="D87" s="23"/>
    </row>
    <row r="88" spans="2:16" ht="14.45">
      <c r="B88" s="2">
        <v>45901</v>
      </c>
      <c r="C88" s="18">
        <v>56040</v>
      </c>
      <c r="D88" s="23"/>
    </row>
    <row r="89" spans="2:16" ht="14.45">
      <c r="B89" s="2">
        <v>45931</v>
      </c>
      <c r="C89" s="18"/>
      <c r="D89" s="23"/>
      <c r="G89" s="12">
        <v>22700</v>
      </c>
      <c r="H89" s="13"/>
    </row>
    <row r="90" spans="2:16" ht="14.45">
      <c r="B90" s="2">
        <v>45962</v>
      </c>
      <c r="C90" s="18"/>
      <c r="D90" s="23"/>
    </row>
    <row r="91" spans="2:16" ht="14.45">
      <c r="B91" s="2">
        <v>45992</v>
      </c>
      <c r="C91" s="18"/>
      <c r="D91" s="23"/>
    </row>
    <row r="92" spans="2:16" ht="15.75" customHeight="1">
      <c r="B92" s="9"/>
      <c r="C92" s="5"/>
      <c r="D92" s="5"/>
    </row>
    <row r="93" spans="2:16" ht="15.75" customHeight="1">
      <c r="B93" s="9"/>
      <c r="C93" s="5"/>
      <c r="D93" s="5"/>
    </row>
    <row r="94" spans="2:16" ht="15.75" customHeight="1">
      <c r="B94" s="20" t="s">
        <v>11</v>
      </c>
      <c r="C94" s="21"/>
      <c r="D94" s="22"/>
      <c r="I94" s="20" t="s">
        <v>12</v>
      </c>
      <c r="J94" s="21"/>
      <c r="K94" s="22"/>
      <c r="N94" s="20" t="s">
        <v>13</v>
      </c>
      <c r="O94" s="21"/>
      <c r="P94" s="22"/>
    </row>
    <row r="95" spans="2:16" ht="15.75" customHeight="1">
      <c r="B95" s="2">
        <v>45658</v>
      </c>
      <c r="C95" s="18">
        <v>21840</v>
      </c>
      <c r="D95" s="19"/>
      <c r="I95" s="2">
        <v>45658</v>
      </c>
      <c r="J95" s="18"/>
      <c r="K95" s="23"/>
      <c r="N95" s="2">
        <v>45658</v>
      </c>
      <c r="O95" s="18">
        <v>39000</v>
      </c>
      <c r="P95" s="19"/>
    </row>
    <row r="96" spans="2:16" ht="15.75" customHeight="1">
      <c r="B96" s="2">
        <v>45689</v>
      </c>
      <c r="C96" s="18">
        <v>21840</v>
      </c>
      <c r="D96" s="19"/>
      <c r="I96" s="2">
        <v>45689</v>
      </c>
      <c r="J96" s="18"/>
      <c r="K96" s="23"/>
      <c r="N96" s="2">
        <v>45689</v>
      </c>
      <c r="O96" s="18">
        <v>39000</v>
      </c>
      <c r="P96" s="19"/>
    </row>
    <row r="97" spans="2:18" ht="15.75" customHeight="1">
      <c r="B97" s="2">
        <v>45717</v>
      </c>
      <c r="C97" s="18">
        <v>21990</v>
      </c>
      <c r="D97" s="23"/>
      <c r="F97" s="4">
        <f>SUM(C95:D106)</f>
        <v>260000</v>
      </c>
      <c r="I97" s="2">
        <v>45717</v>
      </c>
      <c r="J97" s="18">
        <f>7400+48000</f>
        <v>55400</v>
      </c>
      <c r="K97" s="23"/>
      <c r="N97" s="2">
        <v>45717</v>
      </c>
      <c r="O97" s="18">
        <v>39000</v>
      </c>
      <c r="P97" s="19"/>
    </row>
    <row r="98" spans="2:18" ht="15.75" customHeight="1">
      <c r="B98" s="2">
        <v>45748</v>
      </c>
      <c r="C98" s="18">
        <v>21990</v>
      </c>
      <c r="D98" s="23"/>
      <c r="I98" s="2">
        <v>45748</v>
      </c>
      <c r="J98" s="18">
        <v>48000</v>
      </c>
      <c r="K98" s="23"/>
      <c r="N98" s="2">
        <v>45748</v>
      </c>
      <c r="O98" s="18">
        <v>39000</v>
      </c>
      <c r="P98" s="19"/>
    </row>
    <row r="99" spans="2:18" ht="15.6" customHeight="1">
      <c r="B99" s="2">
        <v>45778</v>
      </c>
      <c r="C99" s="18">
        <v>21990</v>
      </c>
      <c r="D99" s="23"/>
      <c r="I99" s="2">
        <v>45778</v>
      </c>
      <c r="J99" s="18"/>
      <c r="K99" s="23"/>
      <c r="N99" s="2">
        <v>45778</v>
      </c>
      <c r="O99" s="18">
        <v>39000</v>
      </c>
      <c r="P99" s="19"/>
    </row>
    <row r="100" spans="2:18" ht="15.6" customHeight="1">
      <c r="B100" s="2">
        <v>45809</v>
      </c>
      <c r="C100" s="18">
        <v>21840</v>
      </c>
      <c r="D100" s="23"/>
      <c r="I100" s="2">
        <v>45809</v>
      </c>
      <c r="J100" s="18">
        <v>48000</v>
      </c>
      <c r="K100" s="23"/>
      <c r="N100" s="2">
        <v>45809</v>
      </c>
      <c r="O100" s="18">
        <v>39750</v>
      </c>
      <c r="P100" s="19"/>
    </row>
    <row r="101" spans="2:18" ht="15.6" customHeight="1">
      <c r="B101" s="2">
        <v>45839</v>
      </c>
      <c r="C101" s="18">
        <v>21840</v>
      </c>
      <c r="D101" s="23"/>
      <c r="I101" s="2">
        <v>45839</v>
      </c>
      <c r="J101" s="18"/>
      <c r="K101" s="23"/>
      <c r="N101" s="2">
        <v>45839</v>
      </c>
      <c r="O101" s="18">
        <v>39000</v>
      </c>
      <c r="P101" s="19"/>
    </row>
    <row r="102" spans="2:18" ht="15.6" customHeight="1">
      <c r="B102" s="2">
        <v>45870</v>
      </c>
      <c r="C102" s="18">
        <v>21540</v>
      </c>
      <c r="D102" s="23"/>
      <c r="I102" s="2">
        <v>45870</v>
      </c>
      <c r="J102" s="18"/>
      <c r="K102" s="23"/>
      <c r="N102" s="2">
        <v>45870</v>
      </c>
      <c r="O102" s="18">
        <v>39000</v>
      </c>
      <c r="P102" s="19"/>
    </row>
    <row r="103" spans="2:18" ht="14.45">
      <c r="B103" s="2">
        <v>45901</v>
      </c>
      <c r="C103" s="18">
        <v>21690</v>
      </c>
      <c r="D103" s="23"/>
      <c r="I103" s="2">
        <v>45901</v>
      </c>
      <c r="J103" s="18">
        <v>48000</v>
      </c>
      <c r="K103" s="23"/>
      <c r="N103" s="2">
        <v>45901</v>
      </c>
      <c r="O103" s="18">
        <v>39000</v>
      </c>
      <c r="P103" s="19"/>
    </row>
    <row r="104" spans="2:18" ht="14.45">
      <c r="B104" s="2">
        <v>45931</v>
      </c>
      <c r="C104" s="18">
        <v>18490</v>
      </c>
      <c r="D104" s="23"/>
      <c r="I104" s="2">
        <v>45931</v>
      </c>
      <c r="J104" s="18"/>
      <c r="K104" s="23"/>
      <c r="N104" s="2">
        <v>45931</v>
      </c>
      <c r="O104" s="18">
        <v>39000</v>
      </c>
      <c r="P104" s="19"/>
    </row>
    <row r="105" spans="2:18" ht="14.45">
      <c r="B105" s="2">
        <v>45962</v>
      </c>
      <c r="C105" s="18">
        <v>22700</v>
      </c>
      <c r="D105" s="23"/>
      <c r="I105" s="2">
        <v>45962</v>
      </c>
      <c r="J105" s="18"/>
      <c r="K105" s="23"/>
      <c r="N105" s="2">
        <v>45962</v>
      </c>
      <c r="O105" s="18">
        <v>39000</v>
      </c>
      <c r="P105" s="23"/>
    </row>
    <row r="106" spans="2:18" ht="15" customHeight="1">
      <c r="B106" s="2">
        <v>45992</v>
      </c>
      <c r="C106" s="18">
        <v>22250</v>
      </c>
      <c r="D106" s="23"/>
      <c r="I106" s="2">
        <v>45992</v>
      </c>
      <c r="J106" s="18"/>
      <c r="K106" s="23"/>
      <c r="N106" s="2">
        <v>45992</v>
      </c>
      <c r="O106" s="18">
        <v>39000</v>
      </c>
      <c r="P106" s="23"/>
    </row>
    <row r="107" spans="2:18" ht="14.45">
      <c r="B107" s="9"/>
      <c r="C107" s="5"/>
      <c r="D107" s="5"/>
      <c r="I107" t="s">
        <v>14</v>
      </c>
      <c r="J107" s="24">
        <f>J97+J98+J100+J103</f>
        <v>199400</v>
      </c>
      <c r="K107" s="25"/>
      <c r="N107" t="s">
        <v>14</v>
      </c>
      <c r="O107" s="4">
        <f>SUM(O95:P106)</f>
        <v>468750</v>
      </c>
      <c r="R107" s="4"/>
    </row>
    <row r="108" spans="2:18" ht="14.45" customHeight="1">
      <c r="B108" s="9"/>
      <c r="C108" s="5"/>
      <c r="D108" s="5"/>
    </row>
    <row r="109" spans="2:18" ht="14.45" customHeight="1">
      <c r="B109" s="9"/>
      <c r="C109" s="5"/>
      <c r="D109" s="5"/>
    </row>
    <row r="110" spans="2:18" ht="14.45" customHeight="1">
      <c r="B110" s="9"/>
      <c r="C110" s="5"/>
      <c r="D110" s="5"/>
    </row>
    <row r="111" spans="2:18" ht="14.45" customHeight="1">
      <c r="B111" s="20" t="s">
        <v>15</v>
      </c>
      <c r="C111" s="21"/>
      <c r="D111" s="22"/>
    </row>
    <row r="112" spans="2:18" ht="14.45" customHeight="1">
      <c r="B112" s="2">
        <v>45658</v>
      </c>
      <c r="C112" s="18">
        <v>16501</v>
      </c>
      <c r="D112" s="19"/>
      <c r="E112" s="4"/>
    </row>
    <row r="113" spans="2:6" ht="14.45" customHeight="1">
      <c r="B113" s="2">
        <v>45689</v>
      </c>
      <c r="C113" s="18">
        <v>15146</v>
      </c>
      <c r="D113" s="19"/>
      <c r="E113" s="4"/>
    </row>
    <row r="114" spans="2:6" ht="14.45" customHeight="1">
      <c r="B114" s="2">
        <v>45717</v>
      </c>
      <c r="C114" s="18">
        <v>16218</v>
      </c>
      <c r="D114" s="23"/>
      <c r="E114" s="4"/>
    </row>
    <row r="115" spans="2:6" ht="14.45" customHeight="1">
      <c r="B115" s="2">
        <v>45748</v>
      </c>
      <c r="C115" s="18">
        <v>18093.5</v>
      </c>
      <c r="D115" s="23"/>
      <c r="E115" s="4"/>
    </row>
    <row r="116" spans="2:6" ht="14.45" customHeight="1">
      <c r="B116" s="2">
        <v>45778</v>
      </c>
      <c r="C116" s="18">
        <v>18454</v>
      </c>
      <c r="D116" s="23"/>
      <c r="E116" s="4"/>
    </row>
    <row r="117" spans="2:6" ht="14.45" customHeight="1">
      <c r="B117" s="2">
        <v>45809</v>
      </c>
      <c r="C117" s="18">
        <v>17484</v>
      </c>
      <c r="D117" s="23"/>
      <c r="E117" s="4"/>
      <c r="F117" s="4">
        <f>SUM(C112:D123)</f>
        <v>215028.5</v>
      </c>
    </row>
    <row r="118" spans="2:6" ht="14.45" customHeight="1">
      <c r="B118" s="2">
        <v>45839</v>
      </c>
      <c r="C118" s="18">
        <v>18964</v>
      </c>
      <c r="D118" s="23"/>
      <c r="E118" s="4"/>
    </row>
    <row r="119" spans="2:6" ht="14.45" customHeight="1">
      <c r="B119" s="2">
        <v>45870</v>
      </c>
      <c r="C119" s="18">
        <v>19732</v>
      </c>
      <c r="D119" s="23"/>
      <c r="E119" s="4"/>
    </row>
    <row r="120" spans="2:6" ht="14.45" customHeight="1">
      <c r="B120" s="2">
        <v>45901</v>
      </c>
      <c r="C120" s="18">
        <v>18942</v>
      </c>
      <c r="D120" s="23"/>
      <c r="E120" s="4"/>
    </row>
    <row r="121" spans="2:6" ht="14.45" customHeight="1">
      <c r="B121" s="2">
        <v>45931</v>
      </c>
      <c r="C121" s="18">
        <v>18899</v>
      </c>
      <c r="D121" s="23"/>
      <c r="E121" s="4"/>
    </row>
    <row r="122" spans="2:6" ht="14.45" customHeight="1">
      <c r="B122" s="2">
        <v>45962</v>
      </c>
      <c r="C122" s="18">
        <v>18800</v>
      </c>
      <c r="D122" s="23"/>
    </row>
    <row r="123" spans="2:6" ht="14.45" customHeight="1">
      <c r="B123" s="2">
        <v>45992</v>
      </c>
      <c r="C123" s="18">
        <v>17795</v>
      </c>
      <c r="D123" s="23"/>
    </row>
    <row r="124" spans="2:6" ht="14.45" customHeight="1">
      <c r="B124" s="9"/>
      <c r="C124" s="5"/>
      <c r="D124" s="5"/>
    </row>
    <row r="125" spans="2:6" ht="14.45" customHeight="1">
      <c r="B125" s="9"/>
      <c r="C125" s="5"/>
      <c r="D125" s="5"/>
    </row>
    <row r="126" spans="2:6" ht="14.45" customHeight="1">
      <c r="B126" s="9"/>
      <c r="C126" s="5"/>
      <c r="D126" s="5"/>
    </row>
    <row r="127" spans="2:6" ht="14.45" customHeight="1">
      <c r="B127" s="20" t="s">
        <v>16</v>
      </c>
      <c r="C127" s="21"/>
      <c r="D127" s="22"/>
    </row>
    <row r="128" spans="2:6" ht="14.45" customHeight="1">
      <c r="B128" s="2">
        <v>45658</v>
      </c>
      <c r="C128" s="18">
        <v>26868.14</v>
      </c>
      <c r="D128" s="19"/>
    </row>
    <row r="129" spans="2:6" ht="14.45" customHeight="1">
      <c r="B129" s="2">
        <v>45689</v>
      </c>
      <c r="C129" s="18">
        <v>25931.19</v>
      </c>
      <c r="D129" s="19"/>
    </row>
    <row r="130" spans="2:6" ht="14.45" customHeight="1">
      <c r="B130" s="2">
        <v>45717</v>
      </c>
      <c r="C130" s="18">
        <v>31296.94</v>
      </c>
      <c r="D130" s="23"/>
      <c r="F130" s="4">
        <f>SUM(C128:D139)</f>
        <v>412566.35</v>
      </c>
    </row>
    <row r="131" spans="2:6" ht="14.45" customHeight="1">
      <c r="B131" s="2">
        <v>45748</v>
      </c>
      <c r="C131" s="18">
        <v>32586.6</v>
      </c>
      <c r="D131" s="23"/>
    </row>
    <row r="132" spans="2:6" ht="14.45" customHeight="1">
      <c r="B132" s="2">
        <v>45778</v>
      </c>
      <c r="C132" s="18">
        <v>36187.5</v>
      </c>
      <c r="D132" s="23"/>
    </row>
    <row r="133" spans="2:6" ht="14.45" customHeight="1">
      <c r="B133" s="2">
        <v>45809</v>
      </c>
      <c r="C133" s="18">
        <v>39677.050000000003</v>
      </c>
      <c r="D133" s="23"/>
    </row>
    <row r="134" spans="2:6" ht="14.45" customHeight="1">
      <c r="B134" s="2">
        <v>45839</v>
      </c>
      <c r="C134" s="18">
        <v>48703.25</v>
      </c>
      <c r="D134" s="23"/>
    </row>
    <row r="135" spans="2:6" ht="14.45" customHeight="1">
      <c r="B135" s="2">
        <v>45870</v>
      </c>
      <c r="C135" s="18">
        <v>44995.199999999997</v>
      </c>
      <c r="D135" s="23"/>
    </row>
    <row r="136" spans="2:6" ht="14.45" customHeight="1">
      <c r="B136" s="2">
        <v>45901</v>
      </c>
      <c r="C136" s="18">
        <v>43215.42</v>
      </c>
      <c r="D136" s="23"/>
    </row>
    <row r="137" spans="2:6" ht="14.45" customHeight="1">
      <c r="B137" s="2">
        <v>45931</v>
      </c>
      <c r="C137" s="18">
        <v>32273.79</v>
      </c>
      <c r="D137" s="23"/>
    </row>
    <row r="138" spans="2:6" ht="14.45">
      <c r="B138" s="2">
        <v>45962</v>
      </c>
      <c r="C138" s="18">
        <v>14562.02</v>
      </c>
      <c r="D138" s="23"/>
    </row>
    <row r="139" spans="2:6" ht="14.45">
      <c r="B139" s="2">
        <v>45992</v>
      </c>
      <c r="C139" s="18">
        <v>36269.25</v>
      </c>
      <c r="D139" s="23"/>
    </row>
    <row r="140" spans="2:6" ht="14.45">
      <c r="B140" s="9"/>
      <c r="C140" s="5"/>
      <c r="D140" s="5"/>
    </row>
    <row r="141" spans="2:6" ht="14.45">
      <c r="B141" s="9"/>
      <c r="C141" s="5"/>
      <c r="D141" s="5"/>
    </row>
    <row r="142" spans="2:6" ht="14.45">
      <c r="B142" s="9"/>
      <c r="C142" s="5"/>
      <c r="D142" s="5"/>
    </row>
    <row r="143" spans="2:6" ht="14.45">
      <c r="B143" s="20" t="s">
        <v>17</v>
      </c>
      <c r="C143" s="21"/>
      <c r="D143" s="22"/>
    </row>
    <row r="144" spans="2:6" ht="14.45">
      <c r="B144" s="2">
        <v>45658</v>
      </c>
      <c r="C144" s="18"/>
      <c r="D144" s="19"/>
    </row>
    <row r="145" spans="2:6" ht="14.45">
      <c r="B145" s="2">
        <v>45689</v>
      </c>
      <c r="C145" s="18"/>
      <c r="D145" s="19"/>
    </row>
    <row r="146" spans="2:6" ht="14.45">
      <c r="B146" s="2">
        <v>45717</v>
      </c>
      <c r="C146" s="18"/>
      <c r="D146" s="23"/>
    </row>
    <row r="147" spans="2:6" ht="14.45">
      <c r="B147" s="2">
        <v>45748</v>
      </c>
      <c r="C147" s="18"/>
      <c r="D147" s="23"/>
    </row>
    <row r="148" spans="2:6" ht="14.45">
      <c r="B148" s="2">
        <v>45778</v>
      </c>
      <c r="C148" s="18"/>
      <c r="D148" s="23"/>
    </row>
    <row r="149" spans="2:6" ht="14.45">
      <c r="B149" s="2">
        <v>45809</v>
      </c>
      <c r="C149" s="18"/>
      <c r="D149" s="23"/>
      <c r="F149" s="4">
        <f>SUM(C144:D155)</f>
        <v>56200</v>
      </c>
    </row>
    <row r="150" spans="2:6" ht="14.45">
      <c r="B150" s="2">
        <v>45839</v>
      </c>
      <c r="C150" s="18">
        <v>52771</v>
      </c>
      <c r="D150" s="23"/>
    </row>
    <row r="151" spans="2:6" ht="14.45">
      <c r="B151" s="2">
        <v>45870</v>
      </c>
      <c r="C151" s="18"/>
      <c r="D151" s="23"/>
    </row>
    <row r="152" spans="2:6" ht="14.45">
      <c r="B152" s="2">
        <v>45901</v>
      </c>
      <c r="C152" s="18"/>
      <c r="D152" s="23"/>
    </row>
    <row r="153" spans="2:6" ht="14.45">
      <c r="B153" s="2">
        <v>45931</v>
      </c>
      <c r="C153" s="18"/>
      <c r="D153" s="23"/>
    </row>
    <row r="154" spans="2:6" ht="14.45">
      <c r="B154" s="2">
        <v>45962</v>
      </c>
      <c r="C154" s="18">
        <v>2934</v>
      </c>
      <c r="D154" s="23"/>
    </row>
    <row r="155" spans="2:6" ht="14.45">
      <c r="B155" s="2">
        <v>45992</v>
      </c>
      <c r="C155" s="18">
        <v>495</v>
      </c>
      <c r="D155" s="23"/>
    </row>
    <row r="162" spans="2:4" ht="14.45">
      <c r="B162" s="3" t="s">
        <v>18</v>
      </c>
      <c r="C162" s="26">
        <f>SUM(F9+F22+F37+F52+F67+F82+F97+F117+F130+F149+J107+O107)</f>
        <v>3272751.773</v>
      </c>
      <c r="D162" s="27"/>
    </row>
  </sheetData>
  <mergeCells count="160">
    <mergeCell ref="C118:D118"/>
    <mergeCell ref="C119:D119"/>
    <mergeCell ref="C120:D120"/>
    <mergeCell ref="B111:D111"/>
    <mergeCell ref="C121:D121"/>
    <mergeCell ref="C122:D122"/>
    <mergeCell ref="C123:D123"/>
    <mergeCell ref="C101:D101"/>
    <mergeCell ref="C102:D102"/>
    <mergeCell ref="C103:D103"/>
    <mergeCell ref="C112:D112"/>
    <mergeCell ref="C113:D113"/>
    <mergeCell ref="C114:D114"/>
    <mergeCell ref="C115:D115"/>
    <mergeCell ref="C116:D116"/>
    <mergeCell ref="C117:D117"/>
    <mergeCell ref="C136:D136"/>
    <mergeCell ref="C137:D137"/>
    <mergeCell ref="C138:D138"/>
    <mergeCell ref="C139:D139"/>
    <mergeCell ref="C145:D145"/>
    <mergeCell ref="C130:D130"/>
    <mergeCell ref="C131:D131"/>
    <mergeCell ref="C132:D132"/>
    <mergeCell ref="C133:D133"/>
    <mergeCell ref="C134:D134"/>
    <mergeCell ref="C135:D135"/>
    <mergeCell ref="C90:D90"/>
    <mergeCell ref="C91:D91"/>
    <mergeCell ref="B94:D94"/>
    <mergeCell ref="C95:D95"/>
    <mergeCell ref="C96:D96"/>
    <mergeCell ref="C97:D97"/>
    <mergeCell ref="C84:D84"/>
    <mergeCell ref="C85:D85"/>
    <mergeCell ref="C86:D86"/>
    <mergeCell ref="C87:D87"/>
    <mergeCell ref="C88:D88"/>
    <mergeCell ref="C89:D89"/>
    <mergeCell ref="C76:D76"/>
    <mergeCell ref="B79:D79"/>
    <mergeCell ref="C80:D80"/>
    <mergeCell ref="C81:D81"/>
    <mergeCell ref="C82:D82"/>
    <mergeCell ref="C83:D83"/>
    <mergeCell ref="C70:D70"/>
    <mergeCell ref="C71:D71"/>
    <mergeCell ref="C72:D72"/>
    <mergeCell ref="C73:D73"/>
    <mergeCell ref="C74:D74"/>
    <mergeCell ref="C75:D75"/>
    <mergeCell ref="B64:D64"/>
    <mergeCell ref="C65:D65"/>
    <mergeCell ref="C66:D66"/>
    <mergeCell ref="C67:D67"/>
    <mergeCell ref="C68:D68"/>
    <mergeCell ref="C69:D69"/>
    <mergeCell ref="C56:D56"/>
    <mergeCell ref="C57:D57"/>
    <mergeCell ref="C58:D58"/>
    <mergeCell ref="C59:D59"/>
    <mergeCell ref="C60:D60"/>
    <mergeCell ref="C61:D61"/>
    <mergeCell ref="C52:D52"/>
    <mergeCell ref="C53:D53"/>
    <mergeCell ref="C54:D54"/>
    <mergeCell ref="C55:D55"/>
    <mergeCell ref="C42:D42"/>
    <mergeCell ref="C43:D43"/>
    <mergeCell ref="C44:D44"/>
    <mergeCell ref="C45:D45"/>
    <mergeCell ref="C46:D46"/>
    <mergeCell ref="B49:D49"/>
    <mergeCell ref="C41:D41"/>
    <mergeCell ref="C28:D28"/>
    <mergeCell ref="C29:D29"/>
    <mergeCell ref="C30:D30"/>
    <mergeCell ref="C31:D31"/>
    <mergeCell ref="B34:D34"/>
    <mergeCell ref="C35:D35"/>
    <mergeCell ref="C50:D50"/>
    <mergeCell ref="C51:D51"/>
    <mergeCell ref="C11:D11"/>
    <mergeCell ref="B19:D19"/>
    <mergeCell ref="C20:D20"/>
    <mergeCell ref="C21:D21"/>
    <mergeCell ref="C36:D36"/>
    <mergeCell ref="C37:D37"/>
    <mergeCell ref="C38:D38"/>
    <mergeCell ref="C39:D39"/>
    <mergeCell ref="C40:D40"/>
    <mergeCell ref="B2:D2"/>
    <mergeCell ref="C3:D3"/>
    <mergeCell ref="C5:D5"/>
    <mergeCell ref="C6:D6"/>
    <mergeCell ref="C7:D7"/>
    <mergeCell ref="C8:D8"/>
    <mergeCell ref="N94:P94"/>
    <mergeCell ref="O95:P95"/>
    <mergeCell ref="I94:K94"/>
    <mergeCell ref="J95:K95"/>
    <mergeCell ref="C12:D12"/>
    <mergeCell ref="C13:D13"/>
    <mergeCell ref="C14:D14"/>
    <mergeCell ref="C15:D15"/>
    <mergeCell ref="C16:D16"/>
    <mergeCell ref="B4:E4"/>
    <mergeCell ref="C22:D22"/>
    <mergeCell ref="C23:D23"/>
    <mergeCell ref="C24:D24"/>
    <mergeCell ref="C25:D25"/>
    <mergeCell ref="C26:D26"/>
    <mergeCell ref="C27:D27"/>
    <mergeCell ref="C9:D9"/>
    <mergeCell ref="C10:D10"/>
    <mergeCell ref="O105:P105"/>
    <mergeCell ref="O106:P106"/>
    <mergeCell ref="O96:P96"/>
    <mergeCell ref="O97:P97"/>
    <mergeCell ref="O98:P98"/>
    <mergeCell ref="O99:P99"/>
    <mergeCell ref="O100:P100"/>
    <mergeCell ref="O101:P101"/>
    <mergeCell ref="O102:P102"/>
    <mergeCell ref="O103:P103"/>
    <mergeCell ref="O104:P104"/>
    <mergeCell ref="J105:K105"/>
    <mergeCell ref="J106:K106"/>
    <mergeCell ref="J107:K107"/>
    <mergeCell ref="C144:D144"/>
    <mergeCell ref="C146:D146"/>
    <mergeCell ref="C147:D147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C104:D104"/>
    <mergeCell ref="C105:D105"/>
    <mergeCell ref="C106:D106"/>
    <mergeCell ref="B127:D127"/>
    <mergeCell ref="C128:D128"/>
    <mergeCell ref="C129:D129"/>
    <mergeCell ref="C98:D98"/>
    <mergeCell ref="C99:D99"/>
    <mergeCell ref="C100:D100"/>
    <mergeCell ref="C148:D148"/>
    <mergeCell ref="C149:D149"/>
    <mergeCell ref="C150:D150"/>
    <mergeCell ref="C151:D151"/>
    <mergeCell ref="C152:D152"/>
    <mergeCell ref="C153:D153"/>
    <mergeCell ref="C154:D154"/>
    <mergeCell ref="C162:D162"/>
    <mergeCell ref="B143:D143"/>
    <mergeCell ref="C155:D155"/>
  </mergeCells>
  <conditionalFormatting sqref="B18">
    <cfRule type="uniqu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Gawron.Justyna</dc:creator>
  <cp:keywords/>
  <dc:description/>
  <cp:lastModifiedBy/>
  <cp:revision/>
  <dcterms:created xsi:type="dcterms:W3CDTF">2024-04-04T07:47:05Z</dcterms:created>
  <dcterms:modified xsi:type="dcterms:W3CDTF">2026-03-27T21:11:34Z</dcterms:modified>
  <cp:category/>
  <cp:contentStatus/>
</cp:coreProperties>
</file>
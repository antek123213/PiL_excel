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msugedupl-my.sharepoint.com/personal/a_mazur_177_studms_ug_edu_pl/Documents/Dokumenty/Praca/P&amp;L/"/>
    </mc:Choice>
  </mc:AlternateContent>
  <xr:revisionPtr revIDLastSave="23" documentId="8_{23265091-0110-4663-BB77-CA422C80AC5C}" xr6:coauthVersionLast="47" xr6:coauthVersionMax="47" xr10:uidLastSave="{D6C68328-25DB-41DD-B0D0-EC7012EC9BB6}"/>
  <bookViews>
    <workbookView xWindow="-120" yWindow="-120" windowWidth="29040" windowHeight="16440" activeTab="1" xr2:uid="{F3656412-5810-4766-879B-FA1E592243F2}"/>
  </bookViews>
  <sheets>
    <sheet name="bb8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0" i="2" l="1"/>
  <c r="U28" i="2"/>
  <c r="AA27" i="2"/>
  <c r="Z27" i="2"/>
  <c r="Y27" i="2"/>
  <c r="X27" i="2"/>
  <c r="W27" i="2"/>
  <c r="V27" i="2"/>
  <c r="U27" i="2"/>
  <c r="T27" i="2"/>
  <c r="S27" i="2"/>
  <c r="R27" i="2"/>
  <c r="Q27" i="2"/>
  <c r="P27" i="2"/>
  <c r="M27" i="2"/>
  <c r="L27" i="2"/>
  <c r="K27" i="2"/>
  <c r="J27" i="2"/>
  <c r="H27" i="2"/>
  <c r="G27" i="2"/>
  <c r="F27" i="2"/>
  <c r="AB26" i="2"/>
  <c r="N26" i="2"/>
  <c r="AB25" i="2"/>
  <c r="N25" i="2"/>
  <c r="AB24" i="2"/>
  <c r="N24" i="2"/>
  <c r="AB23" i="2"/>
  <c r="N23" i="2"/>
  <c r="AB22" i="2"/>
  <c r="N22" i="2"/>
  <c r="AB21" i="2"/>
  <c r="N21" i="2"/>
  <c r="AB20" i="2"/>
  <c r="N20" i="2"/>
  <c r="AB19" i="2"/>
  <c r="N19" i="2"/>
  <c r="AB18" i="2"/>
  <c r="N18" i="2"/>
  <c r="AB17" i="2"/>
  <c r="N17" i="2"/>
  <c r="AB16" i="2"/>
  <c r="N16" i="2"/>
  <c r="AB15" i="2"/>
  <c r="N15" i="2"/>
  <c r="AB14" i="2"/>
  <c r="N14" i="2"/>
  <c r="AB13" i="2"/>
  <c r="N13" i="2"/>
  <c r="AB12" i="2"/>
  <c r="N12" i="2"/>
  <c r="AB11" i="2"/>
  <c r="N11" i="2"/>
  <c r="AB10" i="2"/>
  <c r="N10" i="2"/>
  <c r="AB9" i="2"/>
  <c r="N9" i="2"/>
  <c r="AB8" i="2"/>
  <c r="N8" i="2"/>
  <c r="AB7" i="2"/>
  <c r="N7" i="2"/>
  <c r="AB6" i="2"/>
  <c r="N6" i="2"/>
  <c r="AB5" i="2"/>
  <c r="N5" i="2"/>
  <c r="I27" i="2"/>
  <c r="AB42" i="1"/>
  <c r="AA42" i="1"/>
  <c r="Z42" i="1"/>
  <c r="Y42" i="1"/>
  <c r="X42" i="1"/>
  <c r="W42" i="1"/>
  <c r="V42" i="1"/>
  <c r="U42" i="1"/>
  <c r="T42" i="1"/>
  <c r="S42" i="1"/>
  <c r="R42" i="1"/>
  <c r="Q42" i="1"/>
  <c r="N42" i="1"/>
  <c r="M42" i="1"/>
  <c r="L42" i="1"/>
  <c r="K42" i="1"/>
  <c r="J42" i="1"/>
  <c r="I42" i="1"/>
  <c r="H42" i="1"/>
  <c r="G42" i="1"/>
  <c r="AC41" i="1"/>
  <c r="AC40" i="1"/>
  <c r="AC39" i="1"/>
  <c r="AC38" i="1"/>
  <c r="AC37" i="1"/>
  <c r="AC36" i="1"/>
  <c r="AC35" i="1"/>
  <c r="AC34" i="1"/>
  <c r="AC33" i="1"/>
  <c r="AC32" i="1"/>
  <c r="AC31" i="1"/>
  <c r="O31" i="1"/>
  <c r="AC30" i="1"/>
  <c r="O30" i="1"/>
  <c r="AC29" i="1"/>
  <c r="O29" i="1"/>
  <c r="AC28" i="1"/>
  <c r="O28" i="1"/>
  <c r="AC27" i="1"/>
  <c r="O27" i="1"/>
  <c r="AC26" i="1"/>
  <c r="O26" i="1"/>
  <c r="AC25" i="1"/>
  <c r="O25" i="1"/>
  <c r="AC24" i="1"/>
  <c r="O24" i="1"/>
  <c r="AC23" i="1"/>
  <c r="O23" i="1"/>
  <c r="AC22" i="1"/>
  <c r="O22" i="1"/>
  <c r="AC21" i="1"/>
  <c r="O21" i="1"/>
  <c r="AC20" i="1"/>
  <c r="O20" i="1"/>
  <c r="AC19" i="1"/>
  <c r="O19" i="1"/>
  <c r="AC18" i="1"/>
  <c r="O18" i="1"/>
  <c r="AC17" i="1"/>
  <c r="O17" i="1"/>
  <c r="AC16" i="1"/>
  <c r="O16" i="1"/>
  <c r="AC15" i="1"/>
  <c r="O15" i="1"/>
  <c r="AC14" i="1"/>
  <c r="O14" i="1"/>
  <c r="AC13" i="1"/>
  <c r="O13" i="1"/>
  <c r="AC12" i="1"/>
  <c r="O12" i="1"/>
  <c r="AC11" i="1"/>
  <c r="O11" i="1"/>
  <c r="AC10" i="1"/>
  <c r="O10" i="1"/>
  <c r="AC9" i="1"/>
  <c r="O9" i="1"/>
  <c r="AC8" i="1"/>
  <c r="O8" i="1"/>
  <c r="AC7" i="1"/>
  <c r="O7" i="1"/>
  <c r="AC6" i="1"/>
  <c r="O6" i="1"/>
  <c r="AC5" i="1"/>
  <c r="O5" i="1"/>
  <c r="N27" i="2" l="1"/>
  <c r="AD42" i="1"/>
  <c r="O42" i="1"/>
  <c r="AC42" i="1"/>
  <c r="AB27" i="2"/>
</calcChain>
</file>

<file path=xl/sharedStrings.xml><?xml version="1.0" encoding="utf-8"?>
<sst xmlns="http://schemas.openxmlformats.org/spreadsheetml/2006/main" count="519" uniqueCount="269">
  <si>
    <t>Lp.</t>
  </si>
  <si>
    <t>OKREŚLENIE ŚRODKA TRWAŁEGO</t>
  </si>
  <si>
    <t>WARTOŚĆ INWENTARZOWA</t>
  </si>
  <si>
    <t>UMORZENIA</t>
  </si>
  <si>
    <t>Stawka %</t>
  </si>
  <si>
    <t>WARTOŚĆ MIESIĘCZNEGO UMORZEMIA - AMORTYZACJI</t>
  </si>
  <si>
    <t>Nr inw.</t>
  </si>
  <si>
    <t>Ilość szt</t>
  </si>
  <si>
    <t>M-c</t>
  </si>
  <si>
    <t>Nazwa</t>
  </si>
  <si>
    <t>B.O.</t>
  </si>
  <si>
    <t>Zwiększenia</t>
  </si>
  <si>
    <t>Zmniejszenia</t>
  </si>
  <si>
    <t>BZ</t>
  </si>
  <si>
    <t>Zwiększenie</t>
  </si>
  <si>
    <t>Zmniejszenie</t>
  </si>
  <si>
    <t>Wartość rocznego umorzenia</t>
  </si>
  <si>
    <t>B.Z.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</si>
  <si>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</si>
  <si>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</si>
  <si>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</si>
  <si>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</si>
  <si>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</si>
  <si>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</si>
  <si>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</si>
  <si>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</si>
  <si>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</si>
  <si>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</si>
  <si>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</si>
  <si>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</si>
  <si>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1.</t>
  </si>
  <si>
    <t>2.</t>
  </si>
  <si>
    <t>Z PRZENIESIENIA</t>
  </si>
  <si>
    <t>X/2022</t>
  </si>
  <si>
    <t>Automat biletowy BB8 Kraków Gł</t>
  </si>
  <si>
    <t>Automat biletowy BB8 Ziel.Góra</t>
  </si>
  <si>
    <t>Automat biletowy BB8 Wrocław Gł</t>
  </si>
  <si>
    <t>Automat biletowy BB8 Poznań Gł</t>
  </si>
  <si>
    <t>Automat biletowy BB8 Świnoujście</t>
  </si>
  <si>
    <t>Automat biletowy BB8 Szczecin Gł</t>
  </si>
  <si>
    <t>Automat biletowy BB8 Opole</t>
  </si>
  <si>
    <t>Automat biletowy BB8 Łódź Widzew</t>
  </si>
  <si>
    <t>Automat biletowy BB8 Jarosław</t>
  </si>
  <si>
    <t>Automat biletowy BB8 Białystok</t>
  </si>
  <si>
    <t>III/2024</t>
  </si>
  <si>
    <t>Automat biletowy BB8 Puck</t>
  </si>
  <si>
    <t xml:space="preserve">Automat biletowy BB8 Chojnice </t>
  </si>
  <si>
    <t>Automat biletowy BB8 Oława</t>
  </si>
  <si>
    <t>Automat biletowy BB8 Człuchów</t>
  </si>
  <si>
    <t>IV/2024</t>
  </si>
  <si>
    <t>Automat biletowy BB8 Pszczółki</t>
  </si>
  <si>
    <t>Automat biletowy BB8 Zakopane</t>
  </si>
  <si>
    <t>VI/2024</t>
  </si>
  <si>
    <t>Automat biletowy BB8 Elbląg</t>
  </si>
  <si>
    <t>Automat biletowy BB8 Gdańsk Wrzeszcz</t>
  </si>
  <si>
    <t>Automat biletowy BB8 Strzelce Krajeńskie</t>
  </si>
  <si>
    <t>VII/2024</t>
  </si>
  <si>
    <t xml:space="preserve">Automat biletowy Wrocław </t>
  </si>
  <si>
    <t>Automat biletowy  Głogów</t>
  </si>
  <si>
    <t>IX/2024</t>
  </si>
  <si>
    <t>Automat biletowy  Kędzierzyn Koźle</t>
  </si>
  <si>
    <t>Automat biletowy  Gogolin</t>
  </si>
  <si>
    <t>X/2024</t>
  </si>
  <si>
    <t xml:space="preserve">Automat biletowy Częstochowa </t>
  </si>
  <si>
    <t>XII/2024</t>
  </si>
  <si>
    <t>Automat biletowy W-wa CENTRALNA</t>
  </si>
  <si>
    <t>Automat biletowy KRZYŻ WLKP</t>
  </si>
  <si>
    <t>IV/2025</t>
  </si>
  <si>
    <t>Automat biletowy Września</t>
  </si>
  <si>
    <t>Automat biletowy Nowy Tomyśl</t>
  </si>
  <si>
    <t>Automat biletowy Kościan</t>
  </si>
  <si>
    <t>V/2025</t>
  </si>
  <si>
    <t>Autmat biletowy Rawicz</t>
  </si>
  <si>
    <t>VI/2025</t>
  </si>
  <si>
    <t>Automat biletowy Kielce</t>
  </si>
  <si>
    <t>VII/2025</t>
  </si>
  <si>
    <t>Automat biletowy Polędzie</t>
  </si>
  <si>
    <t>Automat biletowy Chodzież</t>
  </si>
  <si>
    <t>X/2025</t>
  </si>
  <si>
    <t>Automat biletowy Poznań</t>
  </si>
  <si>
    <t>Automat biletowy Bochnia</t>
  </si>
  <si>
    <t>Automat biletowy Rzeszów</t>
  </si>
  <si>
    <t>FAA 2000</t>
  </si>
  <si>
    <t>ST-40</t>
  </si>
  <si>
    <t>IX/19</t>
  </si>
  <si>
    <t>AUTOMAT  GDAŃSK</t>
  </si>
  <si>
    <t>AUTOMAT KATOWICE</t>
  </si>
  <si>
    <t>AUTOMAT OSTRÓW WLKP</t>
  </si>
  <si>
    <t>XII/19</t>
  </si>
  <si>
    <t>AUTOMAT MALBORK</t>
  </si>
  <si>
    <t>AUTOMAT KALISZ</t>
  </si>
  <si>
    <t>AUTOMAT RYBNIK</t>
  </si>
  <si>
    <t>AUTOMAT TYCHY</t>
  </si>
  <si>
    <t>AUTOMAT SOSNOWIEC</t>
  </si>
  <si>
    <t>AUTOMAT LUBLINIEC</t>
  </si>
  <si>
    <t>AUTOMAT GLIWICE</t>
  </si>
  <si>
    <t>AUTOMAT WAŁBRZYCH</t>
  </si>
  <si>
    <t>AUTOMAT GDAŃSK OLIWA</t>
  </si>
  <si>
    <t>AUTOMAT GDYNIA GŁÓWNA</t>
  </si>
  <si>
    <t>II/20</t>
  </si>
  <si>
    <t>AUTOMAT GŁOGÓW</t>
  </si>
  <si>
    <t>V/20</t>
  </si>
  <si>
    <t>AUTOMAT- ST40-OPOLE</t>
  </si>
  <si>
    <t>AUTOMAT-ST40- WROCŁAW</t>
  </si>
  <si>
    <t>VIII/20</t>
  </si>
  <si>
    <t>AUTOMAT ST-40 RZEPIN</t>
  </si>
  <si>
    <t>AUTOMAT ST-40 ŚWIEBODZIN</t>
  </si>
  <si>
    <t>AUTOMAT ST-40 PSZCZYNA</t>
  </si>
  <si>
    <t>IX/20</t>
  </si>
  <si>
    <t>AUTOMAT ST-40 ZABRZE</t>
  </si>
  <si>
    <t xml:space="preserve">IX/20 </t>
  </si>
  <si>
    <t>AUTOMAT ST-40 CZECHOWICE-DZIEDZICE</t>
  </si>
  <si>
    <t>XI/20</t>
  </si>
  <si>
    <t>AUTOMAT ST-40 BIELSKO BIAŁA</t>
  </si>
  <si>
    <t>1203</t>
  </si>
  <si>
    <t>Wroclaw: ul. Józefa Pilsudskiego 105</t>
  </si>
  <si>
    <t>FAA2000</t>
  </si>
  <si>
    <t>1204</t>
  </si>
  <si>
    <t>1205</t>
  </si>
  <si>
    <t>ST|40</t>
  </si>
  <si>
    <t>1206</t>
  </si>
  <si>
    <t>1206_WROC-GL</t>
  </si>
  <si>
    <t>1207</t>
  </si>
  <si>
    <t>1208</t>
  </si>
  <si>
    <t>1209</t>
  </si>
  <si>
    <t>1210</t>
  </si>
  <si>
    <t>1211</t>
  </si>
  <si>
    <t>1211_Lubin</t>
  </si>
  <si>
    <t>1212</t>
  </si>
  <si>
    <t>1212_WALBR_M</t>
  </si>
  <si>
    <t>1213</t>
  </si>
  <si>
    <t>1213_GLOGOW</t>
  </si>
  <si>
    <t>1215</t>
  </si>
  <si>
    <t>1215_ALEKSK</t>
  </si>
  <si>
    <t>1216</t>
  </si>
  <si>
    <t>1216_PSZCZYN</t>
  </si>
  <si>
    <t>1217</t>
  </si>
  <si>
    <t>Katowice: Pl. Wilhelma Szewczyka 1</t>
  </si>
  <si>
    <t>1219</t>
  </si>
  <si>
    <t>1219_KOSZALI</t>
  </si>
  <si>
    <t>1220</t>
  </si>
  <si>
    <t>1220_SLUPSK</t>
  </si>
  <si>
    <t>1221</t>
  </si>
  <si>
    <t>1221_SWID_MI</t>
  </si>
  <si>
    <t>1222</t>
  </si>
  <si>
    <t>1222_KOSCIER</t>
  </si>
  <si>
    <t>1223</t>
  </si>
  <si>
    <t>1223_MALBORK</t>
  </si>
  <si>
    <t>1224</t>
  </si>
  <si>
    <t>1224_Kuźnica</t>
  </si>
  <si>
    <t>1225</t>
  </si>
  <si>
    <t>1225_PRZEMY</t>
  </si>
  <si>
    <t>1226</t>
  </si>
  <si>
    <t>1226_TARNO</t>
  </si>
  <si>
    <t>1227</t>
  </si>
  <si>
    <t>1227_BOCHNIA</t>
  </si>
  <si>
    <t>1228</t>
  </si>
  <si>
    <t>1228_SOSNOW</t>
  </si>
  <si>
    <t>1229</t>
  </si>
  <si>
    <t>1229_TYCHY</t>
  </si>
  <si>
    <t>1230</t>
  </si>
  <si>
    <t>1230_GLIWICE</t>
  </si>
  <si>
    <t>1231</t>
  </si>
  <si>
    <t>1231_RYBNIK</t>
  </si>
  <si>
    <t>1232</t>
  </si>
  <si>
    <t>1232_BIELSKO</t>
  </si>
  <si>
    <t>1233</t>
  </si>
  <si>
    <t>1233_LUBL-EC</t>
  </si>
  <si>
    <t>1234</t>
  </si>
  <si>
    <t>1234_ZAGAN</t>
  </si>
  <si>
    <t>1235</t>
  </si>
  <si>
    <t>1235_POZN-GL</t>
  </si>
  <si>
    <t>1236</t>
  </si>
  <si>
    <t>Poznan: ul. Dworcowa 1</t>
  </si>
  <si>
    <t>1237</t>
  </si>
  <si>
    <t>1238</t>
  </si>
  <si>
    <t>1239</t>
  </si>
  <si>
    <t>1240</t>
  </si>
  <si>
    <t>1241</t>
  </si>
  <si>
    <t>Konin: ul. Kolejowa 1</t>
  </si>
  <si>
    <t>1242</t>
  </si>
  <si>
    <t>1242_KALISZ</t>
  </si>
  <si>
    <t>1243</t>
  </si>
  <si>
    <t>1243_POZ_GAR</t>
  </si>
  <si>
    <t>1244</t>
  </si>
  <si>
    <t>Gniezno: ul. Dworcowa 7</t>
  </si>
  <si>
    <t>1245</t>
  </si>
  <si>
    <t>1245_GDA_OLI</t>
  </si>
  <si>
    <t>1246</t>
  </si>
  <si>
    <t>Ostrów Wielkopolski: ul. Dworcowa 1</t>
  </si>
  <si>
    <t>1247</t>
  </si>
  <si>
    <t>1247_TOR-GL</t>
  </si>
  <si>
    <t>1248</t>
  </si>
  <si>
    <t>1248_PIOTRKO</t>
  </si>
  <si>
    <t>1249</t>
  </si>
  <si>
    <t>1249_WLOCLAW</t>
  </si>
  <si>
    <t>1250</t>
  </si>
  <si>
    <t>1250_RADOMSK-Karpacz</t>
  </si>
  <si>
    <t>1251</t>
  </si>
  <si>
    <t>Kielce: Plac Niepodległosci 1</t>
  </si>
  <si>
    <t>1252</t>
  </si>
  <si>
    <t>Opole: ul. Krakowska 48</t>
  </si>
  <si>
    <t>1253</t>
  </si>
  <si>
    <t>1254</t>
  </si>
  <si>
    <t>Wroclaw: ul. Stacyjna 5</t>
  </si>
  <si>
    <t>1255</t>
  </si>
  <si>
    <t>1255_ZABRZE</t>
  </si>
  <si>
    <t>1256</t>
  </si>
  <si>
    <t>1257</t>
  </si>
  <si>
    <t>1259</t>
  </si>
  <si>
    <t>1259_CZEMPIN</t>
  </si>
  <si>
    <t>1261</t>
  </si>
  <si>
    <t>1261_KRAK_GN</t>
  </si>
  <si>
    <t>1262</t>
  </si>
  <si>
    <t>1262_KRAK_GN</t>
  </si>
  <si>
    <t>1263</t>
  </si>
  <si>
    <t>1263_KRAK_GN</t>
  </si>
  <si>
    <t>1264</t>
  </si>
  <si>
    <t>1264_GORZ_WL</t>
  </si>
  <si>
    <t>1265</t>
  </si>
  <si>
    <t>Zielona Góra: ul. Dworcowa 32c</t>
  </si>
  <si>
    <t>1266</t>
  </si>
  <si>
    <t>Leszno: ul. Dworcowa</t>
  </si>
  <si>
    <t>1267</t>
  </si>
  <si>
    <t>1267_KRAK_GL</t>
  </si>
  <si>
    <t>1268</t>
  </si>
  <si>
    <t>1268_STAR_GD</t>
  </si>
  <si>
    <t>1269</t>
  </si>
  <si>
    <t>Gdansk: ul. Podwale Grodzkie 1</t>
  </si>
  <si>
    <t>1270</t>
  </si>
  <si>
    <t>1270_OlszZac</t>
  </si>
  <si>
    <t>1271</t>
  </si>
  <si>
    <t>Bydgoszcz: ul. Zygmunta Augusta 7</t>
  </si>
  <si>
    <t>1272</t>
  </si>
  <si>
    <t>Inowrocław: ul. Dworcowa 115</t>
  </si>
  <si>
    <t>1273</t>
  </si>
  <si>
    <t>1273_WLAD</t>
  </si>
  <si>
    <t>1274</t>
  </si>
  <si>
    <t>Krakow: pl. Jana Nowaka-Jezioranskiego 3 / CZERSK</t>
  </si>
  <si>
    <t>1275</t>
  </si>
  <si>
    <t>Rzeszów: pl. Dworcowy 1</t>
  </si>
  <si>
    <t>1277</t>
  </si>
  <si>
    <t>Gdynia.: pl. Konstytucji 1</t>
  </si>
  <si>
    <t>1278</t>
  </si>
  <si>
    <t>1278_GDY_GL</t>
  </si>
  <si>
    <t>1286</t>
  </si>
  <si>
    <t>1287</t>
  </si>
  <si>
    <t>1287_KWIDZYN</t>
  </si>
  <si>
    <t>1288</t>
  </si>
  <si>
    <t>1288_JASTARN</t>
  </si>
  <si>
    <t>1289</t>
  </si>
  <si>
    <t>1289_HEL</t>
  </si>
  <si>
    <t>1290</t>
  </si>
  <si>
    <t>Szczecin: ul. Krzysztofa Kolumba 1</t>
  </si>
  <si>
    <t>1291</t>
  </si>
  <si>
    <t>Elbląg</t>
  </si>
  <si>
    <t>1292</t>
  </si>
  <si>
    <t>1292_LĘBORK</t>
  </si>
  <si>
    <t>1293</t>
  </si>
  <si>
    <t>1293_PUCK</t>
  </si>
  <si>
    <t>Brzeg: pl. Dworcowy</t>
  </si>
  <si>
    <t>1295</t>
  </si>
  <si>
    <t>Pila: ul. Zygmunta Starego 1</t>
  </si>
  <si>
    <t>1296</t>
  </si>
  <si>
    <t>Poznan: Dworcowa 1</t>
  </si>
  <si>
    <t>1297</t>
  </si>
  <si>
    <t>1298</t>
  </si>
  <si>
    <t>1299</t>
  </si>
  <si>
    <t>Kraków: pl. Jana Nowaka-Jezioranskiego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</si>
</sst>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z_ł_-;\-* #,##0.00\ _z_ł_-;_-* &quot;-&quot;??\ _z_ł_-;_-@_-"/>
    <numFmt numFmtId="165" formatCode="#,##0.00_ ;\-#,##0.00\ "/>
  </numFmts>
  <fonts count="6" x14ac:knownFonts="1">
    <font>
      <sz val="11"/>
      <color theme="1"/>
      <name val="Calibri"/>
      <family val="2"/>
      <charset val="238"/>
      <scheme val="minor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8"/>
      <color indexed="8"/>
      <name val="Arial"/>
      <family val="2"/>
    </font>
    <font>
      <sz val="8"/>
      <color indexed="72"/>
      <name val="Calibri"/>
      <family val="2"/>
      <scheme val="minor"/>
    </font>
    <font>
      <sz val="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shrinkToFit="1"/>
    </xf>
    <xf numFmtId="0" fontId="1" fillId="0" borderId="6" xfId="0" applyFont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 wrapText="1"/>
    </xf>
    <xf numFmtId="164" fontId="1" fillId="2" borderId="7" xfId="0" applyNumberFormat="1" applyFont="1" applyFill="1" applyBorder="1" applyAlignment="1">
      <alignment horizontal="center"/>
    </xf>
    <xf numFmtId="0" fontId="1" fillId="0" borderId="6" xfId="0" applyFont="1" applyBorder="1"/>
    <xf numFmtId="0" fontId="1" fillId="0" borderId="2" xfId="0" applyFont="1" applyBorder="1" applyAlignment="1">
      <alignment horizontal="left"/>
    </xf>
    <xf numFmtId="4" fontId="1" fillId="0" borderId="6" xfId="0" applyNumberFormat="1" applyFont="1" applyBorder="1"/>
    <xf numFmtId="4" fontId="1" fillId="3" borderId="6" xfId="0" applyNumberFormat="1" applyFont="1" applyFill="1" applyBorder="1"/>
    <xf numFmtId="4" fontId="1" fillId="0" borderId="6" xfId="0" applyNumberFormat="1" applyFont="1" applyBorder="1" applyAlignment="1">
      <alignment shrinkToFit="1"/>
    </xf>
    <xf numFmtId="3" fontId="1" fillId="0" borderId="6" xfId="0" applyNumberFormat="1" applyFont="1" applyBorder="1" applyAlignment="1">
      <alignment horizontal="center"/>
    </xf>
    <xf numFmtId="164" fontId="1" fillId="0" borderId="0" xfId="0" applyNumberFormat="1" applyFont="1"/>
    <xf numFmtId="0" fontId="1" fillId="0" borderId="8" xfId="0" applyFont="1" applyBorder="1"/>
    <xf numFmtId="4" fontId="1" fillId="0" borderId="1" xfId="0" applyNumberFormat="1" applyFont="1" applyBorder="1"/>
    <xf numFmtId="0" fontId="1" fillId="0" borderId="1" xfId="0" applyFont="1" applyBorder="1"/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2" xfId="0" applyFont="1" applyBorder="1"/>
    <xf numFmtId="4" fontId="1" fillId="0" borderId="1" xfId="0" applyNumberFormat="1" applyFont="1" applyBorder="1" applyAlignment="1">
      <alignment shrinkToFit="1"/>
    </xf>
    <xf numFmtId="4" fontId="1" fillId="0" borderId="1" xfId="0" applyNumberFormat="1" applyFont="1" applyBorder="1" applyAlignment="1">
      <alignment wrapText="1"/>
    </xf>
    <xf numFmtId="0" fontId="0" fillId="0" borderId="4" xfId="0" applyBorder="1" applyAlignment="1">
      <alignment horizontal="left"/>
    </xf>
    <xf numFmtId="4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1" xfId="0" applyNumberFormat="1" applyFont="1" applyFill="1" applyBorder="1" applyAlignment="1">
      <alignment shrinkToFit="1"/>
    </xf>
    <xf numFmtId="164" fontId="1" fillId="2" borderId="1" xfId="0" applyNumberFormat="1" applyFont="1" applyFill="1" applyBorder="1" applyAlignment="1">
      <alignment horizontal="center" shrinkToFit="1"/>
    </xf>
    <xf numFmtId="164" fontId="1" fillId="5" borderId="0" xfId="0" applyNumberFormat="1" applyFont="1" applyFill="1"/>
    <xf numFmtId="0" fontId="2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0" xfId="0" applyFont="1"/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2" fillId="0" borderId="6" xfId="0" applyFont="1" applyBorder="1"/>
    <xf numFmtId="0" fontId="2" fillId="0" borderId="2" xfId="0" applyFont="1" applyBorder="1"/>
    <xf numFmtId="4" fontId="2" fillId="0" borderId="6" xfId="0" applyNumberFormat="1" applyFont="1" applyBorder="1"/>
    <xf numFmtId="4" fontId="2" fillId="0" borderId="6" xfId="0" applyNumberFormat="1" applyFont="1" applyBorder="1" applyAlignment="1">
      <alignment shrinkToFit="1"/>
    </xf>
    <xf numFmtId="4" fontId="2" fillId="0" borderId="6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164" fontId="2" fillId="0" borderId="0" xfId="0" applyNumberFormat="1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" fontId="2" fillId="2" borderId="6" xfId="0" applyNumberFormat="1" applyFont="1" applyFill="1" applyBorder="1"/>
    <xf numFmtId="4" fontId="2" fillId="2" borderId="6" xfId="0" applyNumberFormat="1" applyFont="1" applyFill="1" applyBorder="1" applyAlignment="1">
      <alignment horizontal="right"/>
    </xf>
    <xf numFmtId="4" fontId="2" fillId="2" borderId="6" xfId="0" applyNumberFormat="1" applyFont="1" applyFill="1" applyBorder="1" applyAlignment="1">
      <alignment shrinkToFit="1"/>
    </xf>
    <xf numFmtId="4" fontId="2" fillId="4" borderId="6" xfId="0" applyNumberFormat="1" applyFont="1" applyFill="1" applyBorder="1"/>
    <xf numFmtId="164" fontId="2" fillId="0" borderId="0" xfId="0" applyNumberFormat="1" applyFont="1" applyAlignment="1">
      <alignment shrinkToFit="1"/>
    </xf>
    <xf numFmtId="0" fontId="3" fillId="6" borderId="12" xfId="0" applyFont="1" applyFill="1" applyBorder="1" applyAlignment="1">
      <alignment horizontal="left" wrapText="1"/>
    </xf>
    <xf numFmtId="0" fontId="3" fillId="6" borderId="13" xfId="0" applyFont="1" applyFill="1" applyBorder="1" applyAlignment="1">
      <alignment horizontal="left" wrapText="1"/>
    </xf>
    <xf numFmtId="3" fontId="4" fillId="6" borderId="6" xfId="0" applyNumberFormat="1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left" wrapText="1"/>
    </xf>
    <xf numFmtId="0" fontId="1" fillId="0" borderId="0" xfId="0" applyFont="1" applyAlignment="1">
      <alignment horizontal="center" shrinkToFit="1"/>
    </xf>
    <xf numFmtId="0" fontId="1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shrinkToFi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shrinkToFit="1"/>
    </xf>
    <xf numFmtId="0" fontId="1" fillId="2" borderId="3" xfId="0" applyFont="1" applyFill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center" shrinkToFit="1"/>
    </xf>
    <xf numFmtId="0" fontId="2" fillId="2" borderId="6" xfId="0" applyFont="1" applyFill="1" applyBorder="1" applyAlignment="1">
      <alignment shrinkToFit="1"/>
    </xf>
    <xf numFmtId="0" fontId="2" fillId="0" borderId="6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</cellXfs>
  <cellStyles count="1">
    <cellStyle name="Normalny" xfId="0" builtinId="0"/>
  </cellStyles>
  <dxfs count="2"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3BEE-7545-4630-BCD0-F04BF580E5E3}">
  <dimension ref="A1:AH42"/>
  <sheetViews>
    <sheetView zoomScale="111" zoomScaleNormal="80" workbookViewId="0">
      <pane xSplit="6" ySplit="16" topLeftCell="O27" activePane="bottomRight" state="frozen"/>
      <selection pane="topRight" activeCell="G1" sqref="G1"/>
      <selection pane="bottomLeft" activeCell="A17" sqref="A17"/>
      <selection pane="bottomRight" activeCell="E15" sqref="E15:F15"/>
    </sheetView>
  </sheetViews>
  <sheetFormatPr defaultRowHeight="15" x14ac:dyDescent="0.25"/>
  <cols>
    <col min="2" max="2" width="4.42578125" customWidth="1"/>
    <col min="3" max="3" width="4.5703125" customWidth="1"/>
    <col min="4" max="4" width="0.140625" customWidth="1"/>
    <col min="5" max="5" width="7" customWidth="1"/>
    <col min="6" max="6" width="24.85546875" customWidth="1"/>
    <col min="10" max="10" width="12.7109375" bestFit="1" customWidth="1"/>
    <col min="11" max="11" width="11.42578125" bestFit="1" customWidth="1"/>
    <col min="12" max="12" width="10.5703125" bestFit="1" customWidth="1"/>
    <col min="13" max="13" width="9.28515625" bestFit="1" customWidth="1"/>
    <col min="14" max="15" width="11.42578125" bestFit="1" customWidth="1"/>
    <col min="16" max="16" width="9.28515625" bestFit="1" customWidth="1"/>
    <col min="17" max="19" width="10.5703125" bestFit="1" customWidth="1"/>
    <col min="20" max="21" width="9.28515625" bestFit="1" customWidth="1"/>
    <col min="22" max="24" width="10.5703125" bestFit="1" customWidth="1"/>
    <col min="25" max="26" width="11.42578125" bestFit="1" customWidth="1"/>
    <col min="27" max="27" width="9.28515625" bestFit="1" customWidth="1"/>
    <col min="28" max="30" width="11.42578125" bestFit="1" customWidth="1"/>
  </cols>
  <sheetData>
    <row r="1" spans="1:34" x14ac:dyDescent="0.25">
      <c r="A1" s="90" t="s">
        <v>0</v>
      </c>
      <c r="B1" s="92" t="s">
        <v>1</v>
      </c>
      <c r="C1" s="93"/>
      <c r="D1" s="93"/>
      <c r="E1" s="93"/>
      <c r="F1" s="94"/>
      <c r="G1" s="92" t="s">
        <v>2</v>
      </c>
      <c r="H1" s="93"/>
      <c r="I1" s="93"/>
      <c r="J1" s="94"/>
      <c r="K1" s="92" t="s">
        <v>3</v>
      </c>
      <c r="L1" s="93"/>
      <c r="M1" s="93"/>
      <c r="N1" s="93"/>
      <c r="O1" s="94"/>
      <c r="P1" s="95" t="s">
        <v>4</v>
      </c>
      <c r="Q1" s="88" t="s">
        <v>5</v>
      </c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0"/>
      <c r="AD1" s="69"/>
      <c r="AE1" s="69"/>
      <c r="AF1" s="69"/>
      <c r="AG1" s="69"/>
      <c r="AH1" s="69"/>
    </row>
    <row r="2" spans="1:34" ht="45.75" x14ac:dyDescent="0.25">
      <c r="A2" s="91"/>
      <c r="B2" s="3" t="s">
        <v>6</v>
      </c>
      <c r="C2" s="3" t="s">
        <v>7</v>
      </c>
      <c r="D2" s="3" t="s">
        <v>8</v>
      </c>
      <c r="E2" s="82" t="s">
        <v>9</v>
      </c>
      <c r="F2" s="83"/>
      <c r="G2" s="3" t="s">
        <v>10</v>
      </c>
      <c r="H2" s="3" t="s">
        <v>11</v>
      </c>
      <c r="I2" s="3" t="s">
        <v>12</v>
      </c>
      <c r="J2" s="4" t="s">
        <v>13</v>
      </c>
      <c r="K2" s="3" t="s">
        <v>10</v>
      </c>
      <c r="L2" s="3" t="s">
        <v>14</v>
      </c>
      <c r="M2" s="3" t="s">
        <v>15</v>
      </c>
      <c r="N2" s="3" t="s">
        <v>16</v>
      </c>
      <c r="O2" s="3" t="s">
        <v>17</v>
      </c>
      <c r="P2" s="96"/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5" t="s">
        <v>29</v>
      </c>
      <c r="AC2" s="80"/>
      <c r="AD2" s="6"/>
      <c r="AE2" s="7"/>
      <c r="AF2" s="7"/>
      <c r="AG2" s="84"/>
      <c r="AH2" s="84"/>
    </row>
    <row r="3" spans="1:34" x14ac:dyDescent="0.25">
      <c r="A3" s="8" t="s">
        <v>30</v>
      </c>
      <c r="B3" s="85" t="s">
        <v>31</v>
      </c>
      <c r="C3" s="86"/>
      <c r="D3" s="86"/>
      <c r="E3" s="86"/>
      <c r="F3" s="87"/>
      <c r="G3" s="8">
        <v>3</v>
      </c>
      <c r="H3" s="8">
        <v>4</v>
      </c>
      <c r="I3" s="8">
        <v>5</v>
      </c>
      <c r="J3" s="11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12">
        <v>13</v>
      </c>
      <c r="R3" s="12">
        <v>14</v>
      </c>
      <c r="S3" s="12">
        <v>15</v>
      </c>
      <c r="T3" s="12">
        <v>16</v>
      </c>
      <c r="U3" s="12">
        <v>17</v>
      </c>
      <c r="V3" s="8">
        <v>18</v>
      </c>
      <c r="W3" s="3">
        <v>19</v>
      </c>
      <c r="X3" s="3">
        <v>20</v>
      </c>
      <c r="Y3" s="3">
        <v>21</v>
      </c>
      <c r="Z3" s="3">
        <v>22</v>
      </c>
      <c r="AA3" s="3">
        <v>23</v>
      </c>
      <c r="AB3" s="13">
        <v>24</v>
      </c>
      <c r="AC3" s="1"/>
      <c r="AD3" s="80"/>
      <c r="AE3" s="80"/>
      <c r="AF3" s="80"/>
      <c r="AG3" s="80"/>
      <c r="AH3" s="80"/>
    </row>
    <row r="4" spans="1:34" x14ac:dyDescent="0.25">
      <c r="A4" s="77" t="s">
        <v>32</v>
      </c>
      <c r="B4" s="78"/>
      <c r="C4" s="78"/>
      <c r="D4" s="78"/>
      <c r="E4" s="78"/>
      <c r="F4" s="79"/>
      <c r="G4" s="14"/>
      <c r="H4" s="14"/>
      <c r="I4" s="14"/>
      <c r="J4" s="15"/>
      <c r="K4" s="14"/>
      <c r="L4" s="14"/>
      <c r="M4" s="14"/>
      <c r="N4" s="14"/>
      <c r="O4" s="14"/>
      <c r="P4" s="14"/>
      <c r="Q4" s="16"/>
      <c r="R4" s="16"/>
      <c r="S4" s="16"/>
      <c r="T4" s="16"/>
      <c r="U4" s="16"/>
      <c r="V4" s="16"/>
      <c r="W4" s="17"/>
      <c r="X4" s="17"/>
      <c r="Y4" s="17"/>
      <c r="Z4" s="17"/>
      <c r="AA4" s="17"/>
      <c r="AB4" s="18"/>
      <c r="AC4" s="80"/>
      <c r="AD4" s="80"/>
      <c r="AE4" s="80"/>
      <c r="AF4" s="80"/>
      <c r="AG4" s="80"/>
      <c r="AH4" s="80"/>
    </row>
    <row r="5" spans="1:34" x14ac:dyDescent="0.25">
      <c r="A5" s="19">
        <v>1</v>
      </c>
      <c r="B5" s="19">
        <v>1101</v>
      </c>
      <c r="C5" s="9">
        <v>1</v>
      </c>
      <c r="D5" s="9" t="s">
        <v>33</v>
      </c>
      <c r="E5" s="70" t="s">
        <v>34</v>
      </c>
      <c r="F5" s="75"/>
      <c r="G5" s="21">
        <v>51767.68</v>
      </c>
      <c r="H5" s="21"/>
      <c r="I5" s="21"/>
      <c r="J5" s="22">
        <v>51767.68</v>
      </c>
      <c r="K5" s="23">
        <v>22434.1</v>
      </c>
      <c r="L5" s="23"/>
      <c r="M5" s="21"/>
      <c r="N5" s="23">
        <v>10353.48</v>
      </c>
      <c r="O5" s="23">
        <f>SUM(K5+L5-M5+N5)</f>
        <v>32787.58</v>
      </c>
      <c r="P5" s="24">
        <v>20</v>
      </c>
      <c r="Q5" s="21">
        <v>863.79</v>
      </c>
      <c r="R5" s="21">
        <v>863.79</v>
      </c>
      <c r="S5" s="21">
        <v>863.79</v>
      </c>
      <c r="T5" s="21">
        <v>863.79</v>
      </c>
      <c r="U5" s="21">
        <v>863.79</v>
      </c>
      <c r="V5" s="21">
        <v>863.79</v>
      </c>
      <c r="W5" s="21">
        <v>863.79</v>
      </c>
      <c r="X5" s="21">
        <v>863.79</v>
      </c>
      <c r="Y5" s="21">
        <v>854.79</v>
      </c>
      <c r="Z5" s="21">
        <v>862.79</v>
      </c>
      <c r="AA5" s="21">
        <v>862.79</v>
      </c>
      <c r="AB5" s="21">
        <v>862.79</v>
      </c>
      <c r="AC5" s="25">
        <f>SUM(Q5:AB5)</f>
        <v>10353.48</v>
      </c>
      <c r="AD5" s="6"/>
      <c r="AE5" s="1"/>
      <c r="AF5" s="1"/>
      <c r="AG5" s="69"/>
      <c r="AH5" s="69"/>
    </row>
    <row r="6" spans="1:34" x14ac:dyDescent="0.25">
      <c r="A6" s="19">
        <v>2</v>
      </c>
      <c r="B6" s="19">
        <v>1102</v>
      </c>
      <c r="C6" s="9">
        <v>1</v>
      </c>
      <c r="D6" s="9" t="s">
        <v>33</v>
      </c>
      <c r="E6" s="70" t="s">
        <v>35</v>
      </c>
      <c r="F6" s="75"/>
      <c r="G6" s="21">
        <v>51767.68</v>
      </c>
      <c r="H6" s="21"/>
      <c r="I6" s="21"/>
      <c r="J6" s="21">
        <v>51767.68</v>
      </c>
      <c r="K6" s="23">
        <v>22432.66</v>
      </c>
      <c r="L6" s="23"/>
      <c r="M6" s="21"/>
      <c r="N6" s="23">
        <v>10353.48</v>
      </c>
      <c r="O6" s="23">
        <f t="shared" ref="O6:O14" si="0">SUM(K6+L6-M6+N6)</f>
        <v>32786.14</v>
      </c>
      <c r="P6" s="24">
        <v>20</v>
      </c>
      <c r="Q6" s="21">
        <v>862.79</v>
      </c>
      <c r="R6" s="21">
        <v>862.79</v>
      </c>
      <c r="S6" s="21">
        <v>862.79</v>
      </c>
      <c r="T6" s="21">
        <v>862.79</v>
      </c>
      <c r="U6" s="21">
        <v>862.79</v>
      </c>
      <c r="V6" s="21">
        <v>862.79</v>
      </c>
      <c r="W6" s="21">
        <v>862.79</v>
      </c>
      <c r="X6" s="21">
        <v>862.79</v>
      </c>
      <c r="Y6" s="21">
        <v>862.79</v>
      </c>
      <c r="Z6" s="21">
        <v>862.79</v>
      </c>
      <c r="AA6" s="21">
        <v>862.79</v>
      </c>
      <c r="AB6" s="21">
        <v>862.79</v>
      </c>
      <c r="AC6" s="25">
        <f t="shared" ref="AC6:AC41" si="1">SUM(Q6:AB6)</f>
        <v>10353.48</v>
      </c>
      <c r="AD6" s="6"/>
      <c r="AE6" s="1"/>
      <c r="AF6" s="1"/>
      <c r="AG6" s="69"/>
      <c r="AH6" s="69"/>
    </row>
    <row r="7" spans="1:34" x14ac:dyDescent="0.25">
      <c r="A7" s="19">
        <v>3</v>
      </c>
      <c r="B7" s="19">
        <v>1103</v>
      </c>
      <c r="C7" s="9">
        <v>1</v>
      </c>
      <c r="D7" s="9" t="s">
        <v>33</v>
      </c>
      <c r="E7" s="70" t="s">
        <v>36</v>
      </c>
      <c r="F7" s="75"/>
      <c r="G7" s="21">
        <v>51767.68</v>
      </c>
      <c r="H7" s="21"/>
      <c r="I7" s="21"/>
      <c r="J7" s="21">
        <v>51767.68</v>
      </c>
      <c r="K7" s="23">
        <v>22432.66</v>
      </c>
      <c r="L7" s="23"/>
      <c r="M7" s="21"/>
      <c r="N7" s="23">
        <v>10353.48</v>
      </c>
      <c r="O7" s="23">
        <f t="shared" si="0"/>
        <v>32786.14</v>
      </c>
      <c r="P7" s="24">
        <v>20</v>
      </c>
      <c r="Q7" s="21">
        <v>862.79</v>
      </c>
      <c r="R7" s="21">
        <v>862.79</v>
      </c>
      <c r="S7" s="21">
        <v>862.79</v>
      </c>
      <c r="T7" s="21">
        <v>862.79</v>
      </c>
      <c r="U7" s="21">
        <v>862.79</v>
      </c>
      <c r="V7" s="21">
        <v>862.79</v>
      </c>
      <c r="W7" s="21">
        <v>862.79</v>
      </c>
      <c r="X7" s="21">
        <v>862.79</v>
      </c>
      <c r="Y7" s="21">
        <v>862.79</v>
      </c>
      <c r="Z7" s="21">
        <v>862.79</v>
      </c>
      <c r="AA7" s="21">
        <v>862.79</v>
      </c>
      <c r="AB7" s="21">
        <v>862.79</v>
      </c>
      <c r="AC7" s="25">
        <f t="shared" si="1"/>
        <v>10353.48</v>
      </c>
      <c r="AD7" s="6"/>
      <c r="AE7" s="1"/>
      <c r="AF7" s="1"/>
      <c r="AG7" s="2"/>
      <c r="AH7" s="2"/>
    </row>
    <row r="8" spans="1:34" x14ac:dyDescent="0.25">
      <c r="A8" s="19">
        <v>4</v>
      </c>
      <c r="B8" s="19">
        <v>1104</v>
      </c>
      <c r="C8" s="9">
        <v>1</v>
      </c>
      <c r="D8" s="9" t="s">
        <v>33</v>
      </c>
      <c r="E8" s="70" t="s">
        <v>37</v>
      </c>
      <c r="F8" s="75"/>
      <c r="G8" s="21">
        <v>51767.68</v>
      </c>
      <c r="H8" s="21"/>
      <c r="I8" s="21"/>
      <c r="J8" s="21">
        <v>51767.68</v>
      </c>
      <c r="K8" s="23">
        <v>22432.66</v>
      </c>
      <c r="L8" s="23"/>
      <c r="M8" s="21"/>
      <c r="N8" s="23">
        <v>10353.48</v>
      </c>
      <c r="O8" s="23">
        <f t="shared" si="0"/>
        <v>32786.14</v>
      </c>
      <c r="P8" s="24">
        <v>20</v>
      </c>
      <c r="Q8" s="21">
        <v>862.79</v>
      </c>
      <c r="R8" s="21">
        <v>862.79</v>
      </c>
      <c r="S8" s="21">
        <v>862.79</v>
      </c>
      <c r="T8" s="21">
        <v>862.79</v>
      </c>
      <c r="U8" s="21">
        <v>862.79</v>
      </c>
      <c r="V8" s="21">
        <v>862.79</v>
      </c>
      <c r="W8" s="21">
        <v>862.79</v>
      </c>
      <c r="X8" s="21">
        <v>862.79</v>
      </c>
      <c r="Y8" s="21">
        <v>862.79</v>
      </c>
      <c r="Z8" s="21">
        <v>862.79</v>
      </c>
      <c r="AA8" s="21">
        <v>862.79</v>
      </c>
      <c r="AB8" s="21">
        <v>862.79</v>
      </c>
      <c r="AC8" s="25">
        <f t="shared" si="1"/>
        <v>10353.48</v>
      </c>
      <c r="AD8" s="6"/>
      <c r="AE8" s="1"/>
      <c r="AF8" s="1"/>
      <c r="AG8" s="81"/>
      <c r="AH8" s="81"/>
    </row>
    <row r="9" spans="1:34" x14ac:dyDescent="0.25">
      <c r="A9" s="19">
        <v>5</v>
      </c>
      <c r="B9" s="19">
        <v>1105</v>
      </c>
      <c r="C9" s="9">
        <v>1</v>
      </c>
      <c r="D9" s="9" t="s">
        <v>33</v>
      </c>
      <c r="E9" s="70" t="s">
        <v>38</v>
      </c>
      <c r="F9" s="75"/>
      <c r="G9" s="21">
        <v>51767.68</v>
      </c>
      <c r="H9" s="21"/>
      <c r="I9" s="21"/>
      <c r="J9" s="21">
        <v>51767.68</v>
      </c>
      <c r="K9" s="23">
        <v>22432.66</v>
      </c>
      <c r="L9" s="23"/>
      <c r="M9" s="21"/>
      <c r="N9" s="23">
        <v>10353.48</v>
      </c>
      <c r="O9" s="23">
        <f t="shared" si="0"/>
        <v>32786.14</v>
      </c>
      <c r="P9" s="24">
        <v>20</v>
      </c>
      <c r="Q9" s="21">
        <v>862.79</v>
      </c>
      <c r="R9" s="21">
        <v>862.79</v>
      </c>
      <c r="S9" s="21">
        <v>862.79</v>
      </c>
      <c r="T9" s="21">
        <v>862.79</v>
      </c>
      <c r="U9" s="21">
        <v>862.79</v>
      </c>
      <c r="V9" s="21">
        <v>862.79</v>
      </c>
      <c r="W9" s="21">
        <v>862.79</v>
      </c>
      <c r="X9" s="21">
        <v>862.79</v>
      </c>
      <c r="Y9" s="21">
        <v>862.79</v>
      </c>
      <c r="Z9" s="21">
        <v>862.79</v>
      </c>
      <c r="AA9" s="21">
        <v>862.79</v>
      </c>
      <c r="AB9" s="21">
        <v>862.79</v>
      </c>
      <c r="AC9" s="25">
        <f t="shared" si="1"/>
        <v>10353.48</v>
      </c>
      <c r="AD9" s="6"/>
      <c r="AE9" s="1"/>
      <c r="AF9" s="1"/>
      <c r="AG9" s="69"/>
      <c r="AH9" s="69"/>
    </row>
    <row r="10" spans="1:34" x14ac:dyDescent="0.25">
      <c r="A10" s="19">
        <v>6</v>
      </c>
      <c r="B10" s="19">
        <v>1106</v>
      </c>
      <c r="C10" s="9">
        <v>1</v>
      </c>
      <c r="D10" s="9" t="s">
        <v>33</v>
      </c>
      <c r="E10" s="70" t="s">
        <v>39</v>
      </c>
      <c r="F10" s="75"/>
      <c r="G10" s="21">
        <v>51767.68</v>
      </c>
      <c r="H10" s="21"/>
      <c r="I10" s="21"/>
      <c r="J10" s="21">
        <v>51767.68</v>
      </c>
      <c r="K10" s="23">
        <v>22432.66</v>
      </c>
      <c r="L10" s="23"/>
      <c r="M10" s="21"/>
      <c r="N10" s="23">
        <v>10353.48</v>
      </c>
      <c r="O10" s="23">
        <f t="shared" si="0"/>
        <v>32786.14</v>
      </c>
      <c r="P10" s="24">
        <v>20</v>
      </c>
      <c r="Q10" s="21">
        <v>862.79</v>
      </c>
      <c r="R10" s="21">
        <v>862.79</v>
      </c>
      <c r="S10" s="21">
        <v>862.79</v>
      </c>
      <c r="T10" s="21">
        <v>862.79</v>
      </c>
      <c r="U10" s="21">
        <v>862.79</v>
      </c>
      <c r="V10" s="21">
        <v>862.79</v>
      </c>
      <c r="W10" s="21">
        <v>862.79</v>
      </c>
      <c r="X10" s="21">
        <v>862.79</v>
      </c>
      <c r="Y10" s="21">
        <v>862.79</v>
      </c>
      <c r="Z10" s="21">
        <v>862.79</v>
      </c>
      <c r="AA10" s="21">
        <v>862.79</v>
      </c>
      <c r="AB10" s="21">
        <v>862.79</v>
      </c>
      <c r="AC10" s="25">
        <f t="shared" si="1"/>
        <v>10353.48</v>
      </c>
      <c r="AD10" s="6"/>
      <c r="AE10" s="1"/>
      <c r="AF10" s="1"/>
      <c r="AG10" s="69"/>
      <c r="AH10" s="69"/>
    </row>
    <row r="11" spans="1:34" x14ac:dyDescent="0.25">
      <c r="A11" s="19">
        <v>7</v>
      </c>
      <c r="B11" s="19">
        <v>1107</v>
      </c>
      <c r="C11" s="9">
        <v>1</v>
      </c>
      <c r="D11" s="9" t="s">
        <v>33</v>
      </c>
      <c r="E11" s="70" t="s">
        <v>40</v>
      </c>
      <c r="F11" s="75"/>
      <c r="G11" s="21">
        <v>51767.68</v>
      </c>
      <c r="H11" s="21"/>
      <c r="I11" s="21"/>
      <c r="J11" s="21">
        <v>51767.68</v>
      </c>
      <c r="K11" s="23">
        <v>22432.66</v>
      </c>
      <c r="L11" s="23"/>
      <c r="M11" s="21"/>
      <c r="N11" s="23">
        <v>10353.48</v>
      </c>
      <c r="O11" s="23">
        <f t="shared" si="0"/>
        <v>32786.14</v>
      </c>
      <c r="P11" s="24">
        <v>20</v>
      </c>
      <c r="Q11" s="21">
        <v>862.79</v>
      </c>
      <c r="R11" s="21">
        <v>862.79</v>
      </c>
      <c r="S11" s="21">
        <v>862.79</v>
      </c>
      <c r="T11" s="21">
        <v>862.79</v>
      </c>
      <c r="U11" s="21">
        <v>862.79</v>
      </c>
      <c r="V11" s="21">
        <v>862.79</v>
      </c>
      <c r="W11" s="21">
        <v>862.79</v>
      </c>
      <c r="X11" s="21">
        <v>862.79</v>
      </c>
      <c r="Y11" s="21">
        <v>862.79</v>
      </c>
      <c r="Z11" s="21">
        <v>862.79</v>
      </c>
      <c r="AA11" s="21">
        <v>862.79</v>
      </c>
      <c r="AB11" s="21">
        <v>862.79</v>
      </c>
      <c r="AC11" s="25">
        <f t="shared" si="1"/>
        <v>10353.48</v>
      </c>
      <c r="AD11" s="6"/>
      <c r="AE11" s="1"/>
      <c r="AF11" s="1"/>
      <c r="AG11" s="69"/>
      <c r="AH11" s="69"/>
    </row>
    <row r="12" spans="1:34" x14ac:dyDescent="0.25">
      <c r="A12" s="19">
        <v>8</v>
      </c>
      <c r="B12" s="19">
        <v>1108</v>
      </c>
      <c r="C12" s="9">
        <v>1</v>
      </c>
      <c r="D12" s="9" t="s">
        <v>33</v>
      </c>
      <c r="E12" s="70" t="s">
        <v>41</v>
      </c>
      <c r="F12" s="75"/>
      <c r="G12" s="21">
        <v>51767.68</v>
      </c>
      <c r="H12" s="21"/>
      <c r="I12" s="21"/>
      <c r="J12" s="21">
        <v>51767.68</v>
      </c>
      <c r="K12" s="23">
        <v>22432.66</v>
      </c>
      <c r="L12" s="23"/>
      <c r="M12" s="21"/>
      <c r="N12" s="23">
        <v>10353.48</v>
      </c>
      <c r="O12" s="23">
        <f t="shared" si="0"/>
        <v>32786.14</v>
      </c>
      <c r="P12" s="24">
        <v>20</v>
      </c>
      <c r="Q12" s="21">
        <v>862.79</v>
      </c>
      <c r="R12" s="21">
        <v>862.79</v>
      </c>
      <c r="S12" s="21">
        <v>862.79</v>
      </c>
      <c r="T12" s="21">
        <v>862.79</v>
      </c>
      <c r="U12" s="21">
        <v>862.79</v>
      </c>
      <c r="V12" s="21">
        <v>862.79</v>
      </c>
      <c r="W12" s="21">
        <v>862.79</v>
      </c>
      <c r="X12" s="21">
        <v>862.79</v>
      </c>
      <c r="Y12" s="21">
        <v>862.79</v>
      </c>
      <c r="Z12" s="21">
        <v>862.79</v>
      </c>
      <c r="AA12" s="21">
        <v>862.79</v>
      </c>
      <c r="AB12" s="21">
        <v>862.79</v>
      </c>
      <c r="AC12" s="25">
        <f t="shared" si="1"/>
        <v>10353.48</v>
      </c>
      <c r="AD12" s="6"/>
      <c r="AE12" s="1"/>
      <c r="AF12" s="1"/>
      <c r="AG12" s="69"/>
      <c r="AH12" s="69"/>
    </row>
    <row r="13" spans="1:34" x14ac:dyDescent="0.25">
      <c r="A13" s="19">
        <v>9</v>
      </c>
      <c r="B13" s="19">
        <v>1109</v>
      </c>
      <c r="C13" s="9">
        <v>1</v>
      </c>
      <c r="D13" s="9" t="s">
        <v>33</v>
      </c>
      <c r="E13" s="70" t="s">
        <v>42</v>
      </c>
      <c r="F13" s="75"/>
      <c r="G13" s="21">
        <v>51767.68</v>
      </c>
      <c r="H13" s="21"/>
      <c r="I13" s="21"/>
      <c r="J13" s="21">
        <v>51767.68</v>
      </c>
      <c r="K13" s="23">
        <v>22432.66</v>
      </c>
      <c r="L13" s="23"/>
      <c r="M13" s="21"/>
      <c r="N13" s="23">
        <v>10353.48</v>
      </c>
      <c r="O13" s="23">
        <f t="shared" si="0"/>
        <v>32786.14</v>
      </c>
      <c r="P13" s="24">
        <v>20</v>
      </c>
      <c r="Q13" s="21">
        <v>862.79</v>
      </c>
      <c r="R13" s="21">
        <v>862.79</v>
      </c>
      <c r="S13" s="21">
        <v>862.79</v>
      </c>
      <c r="T13" s="21">
        <v>862.79</v>
      </c>
      <c r="U13" s="21">
        <v>862.79</v>
      </c>
      <c r="V13" s="21">
        <v>862.79</v>
      </c>
      <c r="W13" s="21">
        <v>862.79</v>
      </c>
      <c r="X13" s="21">
        <v>862.79</v>
      </c>
      <c r="Y13" s="21">
        <v>862.79</v>
      </c>
      <c r="Z13" s="21">
        <v>862.79</v>
      </c>
      <c r="AA13" s="21">
        <v>862.79</v>
      </c>
      <c r="AB13" s="21">
        <v>862.79</v>
      </c>
      <c r="AC13" s="25">
        <f t="shared" si="1"/>
        <v>10353.48</v>
      </c>
      <c r="AD13" s="6"/>
      <c r="AE13" s="1"/>
      <c r="AF13" s="1"/>
      <c r="AG13" s="69"/>
      <c r="AH13" s="69"/>
    </row>
    <row r="14" spans="1:34" x14ac:dyDescent="0.25">
      <c r="A14" s="19">
        <v>10</v>
      </c>
      <c r="B14" s="19">
        <v>1110</v>
      </c>
      <c r="C14" s="9">
        <v>1</v>
      </c>
      <c r="D14" s="9" t="s">
        <v>33</v>
      </c>
      <c r="E14" s="70" t="s">
        <v>43</v>
      </c>
      <c r="F14" s="75"/>
      <c r="G14" s="21">
        <v>51767.71</v>
      </c>
      <c r="H14" s="21"/>
      <c r="I14" s="21"/>
      <c r="J14" s="21">
        <v>51767.71</v>
      </c>
      <c r="K14" s="23">
        <v>22432.74</v>
      </c>
      <c r="L14" s="23"/>
      <c r="M14" s="21"/>
      <c r="N14" s="23">
        <v>10353.6</v>
      </c>
      <c r="O14" s="23">
        <f t="shared" si="0"/>
        <v>32786.340000000004</v>
      </c>
      <c r="P14" s="24">
        <v>20</v>
      </c>
      <c r="Q14" s="21">
        <v>862.8</v>
      </c>
      <c r="R14" s="21">
        <v>862.8</v>
      </c>
      <c r="S14" s="21">
        <v>862.8</v>
      </c>
      <c r="T14" s="21">
        <v>862.8</v>
      </c>
      <c r="U14" s="21">
        <v>862.8</v>
      </c>
      <c r="V14" s="21">
        <v>862.8</v>
      </c>
      <c r="W14" s="21">
        <v>862.8</v>
      </c>
      <c r="X14" s="21">
        <v>862.8</v>
      </c>
      <c r="Y14" s="21">
        <v>862.8</v>
      </c>
      <c r="Z14" s="21">
        <v>862.8</v>
      </c>
      <c r="AA14" s="21">
        <v>862.8</v>
      </c>
      <c r="AB14" s="21">
        <v>862.8</v>
      </c>
      <c r="AC14" s="25">
        <f t="shared" si="1"/>
        <v>10353.599999999999</v>
      </c>
      <c r="AD14" s="6"/>
      <c r="AE14" s="1"/>
      <c r="AF14" s="1"/>
      <c r="AG14" s="69"/>
      <c r="AH14" s="69"/>
    </row>
    <row r="15" spans="1:34" x14ac:dyDescent="0.25">
      <c r="A15" s="19">
        <v>11</v>
      </c>
      <c r="B15" s="19">
        <v>1111</v>
      </c>
      <c r="C15" s="9">
        <v>1</v>
      </c>
      <c r="D15" s="9" t="s">
        <v>44</v>
      </c>
      <c r="E15" s="70" t="s">
        <v>45</v>
      </c>
      <c r="F15" s="75"/>
      <c r="G15" s="21">
        <v>46077.21</v>
      </c>
      <c r="H15" s="21"/>
      <c r="I15" s="21"/>
      <c r="J15" s="21">
        <v>46077.21</v>
      </c>
      <c r="K15" s="23">
        <v>6907.95</v>
      </c>
      <c r="L15" s="23"/>
      <c r="M15" s="21"/>
      <c r="N15" s="23">
        <v>9215.4</v>
      </c>
      <c r="O15" s="23">
        <f>K15+N15</f>
        <v>16123.349999999999</v>
      </c>
      <c r="P15" s="24">
        <v>20</v>
      </c>
      <c r="Q15" s="21">
        <v>767.95</v>
      </c>
      <c r="R15" s="21">
        <v>767.95</v>
      </c>
      <c r="S15" s="21">
        <v>767.95</v>
      </c>
      <c r="T15" s="21">
        <v>767.95</v>
      </c>
      <c r="U15" s="21">
        <v>767.95</v>
      </c>
      <c r="V15" s="21">
        <v>767.95</v>
      </c>
      <c r="W15" s="21">
        <v>767.95</v>
      </c>
      <c r="X15" s="21">
        <v>767.95</v>
      </c>
      <c r="Y15" s="21">
        <v>767.95</v>
      </c>
      <c r="Z15" s="21">
        <v>767.95</v>
      </c>
      <c r="AA15" s="21">
        <v>767.95</v>
      </c>
      <c r="AB15" s="21">
        <v>767.95</v>
      </c>
      <c r="AC15" s="25">
        <f t="shared" si="1"/>
        <v>9215.4</v>
      </c>
      <c r="AD15" s="6"/>
      <c r="AE15" s="1"/>
      <c r="AF15" s="1"/>
      <c r="AG15" s="2"/>
      <c r="AH15" s="2"/>
    </row>
    <row r="16" spans="1:34" x14ac:dyDescent="0.25">
      <c r="A16" s="19">
        <v>12</v>
      </c>
      <c r="B16" s="19">
        <v>1112</v>
      </c>
      <c r="C16" s="9">
        <v>1</v>
      </c>
      <c r="D16" s="9" t="s">
        <v>44</v>
      </c>
      <c r="E16" s="70" t="s">
        <v>46</v>
      </c>
      <c r="F16" s="75"/>
      <c r="G16" s="21">
        <v>47370.01</v>
      </c>
      <c r="H16" s="21"/>
      <c r="I16" s="21"/>
      <c r="J16" s="21">
        <v>47370.01</v>
      </c>
      <c r="K16" s="23">
        <v>7105.5</v>
      </c>
      <c r="L16" s="23"/>
      <c r="M16" s="21"/>
      <c r="N16" s="23">
        <v>9474</v>
      </c>
      <c r="O16" s="23">
        <f t="shared" ref="O16:O31" si="2">K16+N16</f>
        <v>16579.5</v>
      </c>
      <c r="P16" s="24">
        <v>20</v>
      </c>
      <c r="Q16" s="21">
        <v>789.5</v>
      </c>
      <c r="R16" s="21">
        <v>789.5</v>
      </c>
      <c r="S16" s="21">
        <v>789.5</v>
      </c>
      <c r="T16" s="21">
        <v>789.5</v>
      </c>
      <c r="U16" s="21">
        <v>789.5</v>
      </c>
      <c r="V16" s="21">
        <v>789.5</v>
      </c>
      <c r="W16" s="21">
        <v>789.5</v>
      </c>
      <c r="X16" s="21">
        <v>789.5</v>
      </c>
      <c r="Y16" s="21">
        <v>789.5</v>
      </c>
      <c r="Z16" s="21">
        <v>789.5</v>
      </c>
      <c r="AA16" s="21">
        <v>789.5</v>
      </c>
      <c r="AB16" s="21">
        <v>789.5</v>
      </c>
      <c r="AC16" s="25">
        <f t="shared" si="1"/>
        <v>9474</v>
      </c>
      <c r="AD16" s="6"/>
      <c r="AE16" s="1"/>
      <c r="AF16" s="1"/>
      <c r="AG16" s="2"/>
      <c r="AH16" s="2"/>
    </row>
    <row r="17" spans="1:34" x14ac:dyDescent="0.25">
      <c r="A17" s="19">
        <v>13</v>
      </c>
      <c r="B17" s="19">
        <v>1113</v>
      </c>
      <c r="C17" s="9">
        <v>1</v>
      </c>
      <c r="D17" s="9" t="s">
        <v>44</v>
      </c>
      <c r="E17" s="70" t="s">
        <v>47</v>
      </c>
      <c r="F17" s="75"/>
      <c r="G17" s="21">
        <v>47370.01</v>
      </c>
      <c r="H17" s="21"/>
      <c r="I17" s="21"/>
      <c r="J17" s="21">
        <v>47370.01</v>
      </c>
      <c r="K17" s="23">
        <v>7105.5</v>
      </c>
      <c r="L17" s="23"/>
      <c r="M17" s="21"/>
      <c r="N17" s="23">
        <v>9474</v>
      </c>
      <c r="O17" s="23">
        <f t="shared" si="2"/>
        <v>16579.5</v>
      </c>
      <c r="P17" s="24">
        <v>20</v>
      </c>
      <c r="Q17" s="21">
        <v>789.5</v>
      </c>
      <c r="R17" s="21">
        <v>789.5</v>
      </c>
      <c r="S17" s="21">
        <v>789.5</v>
      </c>
      <c r="T17" s="21">
        <v>789.5</v>
      </c>
      <c r="U17" s="21">
        <v>789.5</v>
      </c>
      <c r="V17" s="21">
        <v>789.5</v>
      </c>
      <c r="W17" s="21">
        <v>789.5</v>
      </c>
      <c r="X17" s="21">
        <v>789.5</v>
      </c>
      <c r="Y17" s="21">
        <v>789.5</v>
      </c>
      <c r="Z17" s="21">
        <v>789.5</v>
      </c>
      <c r="AA17" s="21">
        <v>789.5</v>
      </c>
      <c r="AB17" s="21">
        <v>789.5</v>
      </c>
      <c r="AC17" s="25">
        <f t="shared" si="1"/>
        <v>9474</v>
      </c>
      <c r="AD17" s="6"/>
      <c r="AE17" s="1"/>
      <c r="AF17" s="1"/>
      <c r="AG17" s="2"/>
      <c r="AH17" s="2"/>
    </row>
    <row r="18" spans="1:34" x14ac:dyDescent="0.25">
      <c r="A18" s="19">
        <v>14</v>
      </c>
      <c r="B18" s="19">
        <v>1114</v>
      </c>
      <c r="C18" s="9">
        <v>1</v>
      </c>
      <c r="D18" s="9" t="s">
        <v>44</v>
      </c>
      <c r="E18" s="70" t="s">
        <v>48</v>
      </c>
      <c r="F18" s="75"/>
      <c r="G18" s="21">
        <v>47370.01</v>
      </c>
      <c r="H18" s="21"/>
      <c r="I18" s="21"/>
      <c r="J18" s="21">
        <v>47370.01</v>
      </c>
      <c r="K18" s="23">
        <v>7105.5</v>
      </c>
      <c r="L18" s="23"/>
      <c r="M18" s="21"/>
      <c r="N18" s="23">
        <v>9474</v>
      </c>
      <c r="O18" s="23">
        <f t="shared" si="2"/>
        <v>16579.5</v>
      </c>
      <c r="P18" s="24">
        <v>20</v>
      </c>
      <c r="Q18" s="21">
        <v>789.5</v>
      </c>
      <c r="R18" s="21">
        <v>789.5</v>
      </c>
      <c r="S18" s="21">
        <v>789.5</v>
      </c>
      <c r="T18" s="21">
        <v>789.5</v>
      </c>
      <c r="U18" s="21">
        <v>789.5</v>
      </c>
      <c r="V18" s="21">
        <v>789.5</v>
      </c>
      <c r="W18" s="21">
        <v>789.5</v>
      </c>
      <c r="X18" s="21">
        <v>789.5</v>
      </c>
      <c r="Y18" s="21">
        <v>789.5</v>
      </c>
      <c r="Z18" s="21">
        <v>789.5</v>
      </c>
      <c r="AA18" s="21">
        <v>789.5</v>
      </c>
      <c r="AB18" s="21">
        <v>789.5</v>
      </c>
      <c r="AC18" s="25">
        <f t="shared" si="1"/>
        <v>9474</v>
      </c>
      <c r="AD18" s="6"/>
      <c r="AE18" s="1"/>
      <c r="AF18" s="1"/>
      <c r="AG18" s="2"/>
      <c r="AH18" s="2"/>
    </row>
    <row r="19" spans="1:34" x14ac:dyDescent="0.25">
      <c r="A19" s="19">
        <v>15</v>
      </c>
      <c r="B19" s="19"/>
      <c r="C19" s="9">
        <v>1</v>
      </c>
      <c r="D19" s="9" t="s">
        <v>49</v>
      </c>
      <c r="E19" s="70" t="s">
        <v>34</v>
      </c>
      <c r="F19" s="75"/>
      <c r="G19" s="21">
        <v>47370.01</v>
      </c>
      <c r="H19" s="21"/>
      <c r="I19" s="21"/>
      <c r="J19" s="21">
        <v>47370.01</v>
      </c>
      <c r="K19" s="23">
        <v>6316</v>
      </c>
      <c r="L19" s="23"/>
      <c r="M19" s="21"/>
      <c r="N19" s="23">
        <v>9474</v>
      </c>
      <c r="O19" s="23">
        <f t="shared" si="2"/>
        <v>15790</v>
      </c>
      <c r="P19" s="24">
        <v>20</v>
      </c>
      <c r="Q19" s="21">
        <v>789.5</v>
      </c>
      <c r="R19" s="21">
        <v>789.5</v>
      </c>
      <c r="S19" s="21">
        <v>789.5</v>
      </c>
      <c r="T19" s="21">
        <v>789.5</v>
      </c>
      <c r="U19" s="21">
        <v>789.5</v>
      </c>
      <c r="V19" s="21">
        <v>789.5</v>
      </c>
      <c r="W19" s="21">
        <v>789.5</v>
      </c>
      <c r="X19" s="21">
        <v>789.5</v>
      </c>
      <c r="Y19" s="21">
        <v>789.5</v>
      </c>
      <c r="Z19" s="21">
        <v>789.5</v>
      </c>
      <c r="AA19" s="21">
        <v>789.5</v>
      </c>
      <c r="AB19" s="21">
        <v>789.5</v>
      </c>
      <c r="AC19" s="25">
        <f t="shared" si="1"/>
        <v>9474</v>
      </c>
      <c r="AD19" s="6"/>
      <c r="AE19" s="1"/>
      <c r="AF19" s="1"/>
      <c r="AG19" s="2"/>
      <c r="AH19" s="2"/>
    </row>
    <row r="20" spans="1:34" x14ac:dyDescent="0.25">
      <c r="A20" s="19">
        <v>16</v>
      </c>
      <c r="B20" s="19"/>
      <c r="C20" s="9">
        <v>1</v>
      </c>
      <c r="D20" s="9" t="s">
        <v>49</v>
      </c>
      <c r="E20" s="70" t="s">
        <v>50</v>
      </c>
      <c r="F20" s="75"/>
      <c r="G20" s="21">
        <v>47370.01</v>
      </c>
      <c r="H20" s="21"/>
      <c r="I20" s="21"/>
      <c r="J20" s="21">
        <v>47370.01</v>
      </c>
      <c r="K20" s="23">
        <v>6316</v>
      </c>
      <c r="L20" s="23"/>
      <c r="M20" s="21"/>
      <c r="N20" s="23">
        <v>9474</v>
      </c>
      <c r="O20" s="23">
        <f t="shared" si="2"/>
        <v>15790</v>
      </c>
      <c r="P20" s="24">
        <v>20</v>
      </c>
      <c r="Q20" s="21">
        <v>789.5</v>
      </c>
      <c r="R20" s="21">
        <v>789.5</v>
      </c>
      <c r="S20" s="21">
        <v>789.5</v>
      </c>
      <c r="T20" s="21">
        <v>789.5</v>
      </c>
      <c r="U20" s="21">
        <v>789.5</v>
      </c>
      <c r="V20" s="21">
        <v>789.5</v>
      </c>
      <c r="W20" s="21">
        <v>789.5</v>
      </c>
      <c r="X20" s="21">
        <v>789.5</v>
      </c>
      <c r="Y20" s="21">
        <v>789.5</v>
      </c>
      <c r="Z20" s="21">
        <v>789.5</v>
      </c>
      <c r="AA20" s="21">
        <v>789.5</v>
      </c>
      <c r="AB20" s="21">
        <v>789.5</v>
      </c>
      <c r="AC20" s="25">
        <f t="shared" si="1"/>
        <v>9474</v>
      </c>
      <c r="AD20" s="6"/>
      <c r="AE20" s="1"/>
      <c r="AF20" s="1"/>
      <c r="AG20" s="2"/>
      <c r="AH20" s="2"/>
    </row>
    <row r="21" spans="1:34" x14ac:dyDescent="0.25">
      <c r="A21" s="19">
        <v>17</v>
      </c>
      <c r="B21" s="19"/>
      <c r="C21" s="9">
        <v>1</v>
      </c>
      <c r="D21" s="9" t="s">
        <v>49</v>
      </c>
      <c r="E21" s="70" t="s">
        <v>51</v>
      </c>
      <c r="F21" s="75"/>
      <c r="G21" s="21">
        <v>47370.01</v>
      </c>
      <c r="H21" s="21"/>
      <c r="I21" s="21"/>
      <c r="J21" s="21">
        <v>47370.01</v>
      </c>
      <c r="K21" s="23">
        <v>6316</v>
      </c>
      <c r="L21" s="23"/>
      <c r="M21" s="21"/>
      <c r="N21" s="23">
        <v>9474</v>
      </c>
      <c r="O21" s="23">
        <f t="shared" si="2"/>
        <v>15790</v>
      </c>
      <c r="P21" s="24">
        <v>20</v>
      </c>
      <c r="Q21" s="21">
        <v>789.5</v>
      </c>
      <c r="R21" s="21">
        <v>789.5</v>
      </c>
      <c r="S21" s="21">
        <v>789.5</v>
      </c>
      <c r="T21" s="21">
        <v>789.5</v>
      </c>
      <c r="U21" s="21">
        <v>789.5</v>
      </c>
      <c r="V21" s="21">
        <v>789.5</v>
      </c>
      <c r="W21" s="21">
        <v>789.5</v>
      </c>
      <c r="X21" s="21">
        <v>789.5</v>
      </c>
      <c r="Y21" s="21">
        <v>789.5</v>
      </c>
      <c r="Z21" s="21">
        <v>789.5</v>
      </c>
      <c r="AA21" s="21">
        <v>789.5</v>
      </c>
      <c r="AB21" s="21">
        <v>789.5</v>
      </c>
      <c r="AC21" s="25">
        <f t="shared" si="1"/>
        <v>9474</v>
      </c>
      <c r="AD21" s="6"/>
      <c r="AE21" s="1"/>
      <c r="AF21" s="1"/>
      <c r="AG21" s="2"/>
      <c r="AH21" s="2"/>
    </row>
    <row r="22" spans="1:34" x14ac:dyDescent="0.25">
      <c r="A22" s="19">
        <v>18</v>
      </c>
      <c r="B22" s="19"/>
      <c r="C22" s="9">
        <v>1</v>
      </c>
      <c r="D22" s="9" t="s">
        <v>52</v>
      </c>
      <c r="E22" s="70" t="s">
        <v>53</v>
      </c>
      <c r="F22" s="75"/>
      <c r="G22" s="21">
        <v>47370.01</v>
      </c>
      <c r="H22" s="21"/>
      <c r="I22" s="21"/>
      <c r="J22" s="21">
        <v>47370.01</v>
      </c>
      <c r="K22" s="23">
        <v>4737</v>
      </c>
      <c r="L22" s="23"/>
      <c r="M22" s="21"/>
      <c r="N22" s="23">
        <v>9474</v>
      </c>
      <c r="O22" s="23">
        <f t="shared" si="2"/>
        <v>14211</v>
      </c>
      <c r="P22" s="24">
        <v>20</v>
      </c>
      <c r="Q22" s="21">
        <v>789.5</v>
      </c>
      <c r="R22" s="21">
        <v>789.5</v>
      </c>
      <c r="S22" s="21">
        <v>789.5</v>
      </c>
      <c r="T22" s="21">
        <v>789.5</v>
      </c>
      <c r="U22" s="21">
        <v>789.5</v>
      </c>
      <c r="V22" s="21">
        <v>789.5</v>
      </c>
      <c r="W22" s="21">
        <v>789.5</v>
      </c>
      <c r="X22" s="21">
        <v>789.5</v>
      </c>
      <c r="Y22" s="21">
        <v>789.5</v>
      </c>
      <c r="Z22" s="21">
        <v>789.5</v>
      </c>
      <c r="AA22" s="21">
        <v>789.5</v>
      </c>
      <c r="AB22" s="21">
        <v>789.5</v>
      </c>
      <c r="AC22" s="25">
        <f t="shared" si="1"/>
        <v>9474</v>
      </c>
      <c r="AD22" s="6"/>
      <c r="AE22" s="1"/>
      <c r="AF22" s="1"/>
      <c r="AG22" s="2"/>
      <c r="AH22" s="2"/>
    </row>
    <row r="23" spans="1:34" x14ac:dyDescent="0.25">
      <c r="A23" s="19">
        <v>19</v>
      </c>
      <c r="B23" s="19"/>
      <c r="C23" s="9">
        <v>1</v>
      </c>
      <c r="D23" s="9" t="s">
        <v>52</v>
      </c>
      <c r="E23" s="70" t="s">
        <v>54</v>
      </c>
      <c r="F23" s="75"/>
      <c r="G23" s="21">
        <v>47370.01</v>
      </c>
      <c r="H23" s="21"/>
      <c r="I23" s="21"/>
      <c r="J23" s="21">
        <v>47370.01</v>
      </c>
      <c r="K23" s="23">
        <v>4737</v>
      </c>
      <c r="L23" s="23"/>
      <c r="M23" s="21"/>
      <c r="N23" s="23">
        <v>9474</v>
      </c>
      <c r="O23" s="23">
        <f t="shared" si="2"/>
        <v>14211</v>
      </c>
      <c r="P23" s="24">
        <v>20</v>
      </c>
      <c r="Q23" s="21">
        <v>789.5</v>
      </c>
      <c r="R23" s="21">
        <v>789.5</v>
      </c>
      <c r="S23" s="21">
        <v>789.5</v>
      </c>
      <c r="T23" s="21">
        <v>789.5</v>
      </c>
      <c r="U23" s="21">
        <v>789.5</v>
      </c>
      <c r="V23" s="21">
        <v>789.5</v>
      </c>
      <c r="W23" s="21">
        <v>789.5</v>
      </c>
      <c r="X23" s="21">
        <v>789.5</v>
      </c>
      <c r="Y23" s="21">
        <v>789.5</v>
      </c>
      <c r="Z23" s="21">
        <v>789.5</v>
      </c>
      <c r="AA23" s="21">
        <v>789.5</v>
      </c>
      <c r="AB23" s="21">
        <v>789.5</v>
      </c>
      <c r="AC23" s="25">
        <f t="shared" si="1"/>
        <v>9474</v>
      </c>
      <c r="AD23" s="6"/>
      <c r="AE23" s="1"/>
      <c r="AF23" s="1"/>
      <c r="AG23" s="2"/>
      <c r="AH23" s="2"/>
    </row>
    <row r="24" spans="1:34" x14ac:dyDescent="0.25">
      <c r="A24" s="19">
        <v>20</v>
      </c>
      <c r="B24" s="19"/>
      <c r="C24" s="9">
        <v>1</v>
      </c>
      <c r="D24" s="9" t="s">
        <v>52</v>
      </c>
      <c r="E24" s="70" t="s">
        <v>55</v>
      </c>
      <c r="F24" s="75"/>
      <c r="G24" s="21">
        <v>47370.01</v>
      </c>
      <c r="H24" s="21"/>
      <c r="I24" s="21"/>
      <c r="J24" s="21">
        <v>47370.01</v>
      </c>
      <c r="K24" s="23">
        <v>4737</v>
      </c>
      <c r="L24" s="23"/>
      <c r="M24" s="21"/>
      <c r="N24" s="23">
        <v>9474</v>
      </c>
      <c r="O24" s="23">
        <f t="shared" si="2"/>
        <v>14211</v>
      </c>
      <c r="P24" s="24">
        <v>20</v>
      </c>
      <c r="Q24" s="21">
        <v>789.5</v>
      </c>
      <c r="R24" s="21">
        <v>789.5</v>
      </c>
      <c r="S24" s="21">
        <v>789.5</v>
      </c>
      <c r="T24" s="21">
        <v>789.5</v>
      </c>
      <c r="U24" s="21">
        <v>789.5</v>
      </c>
      <c r="V24" s="21">
        <v>789.5</v>
      </c>
      <c r="W24" s="21">
        <v>789.5</v>
      </c>
      <c r="X24" s="21">
        <v>789.5</v>
      </c>
      <c r="Y24" s="21">
        <v>789.5</v>
      </c>
      <c r="Z24" s="21">
        <v>789.5</v>
      </c>
      <c r="AA24" s="21">
        <v>789.5</v>
      </c>
      <c r="AB24" s="21">
        <v>789.5</v>
      </c>
      <c r="AC24" s="25">
        <f t="shared" si="1"/>
        <v>9474</v>
      </c>
      <c r="AD24" s="6"/>
      <c r="AE24" s="1"/>
      <c r="AF24" s="1"/>
      <c r="AG24" s="2"/>
      <c r="AH24" s="2"/>
    </row>
    <row r="25" spans="1:34" x14ac:dyDescent="0.25">
      <c r="A25" s="19">
        <v>21</v>
      </c>
      <c r="B25" s="19"/>
      <c r="C25" s="9">
        <v>1</v>
      </c>
      <c r="D25" s="9" t="s">
        <v>56</v>
      </c>
      <c r="E25" s="70" t="s">
        <v>57</v>
      </c>
      <c r="F25" s="75"/>
      <c r="G25" s="21">
        <v>47369.89</v>
      </c>
      <c r="H25" s="21"/>
      <c r="I25" s="21"/>
      <c r="J25" s="21">
        <v>47369.89</v>
      </c>
      <c r="K25" s="21">
        <v>3947.5</v>
      </c>
      <c r="L25" s="21"/>
      <c r="M25" s="21"/>
      <c r="N25" s="21">
        <v>9474</v>
      </c>
      <c r="O25" s="23">
        <f t="shared" si="2"/>
        <v>13421.5</v>
      </c>
      <c r="P25" s="24">
        <v>20</v>
      </c>
      <c r="Q25" s="21">
        <v>789.5</v>
      </c>
      <c r="R25" s="21">
        <v>789.5</v>
      </c>
      <c r="S25" s="21">
        <v>789.5</v>
      </c>
      <c r="T25" s="21">
        <v>789.5</v>
      </c>
      <c r="U25" s="21">
        <v>789.5</v>
      </c>
      <c r="V25" s="21">
        <v>789.5</v>
      </c>
      <c r="W25" s="21">
        <v>789.5</v>
      </c>
      <c r="X25" s="21">
        <v>789.5</v>
      </c>
      <c r="Y25" s="21">
        <v>789.5</v>
      </c>
      <c r="Z25" s="21">
        <v>789.5</v>
      </c>
      <c r="AA25" s="21">
        <v>789.5</v>
      </c>
      <c r="AB25" s="21">
        <v>789.5</v>
      </c>
      <c r="AC25" s="25">
        <f t="shared" si="1"/>
        <v>9474</v>
      </c>
      <c r="AD25" s="6"/>
      <c r="AE25" s="1"/>
      <c r="AF25" s="1"/>
      <c r="AG25" s="69"/>
      <c r="AH25" s="69"/>
    </row>
    <row r="26" spans="1:34" x14ac:dyDescent="0.25">
      <c r="A26" s="26">
        <v>22</v>
      </c>
      <c r="B26" s="19"/>
      <c r="C26" s="8">
        <v>1</v>
      </c>
      <c r="D26" s="8" t="s">
        <v>56</v>
      </c>
      <c r="E26" s="70" t="s">
        <v>58</v>
      </c>
      <c r="F26" s="75"/>
      <c r="G26" s="27">
        <v>47369.89</v>
      </c>
      <c r="H26" s="27"/>
      <c r="I26" s="27"/>
      <c r="J26" s="27">
        <v>47369.89</v>
      </c>
      <c r="K26" s="27">
        <v>3947.5</v>
      </c>
      <c r="L26" s="27"/>
      <c r="M26" s="27"/>
      <c r="N26" s="27">
        <v>9474</v>
      </c>
      <c r="O26" s="23">
        <f t="shared" si="2"/>
        <v>13421.5</v>
      </c>
      <c r="P26" s="24">
        <v>20</v>
      </c>
      <c r="Q26" s="27">
        <v>789.5</v>
      </c>
      <c r="R26" s="27">
        <v>789.5</v>
      </c>
      <c r="S26" s="27">
        <v>789.5</v>
      </c>
      <c r="T26" s="27">
        <v>789.5</v>
      </c>
      <c r="U26" s="27">
        <v>789.5</v>
      </c>
      <c r="V26" s="27">
        <v>789.5</v>
      </c>
      <c r="W26" s="27">
        <v>789.5</v>
      </c>
      <c r="X26" s="27">
        <v>789.5</v>
      </c>
      <c r="Y26" s="27">
        <v>789.5</v>
      </c>
      <c r="Z26" s="27">
        <v>789.5</v>
      </c>
      <c r="AA26" s="27">
        <v>789.5</v>
      </c>
      <c r="AB26" s="27">
        <v>789.5</v>
      </c>
      <c r="AC26" s="25">
        <f t="shared" si="1"/>
        <v>9474</v>
      </c>
      <c r="AD26" s="6"/>
      <c r="AE26" s="1"/>
      <c r="AF26" s="1"/>
      <c r="AG26" s="2"/>
      <c r="AH26" s="2"/>
    </row>
    <row r="27" spans="1:34" x14ac:dyDescent="0.25">
      <c r="A27" s="26">
        <v>23</v>
      </c>
      <c r="B27" s="28"/>
      <c r="C27" s="29">
        <v>1</v>
      </c>
      <c r="D27" s="30" t="s">
        <v>59</v>
      </c>
      <c r="E27" s="70" t="s">
        <v>60</v>
      </c>
      <c r="F27" s="75"/>
      <c r="G27" s="27">
        <v>48636.49</v>
      </c>
      <c r="H27" s="27"/>
      <c r="I27" s="27"/>
      <c r="J27" s="27">
        <v>48636.49</v>
      </c>
      <c r="K27" s="27">
        <v>2431.83</v>
      </c>
      <c r="L27" s="27"/>
      <c r="M27" s="27"/>
      <c r="N27" s="27">
        <v>9727.32</v>
      </c>
      <c r="O27" s="23">
        <f t="shared" si="2"/>
        <v>12159.15</v>
      </c>
      <c r="P27" s="31">
        <v>20</v>
      </c>
      <c r="Q27" s="27">
        <v>810.61</v>
      </c>
      <c r="R27" s="27">
        <v>810.61</v>
      </c>
      <c r="S27" s="27">
        <v>810.61</v>
      </c>
      <c r="T27" s="27">
        <v>810.61</v>
      </c>
      <c r="U27" s="27">
        <v>810.61</v>
      </c>
      <c r="V27" s="27">
        <v>810.61</v>
      </c>
      <c r="W27" s="27">
        <v>810.61</v>
      </c>
      <c r="X27" s="27">
        <v>810.61</v>
      </c>
      <c r="Y27" s="27">
        <v>810.61</v>
      </c>
      <c r="Z27" s="27">
        <v>810.61</v>
      </c>
      <c r="AA27" s="27">
        <v>810.61</v>
      </c>
      <c r="AB27" s="27">
        <v>810.61</v>
      </c>
      <c r="AC27" s="25">
        <f t="shared" si="1"/>
        <v>9727.32</v>
      </c>
      <c r="AD27" s="6"/>
      <c r="AE27" s="1"/>
      <c r="AF27" s="1"/>
      <c r="AG27" s="2"/>
      <c r="AH27" s="2"/>
    </row>
    <row r="28" spans="1:34" x14ac:dyDescent="0.25">
      <c r="A28" s="26">
        <v>24</v>
      </c>
      <c r="B28" s="19"/>
      <c r="C28" s="29">
        <v>1</v>
      </c>
      <c r="D28" s="8" t="s">
        <v>59</v>
      </c>
      <c r="E28" s="70" t="s">
        <v>61</v>
      </c>
      <c r="F28" s="75"/>
      <c r="G28" s="27">
        <v>48636.49</v>
      </c>
      <c r="H28" s="27"/>
      <c r="I28" s="27"/>
      <c r="J28" s="27">
        <v>48636.49</v>
      </c>
      <c r="K28" s="27">
        <v>2431.83</v>
      </c>
      <c r="L28" s="27"/>
      <c r="M28" s="27"/>
      <c r="N28" s="27">
        <v>9727.32</v>
      </c>
      <c r="O28" s="23">
        <f t="shared" si="2"/>
        <v>12159.15</v>
      </c>
      <c r="P28" s="31">
        <v>20</v>
      </c>
      <c r="Q28" s="27">
        <v>810.61</v>
      </c>
      <c r="R28" s="27">
        <v>810.61</v>
      </c>
      <c r="S28" s="27">
        <v>810.61</v>
      </c>
      <c r="T28" s="27">
        <v>810.61</v>
      </c>
      <c r="U28" s="27">
        <v>810.61</v>
      </c>
      <c r="V28" s="27">
        <v>810.61</v>
      </c>
      <c r="W28" s="27">
        <v>810.61</v>
      </c>
      <c r="X28" s="27">
        <v>810.61</v>
      </c>
      <c r="Y28" s="27">
        <v>810.61</v>
      </c>
      <c r="Z28" s="27">
        <v>810.61</v>
      </c>
      <c r="AA28" s="27">
        <v>810.61</v>
      </c>
      <c r="AB28" s="27">
        <v>810.61</v>
      </c>
      <c r="AC28" s="25">
        <f t="shared" si="1"/>
        <v>9727.32</v>
      </c>
      <c r="AD28" s="6"/>
      <c r="AE28" s="1"/>
      <c r="AF28" s="1"/>
      <c r="AG28" s="2"/>
      <c r="AH28" s="2"/>
    </row>
    <row r="29" spans="1:34" x14ac:dyDescent="0.25">
      <c r="A29" s="26">
        <v>25</v>
      </c>
      <c r="B29" s="28"/>
      <c r="C29" s="10">
        <v>1</v>
      </c>
      <c r="D29" s="29" t="s">
        <v>62</v>
      </c>
      <c r="E29" s="70" t="s">
        <v>63</v>
      </c>
      <c r="F29" s="75"/>
      <c r="G29" s="27">
        <v>48103.59</v>
      </c>
      <c r="H29" s="27"/>
      <c r="I29" s="27"/>
      <c r="J29" s="27">
        <v>48103.59</v>
      </c>
      <c r="K29" s="27">
        <v>1603.44</v>
      </c>
      <c r="L29" s="27"/>
      <c r="M29" s="27"/>
      <c r="N29" s="27">
        <v>9620.76</v>
      </c>
      <c r="O29" s="23">
        <f t="shared" si="2"/>
        <v>11224.2</v>
      </c>
      <c r="P29" s="31">
        <v>20</v>
      </c>
      <c r="Q29" s="27">
        <v>801.73</v>
      </c>
      <c r="R29" s="27">
        <v>801.73</v>
      </c>
      <c r="S29" s="27">
        <v>801.73</v>
      </c>
      <c r="T29" s="27">
        <v>801.73</v>
      </c>
      <c r="U29" s="27">
        <v>801.73</v>
      </c>
      <c r="V29" s="27">
        <v>801.73</v>
      </c>
      <c r="W29" s="27">
        <v>801.73</v>
      </c>
      <c r="X29" s="27">
        <v>801.73</v>
      </c>
      <c r="Y29" s="27">
        <v>801.73</v>
      </c>
      <c r="Z29" s="27">
        <v>801.73</v>
      </c>
      <c r="AA29" s="27">
        <v>801.73</v>
      </c>
      <c r="AB29" s="27">
        <v>801.73</v>
      </c>
      <c r="AC29" s="25">
        <f t="shared" si="1"/>
        <v>9620.7599999999984</v>
      </c>
      <c r="AD29" s="6"/>
      <c r="AE29" s="1"/>
      <c r="AF29" s="1"/>
      <c r="AG29" s="2"/>
      <c r="AH29" s="2"/>
    </row>
    <row r="30" spans="1:34" x14ac:dyDescent="0.25">
      <c r="A30" s="26">
        <v>26</v>
      </c>
      <c r="B30" s="32"/>
      <c r="C30" s="30">
        <v>2</v>
      </c>
      <c r="D30" s="30" t="s">
        <v>64</v>
      </c>
      <c r="E30" s="76" t="s">
        <v>65</v>
      </c>
      <c r="F30" s="76"/>
      <c r="G30" s="27">
        <v>96411.04</v>
      </c>
      <c r="H30" s="27"/>
      <c r="I30" s="27"/>
      <c r="J30" s="27">
        <v>96411.04</v>
      </c>
      <c r="K30" s="27">
        <v>0</v>
      </c>
      <c r="L30" s="33"/>
      <c r="M30" s="27"/>
      <c r="N30" s="27">
        <v>19282.2</v>
      </c>
      <c r="O30" s="23">
        <f t="shared" si="2"/>
        <v>19282.2</v>
      </c>
      <c r="P30" s="31">
        <v>20</v>
      </c>
      <c r="Q30" s="27">
        <v>1523.52</v>
      </c>
      <c r="R30" s="27">
        <v>1523.52</v>
      </c>
      <c r="S30" s="27">
        <v>1523.52</v>
      </c>
      <c r="T30" s="27">
        <v>1523.52</v>
      </c>
      <c r="U30" s="27">
        <v>1523.52</v>
      </c>
      <c r="V30" s="27">
        <v>1523.52</v>
      </c>
      <c r="W30" s="27">
        <v>1523.52</v>
      </c>
      <c r="X30" s="27">
        <v>1523.52</v>
      </c>
      <c r="Y30" s="27">
        <v>2273.4899999999998</v>
      </c>
      <c r="Z30" s="27">
        <v>1606.85</v>
      </c>
      <c r="AA30" s="34">
        <v>1606.85</v>
      </c>
      <c r="AB30" s="34">
        <v>1606.85</v>
      </c>
      <c r="AC30" s="25">
        <f t="shared" si="1"/>
        <v>19282.2</v>
      </c>
      <c r="AD30" s="6"/>
      <c r="AE30" s="1"/>
      <c r="AF30" s="1"/>
      <c r="AG30" s="2"/>
      <c r="AH30" s="2"/>
    </row>
    <row r="31" spans="1:34" x14ac:dyDescent="0.25">
      <c r="A31" s="26">
        <v>27</v>
      </c>
      <c r="B31" s="19"/>
      <c r="C31" s="8">
        <v>1</v>
      </c>
      <c r="D31" s="8" t="s">
        <v>64</v>
      </c>
      <c r="E31" s="76" t="s">
        <v>66</v>
      </c>
      <c r="F31" s="76"/>
      <c r="G31" s="27">
        <v>47306.52</v>
      </c>
      <c r="H31" s="27"/>
      <c r="I31" s="27"/>
      <c r="J31" s="27">
        <v>47306.52</v>
      </c>
      <c r="K31" s="27">
        <v>0</v>
      </c>
      <c r="L31" s="33"/>
      <c r="M31" s="27"/>
      <c r="N31" s="27">
        <v>9461.2800000000007</v>
      </c>
      <c r="O31" s="23">
        <f t="shared" si="2"/>
        <v>9461.2800000000007</v>
      </c>
      <c r="P31" s="31">
        <v>20</v>
      </c>
      <c r="Q31" s="27">
        <v>788.44</v>
      </c>
      <c r="R31" s="27">
        <v>788.44</v>
      </c>
      <c r="S31" s="27">
        <v>788.44</v>
      </c>
      <c r="T31" s="27">
        <v>788.44</v>
      </c>
      <c r="U31" s="27">
        <v>788.44</v>
      </c>
      <c r="V31" s="27">
        <v>788.44</v>
      </c>
      <c r="W31" s="27">
        <v>788.44</v>
      </c>
      <c r="X31" s="27">
        <v>788.44</v>
      </c>
      <c r="Y31" s="27">
        <v>788.44</v>
      </c>
      <c r="Z31" s="27">
        <v>788.44</v>
      </c>
      <c r="AA31" s="27">
        <v>788.44</v>
      </c>
      <c r="AB31" s="27">
        <v>788.44</v>
      </c>
      <c r="AC31" s="25">
        <f t="shared" si="1"/>
        <v>9461.2800000000025</v>
      </c>
      <c r="AD31" s="6"/>
      <c r="AE31" s="1"/>
      <c r="AF31" s="1"/>
      <c r="AG31" s="2"/>
      <c r="AH31" s="2"/>
    </row>
    <row r="32" spans="1:34" x14ac:dyDescent="0.25">
      <c r="A32" s="26">
        <v>28</v>
      </c>
      <c r="B32" s="28"/>
      <c r="C32" s="29">
        <v>1</v>
      </c>
      <c r="D32" s="30" t="s">
        <v>67</v>
      </c>
      <c r="E32" s="70" t="s">
        <v>68</v>
      </c>
      <c r="F32" s="71"/>
      <c r="G32" s="27"/>
      <c r="H32" s="27">
        <v>47306.52</v>
      </c>
      <c r="I32" s="27"/>
      <c r="J32" s="27">
        <v>47306.52</v>
      </c>
      <c r="K32" s="27">
        <v>0</v>
      </c>
      <c r="L32" s="33">
        <v>6307.52</v>
      </c>
      <c r="M32" s="27"/>
      <c r="N32" s="27"/>
      <c r="O32" s="33">
        <v>6307.52</v>
      </c>
      <c r="P32" s="31">
        <v>20</v>
      </c>
      <c r="Q32" s="27"/>
      <c r="R32" s="27"/>
      <c r="S32" s="27"/>
      <c r="T32" s="27"/>
      <c r="U32" s="27">
        <v>788.44</v>
      </c>
      <c r="V32" s="27">
        <v>788.44</v>
      </c>
      <c r="W32" s="27">
        <v>788.44</v>
      </c>
      <c r="X32" s="27">
        <v>788.44</v>
      </c>
      <c r="Y32" s="27">
        <v>788.44</v>
      </c>
      <c r="Z32" s="27">
        <v>788.44</v>
      </c>
      <c r="AA32" s="27">
        <v>788.44</v>
      </c>
      <c r="AB32" s="27">
        <v>788.44</v>
      </c>
      <c r="AC32" s="25">
        <f t="shared" si="1"/>
        <v>6307.52</v>
      </c>
      <c r="AD32" s="6"/>
      <c r="AE32" s="1"/>
      <c r="AF32" s="1"/>
      <c r="AG32" s="2"/>
      <c r="AH32" s="2"/>
    </row>
    <row r="33" spans="1:34" x14ac:dyDescent="0.25">
      <c r="A33" s="26">
        <v>29</v>
      </c>
      <c r="B33" s="28"/>
      <c r="C33" s="29">
        <v>1</v>
      </c>
      <c r="D33" s="30" t="s">
        <v>67</v>
      </c>
      <c r="E33" s="70" t="s">
        <v>69</v>
      </c>
      <c r="F33" s="71"/>
      <c r="G33" s="27"/>
      <c r="H33" s="27">
        <v>47306.52</v>
      </c>
      <c r="I33" s="27"/>
      <c r="J33" s="27">
        <v>47306.52</v>
      </c>
      <c r="K33" s="27">
        <v>0</v>
      </c>
      <c r="L33" s="33">
        <v>6307.52</v>
      </c>
      <c r="M33" s="27"/>
      <c r="N33" s="27"/>
      <c r="O33" s="33">
        <v>6307.52</v>
      </c>
      <c r="P33" s="31">
        <v>20</v>
      </c>
      <c r="Q33" s="27"/>
      <c r="R33" s="27"/>
      <c r="S33" s="27"/>
      <c r="T33" s="27"/>
      <c r="U33" s="27">
        <v>788.44</v>
      </c>
      <c r="V33" s="27">
        <v>788.44</v>
      </c>
      <c r="W33" s="27">
        <v>788.44</v>
      </c>
      <c r="X33" s="27">
        <v>788.44</v>
      </c>
      <c r="Y33" s="27">
        <v>788.44</v>
      </c>
      <c r="Z33" s="27">
        <v>788.44</v>
      </c>
      <c r="AA33" s="27">
        <v>788.44</v>
      </c>
      <c r="AB33" s="27">
        <v>788.44</v>
      </c>
      <c r="AC33" s="25">
        <f t="shared" si="1"/>
        <v>6307.52</v>
      </c>
      <c r="AD33" s="6"/>
      <c r="AE33" s="1"/>
      <c r="AF33" s="1"/>
      <c r="AG33" s="2"/>
      <c r="AH33" s="2"/>
    </row>
    <row r="34" spans="1:34" x14ac:dyDescent="0.25">
      <c r="A34" s="26">
        <v>30</v>
      </c>
      <c r="B34" s="19"/>
      <c r="C34" s="29">
        <v>1</v>
      </c>
      <c r="D34" s="8" t="s">
        <v>67</v>
      </c>
      <c r="E34" s="70" t="s">
        <v>70</v>
      </c>
      <c r="F34" s="71"/>
      <c r="G34" s="27"/>
      <c r="H34" s="27">
        <v>47306.52</v>
      </c>
      <c r="I34" s="27"/>
      <c r="J34" s="27">
        <v>47306.52</v>
      </c>
      <c r="K34" s="27">
        <v>0</v>
      </c>
      <c r="L34" s="33">
        <v>6307.52</v>
      </c>
      <c r="M34" s="27"/>
      <c r="N34" s="27"/>
      <c r="O34" s="33">
        <v>6307.52</v>
      </c>
      <c r="P34" s="31">
        <v>20</v>
      </c>
      <c r="Q34" s="27"/>
      <c r="R34" s="27"/>
      <c r="S34" s="27"/>
      <c r="T34" s="27"/>
      <c r="U34" s="27">
        <v>788.44</v>
      </c>
      <c r="V34" s="27">
        <v>788.44</v>
      </c>
      <c r="W34" s="27">
        <v>788.44</v>
      </c>
      <c r="X34" s="27">
        <v>788.44</v>
      </c>
      <c r="Y34" s="27">
        <v>788.44</v>
      </c>
      <c r="Z34" s="27">
        <v>788.44</v>
      </c>
      <c r="AA34" s="27">
        <v>788.44</v>
      </c>
      <c r="AB34" s="27">
        <v>788.44</v>
      </c>
      <c r="AC34" s="25">
        <f t="shared" si="1"/>
        <v>6307.52</v>
      </c>
      <c r="AD34" s="6"/>
      <c r="AE34" s="1"/>
      <c r="AF34" s="1"/>
      <c r="AG34" s="2"/>
      <c r="AH34" s="2"/>
    </row>
    <row r="35" spans="1:34" x14ac:dyDescent="0.25">
      <c r="A35" s="26">
        <v>31</v>
      </c>
      <c r="B35" s="19"/>
      <c r="C35" s="8">
        <v>1</v>
      </c>
      <c r="D35" s="29" t="s">
        <v>71</v>
      </c>
      <c r="E35" s="20" t="s">
        <v>72</v>
      </c>
      <c r="F35" s="35"/>
      <c r="G35" s="27"/>
      <c r="H35" s="27">
        <v>47306.52</v>
      </c>
      <c r="I35" s="27"/>
      <c r="J35" s="27">
        <v>47306.52</v>
      </c>
      <c r="K35" s="27">
        <v>0</v>
      </c>
      <c r="L35" s="33">
        <v>5519.08</v>
      </c>
      <c r="M35" s="27"/>
      <c r="N35" s="27"/>
      <c r="O35" s="33">
        <v>5519.08</v>
      </c>
      <c r="P35" s="31">
        <v>20</v>
      </c>
      <c r="Q35" s="27"/>
      <c r="R35" s="27"/>
      <c r="S35" s="27"/>
      <c r="T35" s="27"/>
      <c r="U35" s="27"/>
      <c r="V35" s="27">
        <v>788.44</v>
      </c>
      <c r="W35" s="27">
        <v>788.44</v>
      </c>
      <c r="X35" s="27">
        <v>788.44</v>
      </c>
      <c r="Y35" s="27">
        <v>788.44</v>
      </c>
      <c r="Z35" s="27">
        <v>788.44</v>
      </c>
      <c r="AA35" s="27">
        <v>788.44</v>
      </c>
      <c r="AB35" s="27">
        <v>788.44</v>
      </c>
      <c r="AC35" s="25">
        <f t="shared" si="1"/>
        <v>5519.08</v>
      </c>
      <c r="AD35" s="6"/>
      <c r="AE35" s="1"/>
      <c r="AF35" s="1"/>
      <c r="AG35" s="2"/>
      <c r="AH35" s="2"/>
    </row>
    <row r="36" spans="1:34" x14ac:dyDescent="0.25">
      <c r="A36" s="26">
        <v>32</v>
      </c>
      <c r="B36" s="26"/>
      <c r="C36" s="30">
        <v>1</v>
      </c>
      <c r="D36" s="30" t="s">
        <v>73</v>
      </c>
      <c r="E36" s="70" t="s">
        <v>74</v>
      </c>
      <c r="F36" s="71"/>
      <c r="G36" s="27"/>
      <c r="H36" s="27">
        <v>47306.52</v>
      </c>
      <c r="I36" s="27"/>
      <c r="J36" s="27">
        <v>47306.52</v>
      </c>
      <c r="K36" s="27">
        <v>0</v>
      </c>
      <c r="L36" s="33">
        <v>4730.6400000000003</v>
      </c>
      <c r="M36" s="27"/>
      <c r="N36" s="27"/>
      <c r="O36" s="33">
        <v>4730.6400000000003</v>
      </c>
      <c r="P36" s="31">
        <v>20</v>
      </c>
      <c r="Q36" s="27"/>
      <c r="R36" s="27"/>
      <c r="S36" s="27"/>
      <c r="T36" s="27"/>
      <c r="U36" s="27"/>
      <c r="V36" s="27"/>
      <c r="W36" s="27">
        <v>788.44</v>
      </c>
      <c r="X36" s="27">
        <v>788.44</v>
      </c>
      <c r="Y36" s="27">
        <v>788.44</v>
      </c>
      <c r="Z36" s="27">
        <v>788.44</v>
      </c>
      <c r="AA36" s="27">
        <v>788.44</v>
      </c>
      <c r="AB36" s="27">
        <v>788.44</v>
      </c>
      <c r="AC36" s="25">
        <f t="shared" si="1"/>
        <v>4730.6400000000003</v>
      </c>
      <c r="AD36" s="6"/>
      <c r="AE36" s="1"/>
      <c r="AF36" s="1"/>
      <c r="AG36" s="2"/>
      <c r="AH36" s="2"/>
    </row>
    <row r="37" spans="1:34" x14ac:dyDescent="0.25">
      <c r="A37" s="26">
        <v>33</v>
      </c>
      <c r="B37" s="26"/>
      <c r="C37" s="30">
        <v>1</v>
      </c>
      <c r="D37" s="30" t="s">
        <v>75</v>
      </c>
      <c r="E37" s="70" t="s">
        <v>76</v>
      </c>
      <c r="F37" s="71"/>
      <c r="G37" s="27"/>
      <c r="H37" s="27">
        <v>47306.52</v>
      </c>
      <c r="I37" s="27"/>
      <c r="J37" s="27">
        <v>47306.52</v>
      </c>
      <c r="K37" s="27">
        <v>0</v>
      </c>
      <c r="L37" s="33">
        <v>3942.2</v>
      </c>
      <c r="M37" s="27"/>
      <c r="N37" s="27"/>
      <c r="O37" s="33">
        <v>3942.2</v>
      </c>
      <c r="P37" s="31">
        <v>20</v>
      </c>
      <c r="Q37" s="27"/>
      <c r="R37" s="27"/>
      <c r="S37" s="27"/>
      <c r="T37" s="27"/>
      <c r="U37" s="27"/>
      <c r="V37" s="27"/>
      <c r="W37" s="27"/>
      <c r="X37" s="27">
        <v>788.44</v>
      </c>
      <c r="Y37" s="27">
        <v>788.44</v>
      </c>
      <c r="Z37" s="27">
        <v>788.44</v>
      </c>
      <c r="AA37" s="27">
        <v>788.44</v>
      </c>
      <c r="AB37" s="27">
        <v>788.44</v>
      </c>
      <c r="AC37" s="25">
        <f t="shared" si="1"/>
        <v>3942.2000000000003</v>
      </c>
      <c r="AD37" s="6"/>
      <c r="AE37" s="1"/>
      <c r="AF37" s="1"/>
      <c r="AG37" s="2"/>
      <c r="AH37" s="2"/>
    </row>
    <row r="38" spans="1:34" x14ac:dyDescent="0.25">
      <c r="A38" s="26">
        <v>34</v>
      </c>
      <c r="B38" s="32"/>
      <c r="C38" s="8">
        <v>1</v>
      </c>
      <c r="D38" s="8" t="s">
        <v>75</v>
      </c>
      <c r="E38" s="70" t="s">
        <v>77</v>
      </c>
      <c r="F38" s="71"/>
      <c r="G38" s="27"/>
      <c r="H38" s="27">
        <v>48205.52</v>
      </c>
      <c r="I38" s="27"/>
      <c r="J38" s="27">
        <v>48205.52</v>
      </c>
      <c r="K38" s="27">
        <v>0</v>
      </c>
      <c r="L38" s="33">
        <v>4017.1</v>
      </c>
      <c r="M38" s="27"/>
      <c r="N38" s="27"/>
      <c r="O38" s="33">
        <v>4017.1</v>
      </c>
      <c r="P38" s="31">
        <v>20</v>
      </c>
      <c r="Q38" s="27"/>
      <c r="R38" s="27"/>
      <c r="S38" s="27"/>
      <c r="T38" s="27"/>
      <c r="U38" s="27"/>
      <c r="V38" s="27"/>
      <c r="W38" s="27"/>
      <c r="X38" s="27">
        <v>788.44</v>
      </c>
      <c r="Y38" s="27">
        <v>818.4</v>
      </c>
      <c r="Z38" s="27">
        <v>803.42</v>
      </c>
      <c r="AA38" s="27">
        <v>803.42</v>
      </c>
      <c r="AB38" s="27">
        <v>803.42</v>
      </c>
      <c r="AC38" s="25">
        <f t="shared" si="1"/>
        <v>4017.1000000000004</v>
      </c>
      <c r="AD38" s="6"/>
      <c r="AE38" s="1"/>
      <c r="AF38" s="1"/>
      <c r="AG38" s="2"/>
      <c r="AH38" s="2"/>
    </row>
    <row r="39" spans="1:34" x14ac:dyDescent="0.25">
      <c r="A39" s="28">
        <v>35</v>
      </c>
      <c r="B39" s="28"/>
      <c r="C39" s="30">
        <v>1</v>
      </c>
      <c r="D39" s="30" t="s">
        <v>78</v>
      </c>
      <c r="E39" s="70" t="s">
        <v>79</v>
      </c>
      <c r="F39" s="71"/>
      <c r="G39" s="27"/>
      <c r="H39" s="27">
        <v>47306.52</v>
      </c>
      <c r="I39" s="27"/>
      <c r="J39" s="27">
        <v>47306.52</v>
      </c>
      <c r="K39" s="27">
        <v>0</v>
      </c>
      <c r="L39" s="33">
        <v>1576.88</v>
      </c>
      <c r="M39" s="27"/>
      <c r="N39" s="27"/>
      <c r="O39" s="33">
        <v>1576.88</v>
      </c>
      <c r="P39" s="31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34">
        <v>788.44</v>
      </c>
      <c r="AB39" s="34">
        <v>788.44</v>
      </c>
      <c r="AC39" s="25">
        <f t="shared" si="1"/>
        <v>1576.88</v>
      </c>
      <c r="AD39" s="6"/>
      <c r="AE39" s="1"/>
      <c r="AF39" s="1"/>
      <c r="AG39" s="2"/>
      <c r="AH39" s="2"/>
    </row>
    <row r="40" spans="1:34" x14ac:dyDescent="0.25">
      <c r="A40" s="28">
        <v>36</v>
      </c>
      <c r="B40" s="28"/>
      <c r="C40" s="30">
        <v>1</v>
      </c>
      <c r="D40" s="30" t="s">
        <v>78</v>
      </c>
      <c r="E40" s="70" t="s">
        <v>80</v>
      </c>
      <c r="F40" s="71"/>
      <c r="G40" s="27"/>
      <c r="H40" s="27">
        <v>48305.52</v>
      </c>
      <c r="I40" s="27"/>
      <c r="J40" s="27">
        <v>48305.52</v>
      </c>
      <c r="K40" s="27">
        <v>0</v>
      </c>
      <c r="L40" s="33">
        <v>1610.18</v>
      </c>
      <c r="M40" s="27"/>
      <c r="N40" s="27"/>
      <c r="O40" s="33">
        <v>1610.18</v>
      </c>
      <c r="P40" s="31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34">
        <v>805.09</v>
      </c>
      <c r="AB40" s="34">
        <v>805.09</v>
      </c>
      <c r="AC40" s="25">
        <f t="shared" si="1"/>
        <v>1610.18</v>
      </c>
      <c r="AD40" s="6"/>
      <c r="AE40" s="1"/>
      <c r="AF40" s="1"/>
      <c r="AG40" s="2"/>
      <c r="AH40" s="2"/>
    </row>
    <row r="41" spans="1:34" x14ac:dyDescent="0.25">
      <c r="A41" s="19">
        <v>37</v>
      </c>
      <c r="B41" s="19"/>
      <c r="C41" s="8">
        <v>1</v>
      </c>
      <c r="D41" s="30" t="s">
        <v>78</v>
      </c>
      <c r="E41" s="70" t="s">
        <v>81</v>
      </c>
      <c r="F41" s="71"/>
      <c r="G41" s="27"/>
      <c r="H41" s="27">
        <v>48305.52</v>
      </c>
      <c r="I41" s="27"/>
      <c r="J41" s="27">
        <v>48305.52</v>
      </c>
      <c r="K41" s="27">
        <v>0</v>
      </c>
      <c r="L41" s="33">
        <v>1610.18</v>
      </c>
      <c r="M41" s="27"/>
      <c r="N41" s="27"/>
      <c r="O41" s="33">
        <v>1610.18</v>
      </c>
      <c r="P41" s="31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34">
        <v>805.09</v>
      </c>
      <c r="AB41" s="34">
        <v>805.09</v>
      </c>
      <c r="AC41" s="25">
        <f t="shared" si="1"/>
        <v>1610.18</v>
      </c>
      <c r="AD41" s="6"/>
      <c r="AE41" s="1"/>
      <c r="AF41" s="1"/>
      <c r="AG41" s="2"/>
      <c r="AH41" s="2"/>
    </row>
    <row r="42" spans="1:34" x14ac:dyDescent="0.25">
      <c r="A42" s="72"/>
      <c r="B42" s="73"/>
      <c r="C42" s="73"/>
      <c r="D42" s="73"/>
      <c r="E42" s="73"/>
      <c r="F42" s="74"/>
      <c r="G42" s="36">
        <f>SUM(G5:G31)</f>
        <v>1373918.0400000003</v>
      </c>
      <c r="H42" s="37">
        <f>SUM(H32:H41)</f>
        <v>475962.20000000007</v>
      </c>
      <c r="I42" s="37">
        <f>SUM(I4:I25)</f>
        <v>0</v>
      </c>
      <c r="J42" s="37">
        <f>SUM(J5:J41)</f>
        <v>1849880.2400000005</v>
      </c>
      <c r="K42" s="37">
        <f>SUM(K4:K31)</f>
        <v>300073.67000000004</v>
      </c>
      <c r="L42" s="37">
        <f>SUM(L32:L41)</f>
        <v>41928.819999999992</v>
      </c>
      <c r="M42" s="37">
        <f>SUM(M4:M25)</f>
        <v>0</v>
      </c>
      <c r="N42" s="37">
        <f>SUM(N5:N38)</f>
        <v>274783.2</v>
      </c>
      <c r="O42" s="37">
        <f>SUM(O5:O41)</f>
        <v>616785.69000000006</v>
      </c>
      <c r="P42" s="37"/>
      <c r="Q42" s="37">
        <f>SUM(Q5:Q31)</f>
        <v>22816.27</v>
      </c>
      <c r="R42" s="37">
        <f>SUM(R4:R31)</f>
        <v>22816.27</v>
      </c>
      <c r="S42" s="37">
        <f>SUM(S4:S31)</f>
        <v>22816.27</v>
      </c>
      <c r="T42" s="38">
        <f>SUM(T5:T31)</f>
        <v>22816.27</v>
      </c>
      <c r="U42" s="39">
        <f>SUM(U4:U34)</f>
        <v>25181.589999999997</v>
      </c>
      <c r="V42" s="37">
        <f>SUM(V5:V35)</f>
        <v>25970.029999999995</v>
      </c>
      <c r="W42" s="37">
        <f>SUM(W4:W38)</f>
        <v>26758.469999999994</v>
      </c>
      <c r="X42" s="37">
        <f>SUM(X5:X38)</f>
        <v>28335.349999999991</v>
      </c>
      <c r="Y42" s="37">
        <f>SUM(Y5:Y38)</f>
        <v>29106.279999999995</v>
      </c>
      <c r="Z42" s="37">
        <f>SUM(Z5:Z38)</f>
        <v>28432.659999999989</v>
      </c>
      <c r="AA42" s="38">
        <f>SUM(AA5:AA41)</f>
        <v>30831.279999999988</v>
      </c>
      <c r="AB42" s="37">
        <f>SUM(AB5:AB41)</f>
        <v>30831.279999999988</v>
      </c>
      <c r="AC42" s="40">
        <f>SUM(AC5:AC41)</f>
        <v>316712.02000000008</v>
      </c>
      <c r="AD42" s="25">
        <f>SUM(Q42:AB42)</f>
        <v>316712.0199999999</v>
      </c>
      <c r="AE42" s="1"/>
      <c r="AF42" s="1"/>
      <c r="AG42" s="69"/>
      <c r="AH42" s="69"/>
    </row>
  </sheetData>
  <mergeCells count="62">
    <mergeCell ref="A1:A2"/>
    <mergeCell ref="B1:F1"/>
    <mergeCell ref="G1:J1"/>
    <mergeCell ref="K1:O1"/>
    <mergeCell ref="P1:P2"/>
    <mergeCell ref="AC1:AC2"/>
    <mergeCell ref="AD1:AH1"/>
    <mergeCell ref="E2:F2"/>
    <mergeCell ref="AG2:AH2"/>
    <mergeCell ref="B3:F3"/>
    <mergeCell ref="AD3:AH3"/>
    <mergeCell ref="Q1:AB1"/>
    <mergeCell ref="E10:F10"/>
    <mergeCell ref="AG10:AH10"/>
    <mergeCell ref="A4:F4"/>
    <mergeCell ref="AC4:AH4"/>
    <mergeCell ref="E5:F5"/>
    <mergeCell ref="AG5:AH5"/>
    <mergeCell ref="E6:F6"/>
    <mergeCell ref="AG6:AH6"/>
    <mergeCell ref="E7:F7"/>
    <mergeCell ref="E8:F8"/>
    <mergeCell ref="AG8:AH8"/>
    <mergeCell ref="E9:F9"/>
    <mergeCell ref="AG9:AH9"/>
    <mergeCell ref="E11:F11"/>
    <mergeCell ref="AG11:AH11"/>
    <mergeCell ref="E12:F12"/>
    <mergeCell ref="AG12:AH12"/>
    <mergeCell ref="E13:F13"/>
    <mergeCell ref="AG13:AH13"/>
    <mergeCell ref="E24:F24"/>
    <mergeCell ref="E14:F14"/>
    <mergeCell ref="AG14:AH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36:F36"/>
    <mergeCell ref="E25:F25"/>
    <mergeCell ref="AG25:AH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AG42:AH42"/>
    <mergeCell ref="E37:F37"/>
    <mergeCell ref="E38:F38"/>
    <mergeCell ref="E39:F39"/>
    <mergeCell ref="E40:F40"/>
    <mergeCell ref="E41:F41"/>
    <mergeCell ref="A42:F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DCD6-8626-4F45-A0E0-A8A04A145AB5}">
  <dimension ref="A1:AC113"/>
  <sheetViews>
    <sheetView tabSelected="1" topLeftCell="A2" zoomScale="125" workbookViewId="0">
      <pane xSplit="8" ySplit="14" topLeftCell="R16" activePane="bottomRight" state="frozen"/>
      <selection activeCell="A2" sqref="A2"/>
      <selection pane="topRight" activeCell="I2" sqref="I2"/>
      <selection pane="bottomLeft" activeCell="A16" sqref="A16"/>
      <selection pane="bottomRight" activeCell="Z22" sqref="Z22"/>
    </sheetView>
  </sheetViews>
  <sheetFormatPr defaultRowHeight="15" x14ac:dyDescent="0.25"/>
  <cols>
    <col min="2" max="2" width="9.28515625" bestFit="1" customWidth="1"/>
    <col min="5" max="5" width="34.7109375" customWidth="1"/>
    <col min="6" max="6" width="12" customWidth="1"/>
    <col min="7" max="8" width="9.28515625" bestFit="1" customWidth="1"/>
    <col min="9" max="10" width="11.28515625" bestFit="1" customWidth="1"/>
    <col min="11" max="12" width="9.28515625" bestFit="1" customWidth="1"/>
    <col min="13" max="13" width="9.85546875" bestFit="1" customWidth="1"/>
    <col min="14" max="14" width="11.28515625" bestFit="1" customWidth="1"/>
    <col min="15" max="27" width="9.28515625" bestFit="1" customWidth="1"/>
  </cols>
  <sheetData>
    <row r="1" spans="1:28" x14ac:dyDescent="0.25">
      <c r="A1" s="101"/>
      <c r="B1" s="101"/>
      <c r="C1" s="101"/>
      <c r="D1" s="101"/>
      <c r="E1" s="101"/>
      <c r="F1" s="102" t="s">
        <v>2</v>
      </c>
      <c r="G1" s="102"/>
      <c r="H1" s="102"/>
      <c r="I1" s="102"/>
      <c r="J1" s="101" t="s">
        <v>3</v>
      </c>
      <c r="K1" s="101"/>
      <c r="L1" s="101"/>
      <c r="M1" s="101"/>
      <c r="N1" s="101"/>
      <c r="O1" s="103" t="s">
        <v>4</v>
      </c>
      <c r="P1" s="104" t="s">
        <v>5</v>
      </c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6"/>
      <c r="AB1" s="43"/>
    </row>
    <row r="2" spans="1:28" ht="36.75" x14ac:dyDescent="0.25">
      <c r="A2" s="42"/>
      <c r="B2" s="42" t="s">
        <v>7</v>
      </c>
      <c r="C2" s="42" t="s">
        <v>8</v>
      </c>
      <c r="D2" s="103" t="s">
        <v>9</v>
      </c>
      <c r="E2" s="103"/>
      <c r="F2" s="44" t="s">
        <v>10</v>
      </c>
      <c r="G2" s="44" t="s">
        <v>11</v>
      </c>
      <c r="H2" s="44" t="s">
        <v>12</v>
      </c>
      <c r="I2" s="44" t="s">
        <v>17</v>
      </c>
      <c r="J2" s="42" t="s">
        <v>10</v>
      </c>
      <c r="K2" s="42" t="s">
        <v>14</v>
      </c>
      <c r="L2" s="42" t="s">
        <v>15</v>
      </c>
      <c r="M2" s="42" t="s">
        <v>16</v>
      </c>
      <c r="N2" s="42" t="s">
        <v>17</v>
      </c>
      <c r="O2" s="103"/>
      <c r="P2" s="42" t="s">
        <v>18</v>
      </c>
      <c r="Q2" s="42" t="s">
        <v>19</v>
      </c>
      <c r="R2" s="42" t="s">
        <v>20</v>
      </c>
      <c r="S2" s="42" t="s">
        <v>21</v>
      </c>
      <c r="T2" s="42" t="s">
        <v>22</v>
      </c>
      <c r="U2" s="42" t="s">
        <v>23</v>
      </c>
      <c r="V2" s="42" t="s">
        <v>24</v>
      </c>
      <c r="W2" s="42" t="s">
        <v>25</v>
      </c>
      <c r="X2" s="42" t="s">
        <v>26</v>
      </c>
      <c r="Y2" s="42" t="s">
        <v>27</v>
      </c>
      <c r="Z2" s="42" t="s">
        <v>28</v>
      </c>
      <c r="AA2" s="45" t="s">
        <v>29</v>
      </c>
      <c r="AB2" s="43"/>
    </row>
    <row r="3" spans="1:28" x14ac:dyDescent="0.25">
      <c r="A3" s="100"/>
      <c r="B3" s="100"/>
      <c r="C3" s="100"/>
      <c r="D3" s="100"/>
      <c r="E3" s="100"/>
      <c r="F3" s="46">
        <v>3</v>
      </c>
      <c r="G3" s="46">
        <v>4</v>
      </c>
      <c r="H3" s="46">
        <v>5</v>
      </c>
      <c r="I3" s="46">
        <v>6</v>
      </c>
      <c r="J3" s="46">
        <v>7</v>
      </c>
      <c r="K3" s="46">
        <v>8</v>
      </c>
      <c r="L3" s="46">
        <v>9</v>
      </c>
      <c r="M3" s="46">
        <v>10</v>
      </c>
      <c r="N3" s="46">
        <v>11</v>
      </c>
      <c r="O3" s="46">
        <v>12</v>
      </c>
      <c r="P3" s="46">
        <v>13</v>
      </c>
      <c r="Q3" s="46">
        <v>14</v>
      </c>
      <c r="R3" s="46">
        <v>15</v>
      </c>
      <c r="S3" s="46">
        <v>16</v>
      </c>
      <c r="T3" s="46">
        <v>17</v>
      </c>
      <c r="U3" s="46">
        <v>18</v>
      </c>
      <c r="V3" s="46">
        <v>19</v>
      </c>
      <c r="W3" s="46">
        <v>20</v>
      </c>
      <c r="X3" s="46">
        <v>21</v>
      </c>
      <c r="Y3" s="46">
        <v>22</v>
      </c>
      <c r="Z3" s="46">
        <v>23</v>
      </c>
      <c r="AA3" s="47">
        <v>24</v>
      </c>
      <c r="AB3" s="43"/>
    </row>
    <row r="4" spans="1:28" x14ac:dyDescent="0.25">
      <c r="A4" s="99"/>
      <c r="B4" s="99"/>
      <c r="C4" s="99"/>
      <c r="D4" s="99"/>
      <c r="E4" s="99"/>
      <c r="F4" s="41"/>
      <c r="G4" s="41"/>
      <c r="H4" s="41"/>
      <c r="I4" s="41"/>
      <c r="J4" s="41"/>
      <c r="K4" s="41"/>
      <c r="L4" s="41"/>
      <c r="M4" s="41"/>
      <c r="N4" s="41"/>
      <c r="O4" s="41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9"/>
      <c r="AB4" s="43"/>
    </row>
    <row r="5" spans="1:28" x14ac:dyDescent="0.25">
      <c r="A5" s="51" t="s">
        <v>83</v>
      </c>
      <c r="B5" s="57">
        <v>1</v>
      </c>
      <c r="C5" s="42" t="s">
        <v>84</v>
      </c>
      <c r="D5" s="97" t="s">
        <v>85</v>
      </c>
      <c r="E5" s="98"/>
      <c r="F5" s="52">
        <v>89498.1</v>
      </c>
      <c r="G5" s="52"/>
      <c r="H5" s="52"/>
      <c r="I5" s="52">
        <v>89498.1</v>
      </c>
      <c r="J5" s="53">
        <v>58733.11</v>
      </c>
      <c r="K5" s="53"/>
      <c r="L5" s="52"/>
      <c r="M5" s="54">
        <v>11187.24</v>
      </c>
      <c r="N5" s="53">
        <f t="shared" ref="N5:N26" si="0">SUM(J5+M5)</f>
        <v>69920.350000000006</v>
      </c>
      <c r="O5" s="50">
        <v>12.5</v>
      </c>
      <c r="P5" s="55">
        <v>932.27</v>
      </c>
      <c r="Q5" s="55">
        <v>932.27</v>
      </c>
      <c r="R5" s="55">
        <v>932.27</v>
      </c>
      <c r="S5" s="55">
        <v>932.27</v>
      </c>
      <c r="T5" s="55">
        <v>932.27</v>
      </c>
      <c r="U5" s="55">
        <v>932.27</v>
      </c>
      <c r="V5" s="55">
        <v>932.27</v>
      </c>
      <c r="W5" s="55">
        <v>932.27</v>
      </c>
      <c r="X5" s="55">
        <v>932.27</v>
      </c>
      <c r="Y5" s="55">
        <v>932.27</v>
      </c>
      <c r="Z5" s="55">
        <v>932.27</v>
      </c>
      <c r="AA5" s="55">
        <v>932.27</v>
      </c>
      <c r="AB5" s="56">
        <f t="shared" ref="AB5:AB26" si="1">SUM(P5:AA5)</f>
        <v>11187.240000000003</v>
      </c>
    </row>
    <row r="6" spans="1:28" x14ac:dyDescent="0.25">
      <c r="A6" s="51" t="s">
        <v>83</v>
      </c>
      <c r="B6" s="57">
        <v>1</v>
      </c>
      <c r="C6" s="42" t="s">
        <v>84</v>
      </c>
      <c r="D6" s="97" t="s">
        <v>86</v>
      </c>
      <c r="E6" s="98"/>
      <c r="F6" s="52">
        <v>89498.1</v>
      </c>
      <c r="G6" s="52"/>
      <c r="H6" s="52"/>
      <c r="I6" s="52">
        <v>89498.1</v>
      </c>
      <c r="J6" s="53">
        <v>58733.11</v>
      </c>
      <c r="K6" s="53"/>
      <c r="L6" s="52"/>
      <c r="M6" s="54">
        <v>11187.24</v>
      </c>
      <c r="N6" s="53">
        <f t="shared" si="0"/>
        <v>69920.350000000006</v>
      </c>
      <c r="O6" s="50">
        <v>12.5</v>
      </c>
      <c r="P6" s="55">
        <v>932.27</v>
      </c>
      <c r="Q6" s="55">
        <v>932.27</v>
      </c>
      <c r="R6" s="55">
        <v>932.27</v>
      </c>
      <c r="S6" s="55">
        <v>932.27</v>
      </c>
      <c r="T6" s="55">
        <v>932.27</v>
      </c>
      <c r="U6" s="55">
        <v>932.27</v>
      </c>
      <c r="V6" s="55">
        <v>932.27</v>
      </c>
      <c r="W6" s="55">
        <v>932.27</v>
      </c>
      <c r="X6" s="55">
        <v>932.27</v>
      </c>
      <c r="Y6" s="55">
        <v>932.27</v>
      </c>
      <c r="Z6" s="55">
        <v>932.27</v>
      </c>
      <c r="AA6" s="55">
        <v>932.27</v>
      </c>
      <c r="AB6" s="56">
        <f t="shared" si="1"/>
        <v>11187.240000000003</v>
      </c>
    </row>
    <row r="7" spans="1:28" x14ac:dyDescent="0.25">
      <c r="A7" s="51" t="s">
        <v>83</v>
      </c>
      <c r="B7" s="57">
        <v>1</v>
      </c>
      <c r="C7" s="42" t="s">
        <v>84</v>
      </c>
      <c r="D7" s="97" t="s">
        <v>87</v>
      </c>
      <c r="E7" s="98"/>
      <c r="F7" s="52">
        <v>89498.1</v>
      </c>
      <c r="G7" s="52"/>
      <c r="H7" s="52"/>
      <c r="I7" s="52">
        <v>89498.1</v>
      </c>
      <c r="J7" s="53">
        <v>58733.11</v>
      </c>
      <c r="K7" s="53"/>
      <c r="L7" s="52"/>
      <c r="M7" s="54">
        <v>11187.24</v>
      </c>
      <c r="N7" s="53">
        <f t="shared" si="0"/>
        <v>69920.350000000006</v>
      </c>
      <c r="O7" s="50">
        <v>12.5</v>
      </c>
      <c r="P7" s="55">
        <v>932.27</v>
      </c>
      <c r="Q7" s="55">
        <v>932.27</v>
      </c>
      <c r="R7" s="55">
        <v>932.27</v>
      </c>
      <c r="S7" s="55">
        <v>932.27</v>
      </c>
      <c r="T7" s="55">
        <v>932.27</v>
      </c>
      <c r="U7" s="55">
        <v>932.27</v>
      </c>
      <c r="V7" s="55">
        <v>932.27</v>
      </c>
      <c r="W7" s="55">
        <v>932.27</v>
      </c>
      <c r="X7" s="55">
        <v>932.27</v>
      </c>
      <c r="Y7" s="55">
        <v>932.27</v>
      </c>
      <c r="Z7" s="55">
        <v>932.27</v>
      </c>
      <c r="AA7" s="55">
        <v>932.27</v>
      </c>
      <c r="AB7" s="56">
        <f t="shared" si="1"/>
        <v>11187.240000000003</v>
      </c>
    </row>
    <row r="8" spans="1:28" x14ac:dyDescent="0.25">
      <c r="A8" s="51" t="s">
        <v>82</v>
      </c>
      <c r="B8" s="57">
        <v>1</v>
      </c>
      <c r="C8" s="42" t="s">
        <v>88</v>
      </c>
      <c r="D8" s="97" t="s">
        <v>89</v>
      </c>
      <c r="E8" s="98"/>
      <c r="F8" s="52">
        <v>59290.98</v>
      </c>
      <c r="G8" s="52"/>
      <c r="H8" s="52"/>
      <c r="I8" s="52">
        <v>59290.98</v>
      </c>
      <c r="J8" s="54">
        <v>37056.86</v>
      </c>
      <c r="K8" s="53"/>
      <c r="L8" s="52"/>
      <c r="M8" s="54">
        <v>7411.32</v>
      </c>
      <c r="N8" s="53">
        <f>SUM(J8+M8)</f>
        <v>44468.18</v>
      </c>
      <c r="O8" s="50">
        <v>12.5</v>
      </c>
      <c r="P8" s="55">
        <v>617.61</v>
      </c>
      <c r="Q8" s="55">
        <v>617.61</v>
      </c>
      <c r="R8" s="55">
        <v>617.61</v>
      </c>
      <c r="S8" s="55">
        <v>617.61</v>
      </c>
      <c r="T8" s="55">
        <v>617.61</v>
      </c>
      <c r="U8" s="55">
        <v>617.61</v>
      </c>
      <c r="V8" s="55">
        <v>617.61</v>
      </c>
      <c r="W8" s="55">
        <v>617.61</v>
      </c>
      <c r="X8" s="55">
        <v>617.61</v>
      </c>
      <c r="Y8" s="55">
        <v>617.61</v>
      </c>
      <c r="Z8" s="55">
        <v>617.61</v>
      </c>
      <c r="AA8" s="55">
        <v>617.61</v>
      </c>
      <c r="AB8" s="56">
        <f t="shared" si="1"/>
        <v>7411.3199999999988</v>
      </c>
    </row>
    <row r="9" spans="1:28" x14ac:dyDescent="0.25">
      <c r="A9" s="51" t="s">
        <v>83</v>
      </c>
      <c r="B9" s="57">
        <v>1</v>
      </c>
      <c r="C9" s="42" t="s">
        <v>88</v>
      </c>
      <c r="D9" s="97" t="s">
        <v>90</v>
      </c>
      <c r="E9" s="98"/>
      <c r="F9" s="52">
        <v>100597.82</v>
      </c>
      <c r="G9" s="52"/>
      <c r="H9" s="52"/>
      <c r="I9" s="52">
        <v>100597.82</v>
      </c>
      <c r="J9" s="54">
        <v>62873.64</v>
      </c>
      <c r="K9" s="53"/>
      <c r="L9" s="52"/>
      <c r="M9" s="54">
        <v>12574.68</v>
      </c>
      <c r="N9" s="53">
        <f t="shared" si="0"/>
        <v>75448.320000000007</v>
      </c>
      <c r="O9" s="50">
        <v>12.5</v>
      </c>
      <c r="P9" s="55">
        <v>1047.8900000000001</v>
      </c>
      <c r="Q9" s="55">
        <v>1047.8900000000001</v>
      </c>
      <c r="R9" s="55">
        <v>1047.8900000000001</v>
      </c>
      <c r="S9" s="55">
        <v>1047.8900000000001</v>
      </c>
      <c r="T9" s="55">
        <v>1047.8900000000001</v>
      </c>
      <c r="U9" s="55">
        <v>1047.8900000000001</v>
      </c>
      <c r="V9" s="55">
        <v>1047.8900000000001</v>
      </c>
      <c r="W9" s="55">
        <v>1047.8900000000001</v>
      </c>
      <c r="X9" s="55">
        <v>1047.8900000000001</v>
      </c>
      <c r="Y9" s="55">
        <v>1047.8900000000001</v>
      </c>
      <c r="Z9" s="55">
        <v>1047.8900000000001</v>
      </c>
      <c r="AA9" s="55">
        <v>1047.8900000000001</v>
      </c>
      <c r="AB9" s="56">
        <f t="shared" si="1"/>
        <v>12574.679999999998</v>
      </c>
    </row>
    <row r="10" spans="1:28" x14ac:dyDescent="0.25">
      <c r="A10" s="51" t="s">
        <v>83</v>
      </c>
      <c r="B10" s="57">
        <v>1</v>
      </c>
      <c r="C10" s="42" t="s">
        <v>88</v>
      </c>
      <c r="D10" s="97" t="s">
        <v>91</v>
      </c>
      <c r="E10" s="98"/>
      <c r="F10" s="52">
        <v>100597.8</v>
      </c>
      <c r="G10" s="52"/>
      <c r="H10" s="52"/>
      <c r="I10" s="52">
        <v>100597.8</v>
      </c>
      <c r="J10" s="54">
        <v>62873.64</v>
      </c>
      <c r="K10" s="53"/>
      <c r="L10" s="52"/>
      <c r="M10" s="54">
        <v>12574.68</v>
      </c>
      <c r="N10" s="53">
        <f t="shared" si="0"/>
        <v>75448.320000000007</v>
      </c>
      <c r="O10" s="50">
        <v>12.5</v>
      </c>
      <c r="P10" s="55">
        <v>1047.8900000000001</v>
      </c>
      <c r="Q10" s="55">
        <v>1047.8900000000001</v>
      </c>
      <c r="R10" s="55">
        <v>1047.8900000000001</v>
      </c>
      <c r="S10" s="55">
        <v>1047.8900000000001</v>
      </c>
      <c r="T10" s="55">
        <v>1047.8900000000001</v>
      </c>
      <c r="U10" s="55">
        <v>1047.8900000000001</v>
      </c>
      <c r="V10" s="55">
        <v>1047.8900000000001</v>
      </c>
      <c r="W10" s="55">
        <v>1047.8900000000001</v>
      </c>
      <c r="X10" s="55">
        <v>1047.8900000000001</v>
      </c>
      <c r="Y10" s="55">
        <v>1047.8900000000001</v>
      </c>
      <c r="Z10" s="55">
        <v>1047.8900000000001</v>
      </c>
      <c r="AA10" s="55">
        <v>1047.8900000000001</v>
      </c>
      <c r="AB10" s="56">
        <f t="shared" si="1"/>
        <v>12574.679999999998</v>
      </c>
    </row>
    <row r="11" spans="1:28" x14ac:dyDescent="0.25">
      <c r="A11" s="51" t="s">
        <v>83</v>
      </c>
      <c r="B11" s="57">
        <v>1</v>
      </c>
      <c r="C11" s="42" t="s">
        <v>88</v>
      </c>
      <c r="D11" s="97" t="s">
        <v>92</v>
      </c>
      <c r="E11" s="98"/>
      <c r="F11" s="52">
        <v>100597.8</v>
      </c>
      <c r="G11" s="52"/>
      <c r="H11" s="52"/>
      <c r="I11" s="52">
        <v>100597.8</v>
      </c>
      <c r="J11" s="54">
        <v>62873.64</v>
      </c>
      <c r="K11" s="53"/>
      <c r="L11" s="52"/>
      <c r="M11" s="54">
        <v>12574.68</v>
      </c>
      <c r="N11" s="53">
        <f t="shared" si="0"/>
        <v>75448.320000000007</v>
      </c>
      <c r="O11" s="50">
        <v>12.5</v>
      </c>
      <c r="P11" s="55">
        <v>1047.8900000000001</v>
      </c>
      <c r="Q11" s="55">
        <v>1047.8900000000001</v>
      </c>
      <c r="R11" s="55">
        <v>1047.8900000000001</v>
      </c>
      <c r="S11" s="55">
        <v>1047.8900000000001</v>
      </c>
      <c r="T11" s="55">
        <v>1047.8900000000001</v>
      </c>
      <c r="U11" s="55">
        <v>1047.8900000000001</v>
      </c>
      <c r="V11" s="55">
        <v>1047.8900000000001</v>
      </c>
      <c r="W11" s="55">
        <v>1047.8900000000001</v>
      </c>
      <c r="X11" s="55">
        <v>1047.8900000000001</v>
      </c>
      <c r="Y11" s="55">
        <v>1047.8900000000001</v>
      </c>
      <c r="Z11" s="55">
        <v>1047.8900000000001</v>
      </c>
      <c r="AA11" s="55">
        <v>1047.8900000000001</v>
      </c>
      <c r="AB11" s="56">
        <f t="shared" si="1"/>
        <v>12574.679999999998</v>
      </c>
    </row>
    <row r="12" spans="1:28" x14ac:dyDescent="0.25">
      <c r="A12" s="51" t="s">
        <v>83</v>
      </c>
      <c r="B12" s="57">
        <v>1</v>
      </c>
      <c r="C12" s="42" t="s">
        <v>88</v>
      </c>
      <c r="D12" s="97" t="s">
        <v>93</v>
      </c>
      <c r="E12" s="98"/>
      <c r="F12" s="52">
        <v>100597.8</v>
      </c>
      <c r="G12" s="52"/>
      <c r="H12" s="52"/>
      <c r="I12" s="52">
        <v>100597.8</v>
      </c>
      <c r="J12" s="54">
        <v>62873.64</v>
      </c>
      <c r="K12" s="53"/>
      <c r="L12" s="52"/>
      <c r="M12" s="54">
        <v>12574.68</v>
      </c>
      <c r="N12" s="53">
        <f t="shared" si="0"/>
        <v>75448.320000000007</v>
      </c>
      <c r="O12" s="50">
        <v>12.5</v>
      </c>
      <c r="P12" s="55">
        <v>1047.8900000000001</v>
      </c>
      <c r="Q12" s="55">
        <v>1047.8900000000001</v>
      </c>
      <c r="R12" s="55">
        <v>1047.8900000000001</v>
      </c>
      <c r="S12" s="55">
        <v>1047.8900000000001</v>
      </c>
      <c r="T12" s="55">
        <v>1047.8900000000001</v>
      </c>
      <c r="U12" s="55">
        <v>1047.8900000000001</v>
      </c>
      <c r="V12" s="55">
        <v>1047.8900000000001</v>
      </c>
      <c r="W12" s="55">
        <v>1047.8900000000001</v>
      </c>
      <c r="X12" s="55">
        <v>1047.8900000000001</v>
      </c>
      <c r="Y12" s="55">
        <v>1047.8900000000001</v>
      </c>
      <c r="Z12" s="55">
        <v>1047.8900000000001</v>
      </c>
      <c r="AA12" s="55">
        <v>1047.8900000000001</v>
      </c>
      <c r="AB12" s="56">
        <f t="shared" si="1"/>
        <v>12574.679999999998</v>
      </c>
    </row>
    <row r="13" spans="1:28" x14ac:dyDescent="0.25">
      <c r="A13" s="51" t="s">
        <v>83</v>
      </c>
      <c r="B13" s="57">
        <v>1</v>
      </c>
      <c r="C13" s="42" t="s">
        <v>88</v>
      </c>
      <c r="D13" s="97" t="s">
        <v>94</v>
      </c>
      <c r="E13" s="98"/>
      <c r="F13" s="52">
        <v>100597.8</v>
      </c>
      <c r="G13" s="52"/>
      <c r="H13" s="52"/>
      <c r="I13" s="52">
        <v>100597.8</v>
      </c>
      <c r="J13" s="54">
        <v>62873.65</v>
      </c>
      <c r="K13" s="53"/>
      <c r="L13" s="52"/>
      <c r="M13" s="54">
        <v>12574.68</v>
      </c>
      <c r="N13" s="53">
        <f t="shared" si="0"/>
        <v>75448.33</v>
      </c>
      <c r="O13" s="50">
        <v>12.5</v>
      </c>
      <c r="P13" s="55">
        <v>1047.8900000000001</v>
      </c>
      <c r="Q13" s="55">
        <v>1047.8900000000001</v>
      </c>
      <c r="R13" s="55">
        <v>1047.8900000000001</v>
      </c>
      <c r="S13" s="55">
        <v>1047.8900000000001</v>
      </c>
      <c r="T13" s="55">
        <v>1047.8900000000001</v>
      </c>
      <c r="U13" s="55">
        <v>1047.8900000000001</v>
      </c>
      <c r="V13" s="55">
        <v>1047.8900000000001</v>
      </c>
      <c r="W13" s="55">
        <v>1047.8900000000001</v>
      </c>
      <c r="X13" s="55">
        <v>1047.8900000000001</v>
      </c>
      <c r="Y13" s="55">
        <v>1047.8900000000001</v>
      </c>
      <c r="Z13" s="55">
        <v>1047.8900000000001</v>
      </c>
      <c r="AA13" s="55">
        <v>1047.8900000000001</v>
      </c>
      <c r="AB13" s="56">
        <f t="shared" si="1"/>
        <v>12574.679999999998</v>
      </c>
    </row>
    <row r="14" spans="1:28" x14ac:dyDescent="0.25">
      <c r="A14" s="51" t="s">
        <v>83</v>
      </c>
      <c r="B14" s="57">
        <v>1</v>
      </c>
      <c r="C14" s="42" t="s">
        <v>88</v>
      </c>
      <c r="D14" s="97" t="s">
        <v>95</v>
      </c>
      <c r="E14" s="98"/>
      <c r="F14" s="52">
        <v>100597.8</v>
      </c>
      <c r="G14" s="52"/>
      <c r="H14" s="52"/>
      <c r="I14" s="52">
        <v>100597.8</v>
      </c>
      <c r="J14" s="54">
        <v>62873.65</v>
      </c>
      <c r="K14" s="53"/>
      <c r="L14" s="52"/>
      <c r="M14" s="54">
        <v>12574.68</v>
      </c>
      <c r="N14" s="53">
        <f t="shared" si="0"/>
        <v>75448.33</v>
      </c>
      <c r="O14" s="50">
        <v>12.5</v>
      </c>
      <c r="P14" s="55">
        <v>1047.8900000000001</v>
      </c>
      <c r="Q14" s="55">
        <v>1047.8900000000001</v>
      </c>
      <c r="R14" s="55">
        <v>1047.8900000000001</v>
      </c>
      <c r="S14" s="55">
        <v>1047.8900000000001</v>
      </c>
      <c r="T14" s="55">
        <v>1047.8900000000001</v>
      </c>
      <c r="U14" s="55">
        <v>1047.8900000000001</v>
      </c>
      <c r="V14" s="55">
        <v>1047.8900000000001</v>
      </c>
      <c r="W14" s="55">
        <v>1047.8900000000001</v>
      </c>
      <c r="X14" s="55">
        <v>1047.8900000000001</v>
      </c>
      <c r="Y14" s="55">
        <v>1047.8900000000001</v>
      </c>
      <c r="Z14" s="55">
        <v>1047.8900000000001</v>
      </c>
      <c r="AA14" s="55">
        <v>1047.8900000000001</v>
      </c>
      <c r="AB14" s="56">
        <f t="shared" si="1"/>
        <v>12574.679999999998</v>
      </c>
    </row>
    <row r="15" spans="1:28" x14ac:dyDescent="0.25">
      <c r="A15" s="51" t="s">
        <v>83</v>
      </c>
      <c r="B15" s="57">
        <v>1</v>
      </c>
      <c r="C15" s="42" t="s">
        <v>88</v>
      </c>
      <c r="D15" s="97" t="s">
        <v>96</v>
      </c>
      <c r="E15" s="98"/>
      <c r="F15" s="52">
        <v>100597.8</v>
      </c>
      <c r="G15" s="52"/>
      <c r="H15" s="52"/>
      <c r="I15" s="52">
        <v>100597.8</v>
      </c>
      <c r="J15" s="54">
        <v>62873.65</v>
      </c>
      <c r="K15" s="53"/>
      <c r="L15" s="52"/>
      <c r="M15" s="54">
        <v>12574.68</v>
      </c>
      <c r="N15" s="53">
        <f t="shared" si="0"/>
        <v>75448.33</v>
      </c>
      <c r="O15" s="50">
        <v>12.5</v>
      </c>
      <c r="P15" s="55">
        <v>1047.8900000000001</v>
      </c>
      <c r="Q15" s="55">
        <v>1047.8900000000001</v>
      </c>
      <c r="R15" s="55">
        <v>1047.8900000000001</v>
      </c>
      <c r="S15" s="55">
        <v>1047.8900000000001</v>
      </c>
      <c r="T15" s="55">
        <v>1047.8900000000001</v>
      </c>
      <c r="U15" s="55">
        <v>1047.8900000000001</v>
      </c>
      <c r="V15" s="55">
        <v>1047.8900000000001</v>
      </c>
      <c r="W15" s="55">
        <v>1047.8900000000001</v>
      </c>
      <c r="X15" s="55">
        <v>1047.8900000000001</v>
      </c>
      <c r="Y15" s="55">
        <v>1047.8900000000001</v>
      </c>
      <c r="Z15" s="55">
        <v>1047.8900000000001</v>
      </c>
      <c r="AA15" s="55">
        <v>1047.8900000000001</v>
      </c>
      <c r="AB15" s="56">
        <f t="shared" si="1"/>
        <v>12574.679999999998</v>
      </c>
    </row>
    <row r="16" spans="1:28" x14ac:dyDescent="0.25">
      <c r="A16" s="51" t="s">
        <v>83</v>
      </c>
      <c r="B16" s="57">
        <v>1</v>
      </c>
      <c r="C16" s="42" t="s">
        <v>88</v>
      </c>
      <c r="D16" s="97" t="s">
        <v>97</v>
      </c>
      <c r="E16" s="98"/>
      <c r="F16" s="52">
        <v>100597.8</v>
      </c>
      <c r="G16" s="52"/>
      <c r="H16" s="52"/>
      <c r="I16" s="52">
        <v>100597.8</v>
      </c>
      <c r="J16" s="54">
        <v>62873.65</v>
      </c>
      <c r="K16" s="53"/>
      <c r="L16" s="52"/>
      <c r="M16" s="54">
        <v>12574.68</v>
      </c>
      <c r="N16" s="53">
        <f t="shared" si="0"/>
        <v>75448.33</v>
      </c>
      <c r="O16" s="50">
        <v>12.5</v>
      </c>
      <c r="P16" s="55">
        <v>1047.8900000000001</v>
      </c>
      <c r="Q16" s="55">
        <v>1047.8900000000001</v>
      </c>
      <c r="R16" s="55">
        <v>1047.8900000000001</v>
      </c>
      <c r="S16" s="55">
        <v>1047.8900000000001</v>
      </c>
      <c r="T16" s="55">
        <v>1047.8900000000001</v>
      </c>
      <c r="U16" s="55">
        <v>1047.8900000000001</v>
      </c>
      <c r="V16" s="55">
        <v>1047.8900000000001</v>
      </c>
      <c r="W16" s="55">
        <v>1047.8900000000001</v>
      </c>
      <c r="X16" s="55">
        <v>1047.8900000000001</v>
      </c>
      <c r="Y16" s="55">
        <v>1047.8900000000001</v>
      </c>
      <c r="Z16" s="55">
        <v>1047.8900000000001</v>
      </c>
      <c r="AA16" s="55">
        <v>1047.8900000000001</v>
      </c>
      <c r="AB16" s="56">
        <f t="shared" si="1"/>
        <v>12574.679999999998</v>
      </c>
    </row>
    <row r="17" spans="1:29" x14ac:dyDescent="0.25">
      <c r="A17" s="51" t="s">
        <v>83</v>
      </c>
      <c r="B17" s="57">
        <v>1</v>
      </c>
      <c r="C17" s="42" t="s">
        <v>88</v>
      </c>
      <c r="D17" s="97" t="s">
        <v>98</v>
      </c>
      <c r="E17" s="98"/>
      <c r="F17" s="52">
        <v>100597.8</v>
      </c>
      <c r="G17" s="52"/>
      <c r="H17" s="52"/>
      <c r="I17" s="52">
        <v>100597.8</v>
      </c>
      <c r="J17" s="54">
        <v>62873.65</v>
      </c>
      <c r="K17" s="53"/>
      <c r="L17" s="52"/>
      <c r="M17" s="54">
        <v>12574.68</v>
      </c>
      <c r="N17" s="53">
        <f t="shared" si="0"/>
        <v>75448.33</v>
      </c>
      <c r="O17" s="50">
        <v>12.5</v>
      </c>
      <c r="P17" s="55">
        <v>1047.8900000000001</v>
      </c>
      <c r="Q17" s="55">
        <v>1047.8900000000001</v>
      </c>
      <c r="R17" s="55">
        <v>1047.8900000000001</v>
      </c>
      <c r="S17" s="55">
        <v>1047.8900000000001</v>
      </c>
      <c r="T17" s="55">
        <v>1047.8900000000001</v>
      </c>
      <c r="U17" s="55">
        <v>1047.8900000000001</v>
      </c>
      <c r="V17" s="55">
        <v>1047.8900000000001</v>
      </c>
      <c r="W17" s="55">
        <v>1047.8900000000001</v>
      </c>
      <c r="X17" s="55">
        <v>1047.8900000000001</v>
      </c>
      <c r="Y17" s="55">
        <v>1047.8900000000001</v>
      </c>
      <c r="Z17" s="55">
        <v>1047.8900000000001</v>
      </c>
      <c r="AA17" s="55">
        <v>1047.8900000000001</v>
      </c>
      <c r="AB17" s="56">
        <f t="shared" si="1"/>
        <v>12574.679999999998</v>
      </c>
    </row>
    <row r="18" spans="1:29" x14ac:dyDescent="0.25">
      <c r="A18" s="51" t="s">
        <v>83</v>
      </c>
      <c r="B18" s="57">
        <v>1</v>
      </c>
      <c r="C18" s="42" t="s">
        <v>99</v>
      </c>
      <c r="D18" s="58" t="s">
        <v>100</v>
      </c>
      <c r="E18" s="59"/>
      <c r="F18" s="52">
        <v>104963.61</v>
      </c>
      <c r="G18" s="52"/>
      <c r="H18" s="52"/>
      <c r="I18" s="52">
        <v>104963.61</v>
      </c>
      <c r="J18" s="53">
        <v>63415.46</v>
      </c>
      <c r="K18" s="53"/>
      <c r="L18" s="52"/>
      <c r="M18" s="54">
        <v>13120.44</v>
      </c>
      <c r="N18" s="53">
        <f t="shared" si="0"/>
        <v>76535.899999999994</v>
      </c>
      <c r="O18" s="50">
        <v>12.5</v>
      </c>
      <c r="P18" s="55">
        <v>1093.3699999999999</v>
      </c>
      <c r="Q18" s="55">
        <v>1093.3699999999999</v>
      </c>
      <c r="R18" s="55">
        <v>1093.3699999999999</v>
      </c>
      <c r="S18" s="55">
        <v>1093.3699999999999</v>
      </c>
      <c r="T18" s="55">
        <v>1093.3699999999999</v>
      </c>
      <c r="U18" s="55">
        <v>1093.3699999999999</v>
      </c>
      <c r="V18" s="55">
        <v>1093.3699999999999</v>
      </c>
      <c r="W18" s="55">
        <v>1093.3699999999999</v>
      </c>
      <c r="X18" s="55">
        <v>1093.3699999999999</v>
      </c>
      <c r="Y18" s="55">
        <v>1093.3699999999999</v>
      </c>
      <c r="Z18" s="55">
        <v>1093.3699999999999</v>
      </c>
      <c r="AA18" s="55">
        <v>1093.3699999999999</v>
      </c>
      <c r="AB18" s="56">
        <f>SUM(P18:AA18)</f>
        <v>13120.439999999995</v>
      </c>
    </row>
    <row r="19" spans="1:29" x14ac:dyDescent="0.25">
      <c r="A19" s="51" t="s">
        <v>83</v>
      </c>
      <c r="B19" s="57">
        <v>2</v>
      </c>
      <c r="C19" s="42" t="s">
        <v>101</v>
      </c>
      <c r="D19" s="97" t="s">
        <v>102</v>
      </c>
      <c r="E19" s="98"/>
      <c r="F19" s="52">
        <v>205087.62</v>
      </c>
      <c r="G19" s="52"/>
      <c r="H19" s="52"/>
      <c r="I19" s="52">
        <v>205087.62</v>
      </c>
      <c r="J19" s="53">
        <v>117498.15</v>
      </c>
      <c r="K19" s="53"/>
      <c r="L19" s="52"/>
      <c r="M19" s="54">
        <v>25635.96</v>
      </c>
      <c r="N19" s="53">
        <f t="shared" si="0"/>
        <v>143134.10999999999</v>
      </c>
      <c r="O19" s="50">
        <v>12.5</v>
      </c>
      <c r="P19" s="55">
        <v>2136.33</v>
      </c>
      <c r="Q19" s="55">
        <v>2136.33</v>
      </c>
      <c r="R19" s="55">
        <v>2136.33</v>
      </c>
      <c r="S19" s="55">
        <v>2136.33</v>
      </c>
      <c r="T19" s="55">
        <v>2136.33</v>
      </c>
      <c r="U19" s="55">
        <v>2136.33</v>
      </c>
      <c r="V19" s="55">
        <v>2136.33</v>
      </c>
      <c r="W19" s="55">
        <v>2136.33</v>
      </c>
      <c r="X19" s="55">
        <v>2136.33</v>
      </c>
      <c r="Y19" s="55">
        <v>2136.33</v>
      </c>
      <c r="Z19" s="55">
        <v>2136.33</v>
      </c>
      <c r="AA19" s="55">
        <v>2136.33</v>
      </c>
      <c r="AB19" s="56">
        <f t="shared" si="1"/>
        <v>25635.960000000006</v>
      </c>
      <c r="AC19" s="55">
        <v>2136.33</v>
      </c>
    </row>
    <row r="20" spans="1:29" x14ac:dyDescent="0.25">
      <c r="A20" s="51" t="s">
        <v>83</v>
      </c>
      <c r="B20" s="57">
        <v>2</v>
      </c>
      <c r="C20" s="42" t="s">
        <v>101</v>
      </c>
      <c r="D20" s="97" t="s">
        <v>103</v>
      </c>
      <c r="E20" s="98"/>
      <c r="F20" s="52">
        <v>205735.92</v>
      </c>
      <c r="G20" s="52"/>
      <c r="H20" s="52"/>
      <c r="I20" s="52">
        <v>205735.92</v>
      </c>
      <c r="J20" s="53">
        <v>117869.4</v>
      </c>
      <c r="K20" s="53"/>
      <c r="L20" s="52"/>
      <c r="M20" s="54">
        <v>25719</v>
      </c>
      <c r="N20" s="53">
        <f t="shared" si="0"/>
        <v>143588.4</v>
      </c>
      <c r="O20" s="50">
        <v>12.5</v>
      </c>
      <c r="P20" s="55">
        <v>2143.25</v>
      </c>
      <c r="Q20" s="55">
        <v>2143.25</v>
      </c>
      <c r="R20" s="55">
        <v>2143.25</v>
      </c>
      <c r="S20" s="55">
        <v>2143.25</v>
      </c>
      <c r="T20" s="55">
        <v>2143.25</v>
      </c>
      <c r="U20" s="55">
        <v>2143.25</v>
      </c>
      <c r="V20" s="55">
        <v>2143.25</v>
      </c>
      <c r="W20" s="55">
        <v>2143.25</v>
      </c>
      <c r="X20" s="55">
        <v>2143.25</v>
      </c>
      <c r="Y20" s="55">
        <v>2143.25</v>
      </c>
      <c r="Z20" s="55">
        <v>2143.25</v>
      </c>
      <c r="AA20" s="55">
        <v>2143.25</v>
      </c>
      <c r="AB20" s="56">
        <f>SUM(P20:AA20)</f>
        <v>25719</v>
      </c>
      <c r="AC20">
        <f>AC19/2</f>
        <v>1068.165</v>
      </c>
    </row>
    <row r="21" spans="1:29" x14ac:dyDescent="0.25">
      <c r="A21" s="51" t="s">
        <v>83</v>
      </c>
      <c r="B21" s="57">
        <v>1</v>
      </c>
      <c r="C21" s="42" t="s">
        <v>104</v>
      </c>
      <c r="D21" s="97" t="s">
        <v>105</v>
      </c>
      <c r="E21" s="98"/>
      <c r="F21" s="52">
        <v>105239.98</v>
      </c>
      <c r="G21" s="52"/>
      <c r="H21" s="52"/>
      <c r="I21" s="52">
        <v>105239.98</v>
      </c>
      <c r="J21" s="54">
        <v>57005</v>
      </c>
      <c r="K21" s="54"/>
      <c r="L21" s="52"/>
      <c r="M21" s="54">
        <v>13155</v>
      </c>
      <c r="N21" s="53">
        <f t="shared" si="0"/>
        <v>70160</v>
      </c>
      <c r="O21" s="50">
        <v>12.5</v>
      </c>
      <c r="P21" s="55">
        <v>1096.25</v>
      </c>
      <c r="Q21" s="55">
        <v>1096.25</v>
      </c>
      <c r="R21" s="55">
        <v>1096.25</v>
      </c>
      <c r="S21" s="55">
        <v>1096.25</v>
      </c>
      <c r="T21" s="55">
        <v>1096.25</v>
      </c>
      <c r="U21" s="55">
        <v>1096.25</v>
      </c>
      <c r="V21" s="55">
        <v>1096.25</v>
      </c>
      <c r="W21" s="55">
        <v>1096.25</v>
      </c>
      <c r="X21" s="55">
        <v>1096.25</v>
      </c>
      <c r="Y21" s="55">
        <v>1096.25</v>
      </c>
      <c r="Z21" s="55">
        <v>1096.25</v>
      </c>
      <c r="AA21" s="55">
        <v>1096.25</v>
      </c>
      <c r="AB21" s="56">
        <f t="shared" si="1"/>
        <v>13155</v>
      </c>
    </row>
    <row r="22" spans="1:29" x14ac:dyDescent="0.25">
      <c r="A22" s="51" t="s">
        <v>83</v>
      </c>
      <c r="B22" s="57">
        <v>1</v>
      </c>
      <c r="C22" s="42" t="s">
        <v>104</v>
      </c>
      <c r="D22" s="97" t="s">
        <v>106</v>
      </c>
      <c r="E22" s="98"/>
      <c r="F22" s="52">
        <v>105239.98</v>
      </c>
      <c r="G22" s="52"/>
      <c r="H22" s="52"/>
      <c r="I22" s="52">
        <v>105239.98</v>
      </c>
      <c r="J22" s="54">
        <v>57005</v>
      </c>
      <c r="K22" s="54"/>
      <c r="L22" s="52"/>
      <c r="M22" s="54">
        <v>13155</v>
      </c>
      <c r="N22" s="53">
        <f t="shared" si="0"/>
        <v>70160</v>
      </c>
      <c r="O22" s="50">
        <v>12.5</v>
      </c>
      <c r="P22" s="55">
        <v>1096.25</v>
      </c>
      <c r="Q22" s="55">
        <v>1096.25</v>
      </c>
      <c r="R22" s="55">
        <v>1096.25</v>
      </c>
      <c r="S22" s="55">
        <v>1096.25</v>
      </c>
      <c r="T22" s="55">
        <v>1096.25</v>
      </c>
      <c r="U22" s="55">
        <v>1096.25</v>
      </c>
      <c r="V22" s="55">
        <v>1096.25</v>
      </c>
      <c r="W22" s="55">
        <v>1096.25</v>
      </c>
      <c r="X22" s="55">
        <v>1096.25</v>
      </c>
      <c r="Y22" s="55">
        <v>1096.25</v>
      </c>
      <c r="Z22" s="55">
        <v>1096.25</v>
      </c>
      <c r="AA22" s="55">
        <v>1096.25</v>
      </c>
      <c r="AB22" s="56">
        <f t="shared" si="1"/>
        <v>13155</v>
      </c>
    </row>
    <row r="23" spans="1:29" x14ac:dyDescent="0.25">
      <c r="A23" s="51" t="s">
        <v>83</v>
      </c>
      <c r="B23" s="57">
        <v>1</v>
      </c>
      <c r="C23" s="42" t="s">
        <v>104</v>
      </c>
      <c r="D23" s="97" t="s">
        <v>107</v>
      </c>
      <c r="E23" s="98"/>
      <c r="F23" s="52">
        <v>105239.98</v>
      </c>
      <c r="G23" s="52"/>
      <c r="H23" s="52"/>
      <c r="I23" s="52">
        <v>105239.98</v>
      </c>
      <c r="J23" s="54">
        <v>57005</v>
      </c>
      <c r="K23" s="54"/>
      <c r="L23" s="52"/>
      <c r="M23" s="54">
        <v>13155</v>
      </c>
      <c r="N23" s="53">
        <f t="shared" si="0"/>
        <v>70160</v>
      </c>
      <c r="O23" s="50">
        <v>12.5</v>
      </c>
      <c r="P23" s="55">
        <v>1096.25</v>
      </c>
      <c r="Q23" s="55">
        <v>1096.25</v>
      </c>
      <c r="R23" s="55">
        <v>1096.25</v>
      </c>
      <c r="S23" s="55">
        <v>1096.25</v>
      </c>
      <c r="T23" s="55">
        <v>1096.25</v>
      </c>
      <c r="U23" s="55">
        <v>1096.25</v>
      </c>
      <c r="V23" s="55">
        <v>1096.25</v>
      </c>
      <c r="W23" s="55">
        <v>1096.25</v>
      </c>
      <c r="X23" s="55">
        <v>1096.25</v>
      </c>
      <c r="Y23" s="55">
        <v>1096.25</v>
      </c>
      <c r="Z23" s="55">
        <v>1096.25</v>
      </c>
      <c r="AA23" s="55">
        <v>1096.25</v>
      </c>
      <c r="AB23" s="56">
        <f t="shared" si="1"/>
        <v>13155</v>
      </c>
    </row>
    <row r="24" spans="1:29" x14ac:dyDescent="0.25">
      <c r="A24" s="51" t="s">
        <v>83</v>
      </c>
      <c r="B24" s="57">
        <v>1</v>
      </c>
      <c r="C24" s="42" t="s">
        <v>108</v>
      </c>
      <c r="D24" s="97" t="s">
        <v>109</v>
      </c>
      <c r="E24" s="98"/>
      <c r="F24" s="52">
        <v>100006.93</v>
      </c>
      <c r="G24" s="52"/>
      <c r="H24" s="52"/>
      <c r="I24" s="52">
        <v>100006.93</v>
      </c>
      <c r="J24" s="53">
        <v>53156.74</v>
      </c>
      <c r="K24" s="53"/>
      <c r="L24" s="52"/>
      <c r="M24" s="53">
        <v>12500.88</v>
      </c>
      <c r="N24" s="53">
        <f t="shared" si="0"/>
        <v>65657.62</v>
      </c>
      <c r="O24" s="50">
        <v>12.5</v>
      </c>
      <c r="P24" s="55">
        <v>1041.74</v>
      </c>
      <c r="Q24" s="55">
        <v>1041.74</v>
      </c>
      <c r="R24" s="55">
        <v>1041.74</v>
      </c>
      <c r="S24" s="55">
        <v>1041.74</v>
      </c>
      <c r="T24" s="55">
        <v>1041.74</v>
      </c>
      <c r="U24" s="55">
        <v>1041.74</v>
      </c>
      <c r="V24" s="55">
        <v>1041.74</v>
      </c>
      <c r="W24" s="55">
        <v>1041.74</v>
      </c>
      <c r="X24" s="55">
        <v>1041.74</v>
      </c>
      <c r="Y24" s="55">
        <v>1041.74</v>
      </c>
      <c r="Z24" s="55">
        <v>1041.74</v>
      </c>
      <c r="AA24" s="55">
        <v>1041.74</v>
      </c>
      <c r="AB24" s="56">
        <f t="shared" si="1"/>
        <v>12500.88</v>
      </c>
    </row>
    <row r="25" spans="1:29" x14ac:dyDescent="0.25">
      <c r="A25" s="51" t="s">
        <v>83</v>
      </c>
      <c r="B25" s="57">
        <v>1</v>
      </c>
      <c r="C25" s="42" t="s">
        <v>110</v>
      </c>
      <c r="D25" s="97" t="s">
        <v>111</v>
      </c>
      <c r="E25" s="98"/>
      <c r="F25" s="52">
        <v>100006.93</v>
      </c>
      <c r="G25" s="52"/>
      <c r="H25" s="52"/>
      <c r="I25" s="52">
        <v>100006.93</v>
      </c>
      <c r="J25" s="53">
        <v>53156.74</v>
      </c>
      <c r="K25" s="53"/>
      <c r="L25" s="52"/>
      <c r="M25" s="53">
        <v>12500.88</v>
      </c>
      <c r="N25" s="53">
        <f t="shared" si="0"/>
        <v>65657.62</v>
      </c>
      <c r="O25" s="50">
        <v>12.5</v>
      </c>
      <c r="P25" s="55">
        <v>1041.74</v>
      </c>
      <c r="Q25" s="55">
        <v>1041.74</v>
      </c>
      <c r="R25" s="55">
        <v>1041.74</v>
      </c>
      <c r="S25" s="55">
        <v>1041.74</v>
      </c>
      <c r="T25" s="55">
        <v>1041.74</v>
      </c>
      <c r="U25" s="55">
        <v>1041.74</v>
      </c>
      <c r="V25" s="55">
        <v>1041.74</v>
      </c>
      <c r="W25" s="55">
        <v>1041.74</v>
      </c>
      <c r="X25" s="55">
        <v>1041.74</v>
      </c>
      <c r="Y25" s="55">
        <v>1041.74</v>
      </c>
      <c r="Z25" s="55">
        <v>1041.74</v>
      </c>
      <c r="AA25" s="55">
        <v>1041.74</v>
      </c>
      <c r="AB25" s="56">
        <f t="shared" si="1"/>
        <v>12500.88</v>
      </c>
    </row>
    <row r="26" spans="1:29" x14ac:dyDescent="0.25">
      <c r="A26" s="51" t="s">
        <v>83</v>
      </c>
      <c r="B26" s="57">
        <v>1</v>
      </c>
      <c r="C26" s="42" t="s">
        <v>112</v>
      </c>
      <c r="D26" s="97" t="s">
        <v>113</v>
      </c>
      <c r="E26" s="98"/>
      <c r="F26" s="52">
        <v>100006.93</v>
      </c>
      <c r="G26" s="52"/>
      <c r="H26" s="52"/>
      <c r="I26" s="52">
        <v>100006.93</v>
      </c>
      <c r="J26" s="53">
        <v>50003.519999999997</v>
      </c>
      <c r="K26" s="53"/>
      <c r="L26" s="52"/>
      <c r="M26" s="53">
        <v>12500.88</v>
      </c>
      <c r="N26" s="53">
        <f t="shared" si="0"/>
        <v>62504.399999999994</v>
      </c>
      <c r="O26" s="50">
        <v>12.5</v>
      </c>
      <c r="P26" s="55">
        <v>1041.74</v>
      </c>
      <c r="Q26" s="55">
        <v>1041.74</v>
      </c>
      <c r="R26" s="55">
        <v>1041.74</v>
      </c>
      <c r="S26" s="55">
        <v>1041.74</v>
      </c>
      <c r="T26" s="55">
        <v>1041.74</v>
      </c>
      <c r="U26" s="55">
        <v>1041.74</v>
      </c>
      <c r="V26" s="55">
        <v>1041.74</v>
      </c>
      <c r="W26" s="55">
        <v>1041.74</v>
      </c>
      <c r="X26" s="55">
        <v>1041.74</v>
      </c>
      <c r="Y26" s="55">
        <v>1041.74</v>
      </c>
      <c r="Z26" s="55">
        <v>1041.74</v>
      </c>
      <c r="AA26" s="55">
        <v>1041.74</v>
      </c>
      <c r="AB26" s="56">
        <f t="shared" si="1"/>
        <v>12500.88</v>
      </c>
    </row>
    <row r="27" spans="1:29" x14ac:dyDescent="0.25">
      <c r="A27" s="99"/>
      <c r="B27" s="99"/>
      <c r="C27" s="99"/>
      <c r="D27" s="99"/>
      <c r="E27" s="99"/>
      <c r="F27" s="60">
        <f>SUM(F5:F26)</f>
        <v>2364693.3800000008</v>
      </c>
      <c r="G27" s="60">
        <f>SUM(G5:G25)</f>
        <v>0</v>
      </c>
      <c r="H27" s="60">
        <f>SUM(H5:H17)</f>
        <v>0</v>
      </c>
      <c r="I27" s="60">
        <f>SUM(I5:I26)</f>
        <v>2364693.3800000008</v>
      </c>
      <c r="J27" s="61">
        <f>SUM(J5:J26)</f>
        <v>1405234.01</v>
      </c>
      <c r="K27" s="62">
        <f>SUM(K5:K17)</f>
        <v>0</v>
      </c>
      <c r="L27" s="60">
        <f>SUM(L5:L17)</f>
        <v>0</v>
      </c>
      <c r="M27" s="60">
        <f>SUM(M5:M26)</f>
        <v>295588.19999999995</v>
      </c>
      <c r="N27" s="63">
        <f>SUM(N5:N26)</f>
        <v>1700822.21</v>
      </c>
      <c r="O27" s="60"/>
      <c r="P27" s="60">
        <f t="shared" ref="P27:AB27" si="2">SUM(P5:P26)</f>
        <v>24632.350000000002</v>
      </c>
      <c r="Q27" s="60">
        <f t="shared" si="2"/>
        <v>24632.350000000002</v>
      </c>
      <c r="R27" s="60">
        <f t="shared" si="2"/>
        <v>24632.350000000002</v>
      </c>
      <c r="S27" s="60">
        <f t="shared" si="2"/>
        <v>24632.350000000002</v>
      </c>
      <c r="T27" s="60">
        <f t="shared" si="2"/>
        <v>24632.350000000002</v>
      </c>
      <c r="U27" s="60">
        <f t="shared" si="2"/>
        <v>24632.350000000002</v>
      </c>
      <c r="V27" s="60">
        <f t="shared" si="2"/>
        <v>24632.350000000002</v>
      </c>
      <c r="W27" s="60">
        <f t="shared" si="2"/>
        <v>24632.350000000002</v>
      </c>
      <c r="X27" s="60">
        <f t="shared" si="2"/>
        <v>24632.350000000002</v>
      </c>
      <c r="Y27" s="60">
        <f t="shared" si="2"/>
        <v>24632.350000000002</v>
      </c>
      <c r="Z27" s="60">
        <f t="shared" si="2"/>
        <v>24632.350000000002</v>
      </c>
      <c r="AA27" s="60">
        <f t="shared" si="2"/>
        <v>24632.350000000002</v>
      </c>
      <c r="AB27" s="64">
        <f t="shared" si="2"/>
        <v>295588.2</v>
      </c>
    </row>
    <row r="28" spans="1:29" ht="45.75" x14ac:dyDescent="0.25">
      <c r="E28" s="65" t="s">
        <v>114</v>
      </c>
      <c r="F28" s="66" t="s">
        <v>115</v>
      </c>
      <c r="G28" s="67" t="s">
        <v>116</v>
      </c>
      <c r="H28" s="51"/>
      <c r="I28" s="57"/>
      <c r="J28" s="42"/>
      <c r="K28" s="97"/>
      <c r="L28" s="98"/>
      <c r="U28" s="55">
        <f>2136.33/2</f>
        <v>1068.165</v>
      </c>
    </row>
    <row r="29" spans="1:29" ht="45.75" x14ac:dyDescent="0.25">
      <c r="E29" s="65" t="s">
        <v>117</v>
      </c>
      <c r="F29" s="66" t="s">
        <v>115</v>
      </c>
      <c r="G29" s="67" t="s">
        <v>116</v>
      </c>
      <c r="H29" s="51" t="s">
        <v>83</v>
      </c>
      <c r="I29" s="57">
        <v>1</v>
      </c>
      <c r="J29" s="42" t="s">
        <v>84</v>
      </c>
      <c r="K29" s="97" t="s">
        <v>86</v>
      </c>
      <c r="L29" s="98"/>
    </row>
    <row r="30" spans="1:29" ht="45.75" x14ac:dyDescent="0.25">
      <c r="E30" s="65" t="s">
        <v>118</v>
      </c>
      <c r="F30" s="66" t="s">
        <v>115</v>
      </c>
      <c r="G30" s="67" t="s">
        <v>119</v>
      </c>
      <c r="H30" s="51" t="s">
        <v>83</v>
      </c>
      <c r="I30" s="57">
        <v>1</v>
      </c>
      <c r="J30" s="42" t="s">
        <v>84</v>
      </c>
      <c r="K30" s="97" t="s">
        <v>87</v>
      </c>
      <c r="L30" s="98"/>
    </row>
    <row r="31" spans="1:29" ht="23.25" x14ac:dyDescent="0.25">
      <c r="E31" s="65" t="s">
        <v>120</v>
      </c>
      <c r="F31" s="66" t="s">
        <v>121</v>
      </c>
      <c r="G31" s="67" t="s">
        <v>116</v>
      </c>
      <c r="H31" s="51" t="s">
        <v>82</v>
      </c>
      <c r="I31" s="57">
        <v>1</v>
      </c>
      <c r="J31" s="42" t="s">
        <v>88</v>
      </c>
      <c r="K31" s="97" t="s">
        <v>89</v>
      </c>
      <c r="L31" s="98"/>
    </row>
    <row r="32" spans="1:29" ht="45.75" x14ac:dyDescent="0.25">
      <c r="E32" s="65" t="s">
        <v>122</v>
      </c>
      <c r="F32" s="66" t="s">
        <v>115</v>
      </c>
      <c r="G32" s="67" t="s">
        <v>116</v>
      </c>
      <c r="H32" s="51" t="s">
        <v>83</v>
      </c>
      <c r="I32" s="57">
        <v>1</v>
      </c>
      <c r="J32" s="42" t="s">
        <v>88</v>
      </c>
      <c r="K32" s="97" t="s">
        <v>90</v>
      </c>
      <c r="L32" s="98"/>
    </row>
    <row r="33" spans="5:12" ht="45.75" x14ac:dyDescent="0.25">
      <c r="E33" s="65" t="s">
        <v>123</v>
      </c>
      <c r="F33" s="66" t="s">
        <v>115</v>
      </c>
      <c r="G33" s="67" t="s">
        <v>116</v>
      </c>
      <c r="H33" s="51" t="s">
        <v>83</v>
      </c>
      <c r="I33" s="57">
        <v>1</v>
      </c>
      <c r="J33" s="42" t="s">
        <v>88</v>
      </c>
      <c r="K33" s="97" t="s">
        <v>91</v>
      </c>
      <c r="L33" s="98"/>
    </row>
    <row r="34" spans="5:12" ht="45.75" x14ac:dyDescent="0.25">
      <c r="E34" s="65" t="s">
        <v>124</v>
      </c>
      <c r="F34" s="66" t="s">
        <v>115</v>
      </c>
      <c r="G34" s="67" t="s">
        <v>119</v>
      </c>
      <c r="H34" s="51" t="s">
        <v>83</v>
      </c>
      <c r="I34" s="57">
        <v>1</v>
      </c>
      <c r="J34" s="42" t="s">
        <v>88</v>
      </c>
      <c r="K34" s="97" t="s">
        <v>92</v>
      </c>
      <c r="L34" s="98"/>
    </row>
    <row r="35" spans="5:12" ht="45.75" x14ac:dyDescent="0.25">
      <c r="E35" s="65" t="s">
        <v>125</v>
      </c>
      <c r="F35" s="66" t="s">
        <v>115</v>
      </c>
      <c r="G35" s="67" t="s">
        <v>116</v>
      </c>
      <c r="H35" s="51" t="s">
        <v>83</v>
      </c>
      <c r="I35" s="57">
        <v>1</v>
      </c>
      <c r="J35" s="42" t="s">
        <v>88</v>
      </c>
      <c r="K35" s="97" t="s">
        <v>93</v>
      </c>
      <c r="L35" s="98"/>
    </row>
    <row r="36" spans="5:12" x14ac:dyDescent="0.25">
      <c r="E36" s="65" t="s">
        <v>126</v>
      </c>
      <c r="F36" s="66" t="s">
        <v>127</v>
      </c>
      <c r="G36" s="67" t="s">
        <v>119</v>
      </c>
      <c r="H36" s="51" t="s">
        <v>83</v>
      </c>
      <c r="I36" s="57">
        <v>1</v>
      </c>
      <c r="J36" s="42" t="s">
        <v>88</v>
      </c>
      <c r="K36" s="97" t="s">
        <v>94</v>
      </c>
      <c r="L36" s="98"/>
    </row>
    <row r="37" spans="5:12" ht="23.25" x14ac:dyDescent="0.25">
      <c r="E37" s="65" t="s">
        <v>128</v>
      </c>
      <c r="F37" s="66" t="s">
        <v>129</v>
      </c>
      <c r="G37" s="67" t="s">
        <v>119</v>
      </c>
      <c r="H37" s="51" t="s">
        <v>83</v>
      </c>
      <c r="I37" s="57">
        <v>1</v>
      </c>
      <c r="J37" s="42" t="s">
        <v>88</v>
      </c>
      <c r="K37" s="97" t="s">
        <v>95</v>
      </c>
      <c r="L37" s="98"/>
    </row>
    <row r="38" spans="5:12" ht="23.25" x14ac:dyDescent="0.25">
      <c r="E38" s="65" t="s">
        <v>130</v>
      </c>
      <c r="F38" s="66" t="s">
        <v>131</v>
      </c>
      <c r="G38" s="67" t="s">
        <v>119</v>
      </c>
      <c r="H38" s="51" t="s">
        <v>83</v>
      </c>
      <c r="I38" s="57">
        <v>1</v>
      </c>
      <c r="J38" s="42" t="s">
        <v>88</v>
      </c>
      <c r="K38" s="97" t="s">
        <v>96</v>
      </c>
      <c r="L38" s="98"/>
    </row>
    <row r="39" spans="5:12" x14ac:dyDescent="0.25">
      <c r="E39" s="65">
        <v>1214</v>
      </c>
      <c r="F39" s="66"/>
      <c r="G39" s="67"/>
      <c r="H39" s="51" t="s">
        <v>83</v>
      </c>
      <c r="I39" s="57">
        <v>1</v>
      </c>
      <c r="J39" s="42" t="s">
        <v>88</v>
      </c>
      <c r="K39" s="97" t="s">
        <v>97</v>
      </c>
      <c r="L39" s="98"/>
    </row>
    <row r="40" spans="5:12" x14ac:dyDescent="0.25">
      <c r="E40" s="65" t="s">
        <v>132</v>
      </c>
      <c r="F40" s="66" t="s">
        <v>133</v>
      </c>
      <c r="G40" s="67" t="s">
        <v>119</v>
      </c>
      <c r="H40" s="51" t="s">
        <v>83</v>
      </c>
      <c r="I40" s="57">
        <v>1</v>
      </c>
      <c r="J40" s="42" t="s">
        <v>88</v>
      </c>
      <c r="K40" s="97" t="s">
        <v>98</v>
      </c>
      <c r="L40" s="98"/>
    </row>
    <row r="41" spans="5:12" ht="23.25" x14ac:dyDescent="0.25">
      <c r="E41" s="65" t="s">
        <v>134</v>
      </c>
      <c r="F41" s="66" t="s">
        <v>135</v>
      </c>
      <c r="G41" s="67" t="s">
        <v>119</v>
      </c>
      <c r="H41" s="51" t="s">
        <v>83</v>
      </c>
      <c r="I41" s="57">
        <v>1</v>
      </c>
      <c r="J41" s="42" t="s">
        <v>99</v>
      </c>
      <c r="K41" s="58" t="s">
        <v>100</v>
      </c>
      <c r="L41" s="59"/>
    </row>
    <row r="42" spans="5:12" ht="34.5" x14ac:dyDescent="0.25">
      <c r="E42" s="65" t="s">
        <v>136</v>
      </c>
      <c r="F42" s="66" t="s">
        <v>137</v>
      </c>
      <c r="G42" s="67" t="s">
        <v>119</v>
      </c>
    </row>
    <row r="43" spans="5:12" x14ac:dyDescent="0.25">
      <c r="E43" s="65" t="s">
        <v>138</v>
      </c>
      <c r="F43" s="66" t="s">
        <v>139</v>
      </c>
      <c r="G43" s="67" t="s">
        <v>119</v>
      </c>
      <c r="H43" s="51" t="s">
        <v>83</v>
      </c>
      <c r="I43" s="57">
        <v>2</v>
      </c>
      <c r="J43" s="42" t="s">
        <v>101</v>
      </c>
      <c r="K43" s="97" t="s">
        <v>103</v>
      </c>
      <c r="L43" s="98"/>
    </row>
    <row r="44" spans="5:12" x14ac:dyDescent="0.25">
      <c r="E44" s="65" t="s">
        <v>140</v>
      </c>
      <c r="F44" s="66" t="s">
        <v>141</v>
      </c>
      <c r="G44" s="67" t="s">
        <v>116</v>
      </c>
      <c r="H44" s="51" t="s">
        <v>83</v>
      </c>
      <c r="I44" s="57">
        <v>1</v>
      </c>
      <c r="J44" s="42" t="s">
        <v>104</v>
      </c>
      <c r="K44" s="97" t="s">
        <v>105</v>
      </c>
      <c r="L44" s="98"/>
    </row>
    <row r="45" spans="5:12" x14ac:dyDescent="0.25">
      <c r="E45" s="65" t="s">
        <v>142</v>
      </c>
      <c r="F45" s="66" t="s">
        <v>143</v>
      </c>
      <c r="G45" s="67" t="s">
        <v>119</v>
      </c>
      <c r="H45" s="51" t="s">
        <v>83</v>
      </c>
      <c r="I45" s="57">
        <v>1</v>
      </c>
      <c r="J45" s="42" t="s">
        <v>104</v>
      </c>
      <c r="K45" s="97" t="s">
        <v>106</v>
      </c>
      <c r="L45" s="98"/>
    </row>
    <row r="46" spans="5:12" x14ac:dyDescent="0.25">
      <c r="E46" s="65" t="s">
        <v>144</v>
      </c>
      <c r="F46" s="66" t="s">
        <v>145</v>
      </c>
      <c r="G46" s="67" t="s">
        <v>116</v>
      </c>
      <c r="H46" s="51" t="s">
        <v>83</v>
      </c>
      <c r="I46" s="57">
        <v>1</v>
      </c>
      <c r="J46" s="42" t="s">
        <v>104</v>
      </c>
      <c r="K46" s="97" t="s">
        <v>107</v>
      </c>
      <c r="L46" s="98"/>
    </row>
    <row r="47" spans="5:12" ht="23.25" x14ac:dyDescent="0.25">
      <c r="E47" s="65" t="s">
        <v>146</v>
      </c>
      <c r="F47" s="66" t="s">
        <v>147</v>
      </c>
      <c r="G47" s="67" t="s">
        <v>116</v>
      </c>
      <c r="H47" s="51" t="s">
        <v>83</v>
      </c>
      <c r="I47" s="57">
        <v>1</v>
      </c>
      <c r="J47" s="42" t="s">
        <v>108</v>
      </c>
      <c r="K47" s="97" t="s">
        <v>109</v>
      </c>
      <c r="L47" s="98"/>
    </row>
    <row r="48" spans="5:12" x14ac:dyDescent="0.25">
      <c r="E48" s="65" t="s">
        <v>148</v>
      </c>
      <c r="F48" s="66" t="s">
        <v>149</v>
      </c>
      <c r="G48" s="67" t="s">
        <v>116</v>
      </c>
      <c r="H48" s="51" t="s">
        <v>83</v>
      </c>
      <c r="I48" s="57">
        <v>1</v>
      </c>
      <c r="J48" s="42" t="s">
        <v>110</v>
      </c>
      <c r="K48" s="97" t="s">
        <v>111</v>
      </c>
      <c r="L48" s="98"/>
    </row>
    <row r="49" spans="5:12" x14ac:dyDescent="0.25">
      <c r="E49" s="65" t="s">
        <v>150</v>
      </c>
      <c r="F49" s="66" t="s">
        <v>151</v>
      </c>
      <c r="G49" s="67" t="s">
        <v>116</v>
      </c>
      <c r="H49" s="51" t="s">
        <v>83</v>
      </c>
      <c r="I49" s="57">
        <v>1</v>
      </c>
      <c r="J49" s="42" t="s">
        <v>112</v>
      </c>
      <c r="K49" s="97" t="s">
        <v>113</v>
      </c>
      <c r="L49" s="98"/>
    </row>
    <row r="50" spans="5:12" x14ac:dyDescent="0.25">
      <c r="E50" s="65" t="s">
        <v>152</v>
      </c>
      <c r="F50" s="66" t="s">
        <v>153</v>
      </c>
      <c r="G50" s="67" t="s">
        <v>116</v>
      </c>
    </row>
    <row r="51" spans="5:12" x14ac:dyDescent="0.25">
      <c r="E51" s="65" t="s">
        <v>154</v>
      </c>
      <c r="F51" s="66" t="s">
        <v>155</v>
      </c>
      <c r="G51" s="67" t="s">
        <v>116</v>
      </c>
    </row>
    <row r="52" spans="5:12" x14ac:dyDescent="0.25">
      <c r="E52" s="65" t="s">
        <v>156</v>
      </c>
      <c r="F52" s="66" t="s">
        <v>157</v>
      </c>
      <c r="G52" s="67" t="s">
        <v>119</v>
      </c>
    </row>
    <row r="53" spans="5:12" x14ac:dyDescent="0.25">
      <c r="E53" s="65" t="s">
        <v>158</v>
      </c>
      <c r="F53" s="66" t="s">
        <v>159</v>
      </c>
      <c r="G53" s="67" t="s">
        <v>119</v>
      </c>
    </row>
    <row r="54" spans="5:12" x14ac:dyDescent="0.25">
      <c r="E54" s="65" t="s">
        <v>160</v>
      </c>
      <c r="F54" s="66" t="s">
        <v>161</v>
      </c>
      <c r="G54" s="67" t="s">
        <v>119</v>
      </c>
    </row>
    <row r="55" spans="5:12" x14ac:dyDescent="0.25">
      <c r="E55" s="65" t="s">
        <v>162</v>
      </c>
      <c r="F55" s="66" t="s">
        <v>163</v>
      </c>
      <c r="G55" s="67" t="s">
        <v>119</v>
      </c>
    </row>
    <row r="56" spans="5:12" x14ac:dyDescent="0.25">
      <c r="E56" s="65" t="s">
        <v>164</v>
      </c>
      <c r="F56" s="66" t="s">
        <v>165</v>
      </c>
      <c r="G56" s="67" t="s">
        <v>119</v>
      </c>
    </row>
    <row r="57" spans="5:12" x14ac:dyDescent="0.25">
      <c r="E57" s="65" t="s">
        <v>166</v>
      </c>
      <c r="F57" s="66" t="s">
        <v>167</v>
      </c>
      <c r="G57" s="67" t="s">
        <v>119</v>
      </c>
    </row>
    <row r="58" spans="5:12" x14ac:dyDescent="0.25">
      <c r="E58" s="65" t="s">
        <v>168</v>
      </c>
      <c r="F58" s="66" t="s">
        <v>169</v>
      </c>
      <c r="G58" s="67" t="s">
        <v>116</v>
      </c>
    </row>
    <row r="59" spans="5:12" x14ac:dyDescent="0.25">
      <c r="E59" s="65" t="s">
        <v>170</v>
      </c>
      <c r="F59" s="66" t="s">
        <v>171</v>
      </c>
      <c r="G59" s="67" t="s">
        <v>116</v>
      </c>
    </row>
    <row r="60" spans="5:12" ht="23.25" x14ac:dyDescent="0.25">
      <c r="E60" s="65" t="s">
        <v>172</v>
      </c>
      <c r="F60" s="66" t="s">
        <v>173</v>
      </c>
      <c r="G60" s="67" t="s">
        <v>116</v>
      </c>
    </row>
    <row r="61" spans="5:12" ht="23.25" x14ac:dyDescent="0.25">
      <c r="E61" s="65" t="s">
        <v>174</v>
      </c>
      <c r="F61" s="66" t="s">
        <v>173</v>
      </c>
      <c r="G61" s="67" t="s">
        <v>116</v>
      </c>
    </row>
    <row r="62" spans="5:12" ht="23.25" x14ac:dyDescent="0.25">
      <c r="E62" s="65" t="s">
        <v>175</v>
      </c>
      <c r="F62" s="66" t="s">
        <v>173</v>
      </c>
      <c r="G62" s="67" t="s">
        <v>116</v>
      </c>
    </row>
    <row r="63" spans="5:12" ht="23.25" x14ac:dyDescent="0.25">
      <c r="E63" s="65" t="s">
        <v>176</v>
      </c>
      <c r="F63" s="66" t="s">
        <v>173</v>
      </c>
      <c r="G63" s="67" t="s">
        <v>116</v>
      </c>
    </row>
    <row r="64" spans="5:12" ht="23.25" x14ac:dyDescent="0.25">
      <c r="E64" s="65" t="s">
        <v>177</v>
      </c>
      <c r="F64" s="66" t="s">
        <v>173</v>
      </c>
      <c r="G64" s="67" t="s">
        <v>116</v>
      </c>
    </row>
    <row r="65" spans="5:12" ht="23.25" x14ac:dyDescent="0.25">
      <c r="E65" s="65" t="s">
        <v>178</v>
      </c>
      <c r="F65" s="66" t="s">
        <v>179</v>
      </c>
      <c r="G65" s="67" t="s">
        <v>116</v>
      </c>
    </row>
    <row r="66" spans="5:12" x14ac:dyDescent="0.25">
      <c r="E66" s="65" t="s">
        <v>180</v>
      </c>
      <c r="F66" s="66" t="s">
        <v>181</v>
      </c>
      <c r="G66" s="67" t="s">
        <v>119</v>
      </c>
    </row>
    <row r="67" spans="5:12" ht="23.25" x14ac:dyDescent="0.25">
      <c r="E67" s="65" t="s">
        <v>182</v>
      </c>
      <c r="F67" s="66" t="s">
        <v>183</v>
      </c>
      <c r="G67" s="67" t="s">
        <v>116</v>
      </c>
    </row>
    <row r="68" spans="5:12" ht="23.25" x14ac:dyDescent="0.25">
      <c r="E68" s="65" t="s">
        <v>184</v>
      </c>
      <c r="F68" s="66" t="s">
        <v>185</v>
      </c>
      <c r="G68" s="67" t="s">
        <v>116</v>
      </c>
    </row>
    <row r="69" spans="5:12" x14ac:dyDescent="0.25">
      <c r="E69" s="65" t="s">
        <v>186</v>
      </c>
      <c r="F69" s="66" t="s">
        <v>187</v>
      </c>
      <c r="G69" s="67" t="s">
        <v>119</v>
      </c>
      <c r="H69" s="51" t="s">
        <v>83</v>
      </c>
      <c r="I69" s="57">
        <v>1</v>
      </c>
      <c r="J69" s="42" t="s">
        <v>84</v>
      </c>
      <c r="K69" s="97" t="s">
        <v>85</v>
      </c>
      <c r="L69" s="98"/>
    </row>
    <row r="70" spans="5:12" ht="34.5" x14ac:dyDescent="0.25">
      <c r="E70" s="65" t="s">
        <v>188</v>
      </c>
      <c r="F70" s="66" t="s">
        <v>189</v>
      </c>
      <c r="G70" s="67" t="s">
        <v>119</v>
      </c>
    </row>
    <row r="71" spans="5:12" x14ac:dyDescent="0.25">
      <c r="E71" s="65" t="s">
        <v>190</v>
      </c>
      <c r="F71" s="66" t="s">
        <v>191</v>
      </c>
      <c r="G71" s="67" t="s">
        <v>116</v>
      </c>
    </row>
    <row r="72" spans="5:12" x14ac:dyDescent="0.25">
      <c r="E72" s="65" t="s">
        <v>192</v>
      </c>
      <c r="F72" s="68" t="s">
        <v>193</v>
      </c>
      <c r="G72" s="67" t="s">
        <v>116</v>
      </c>
    </row>
    <row r="73" spans="5:12" ht="23.25" x14ac:dyDescent="0.25">
      <c r="E73" s="65" t="s">
        <v>194</v>
      </c>
      <c r="F73" s="66" t="s">
        <v>195</v>
      </c>
      <c r="G73" s="67" t="s">
        <v>116</v>
      </c>
    </row>
    <row r="74" spans="5:12" ht="23.25" x14ac:dyDescent="0.25">
      <c r="E74" s="65" t="s">
        <v>196</v>
      </c>
      <c r="F74" s="68" t="s">
        <v>197</v>
      </c>
      <c r="G74" s="67" t="s">
        <v>116</v>
      </c>
    </row>
    <row r="75" spans="5:12" ht="34.5" x14ac:dyDescent="0.25">
      <c r="E75" s="65" t="s">
        <v>198</v>
      </c>
      <c r="F75" s="66" t="s">
        <v>199</v>
      </c>
      <c r="G75" s="67" t="s">
        <v>119</v>
      </c>
    </row>
    <row r="76" spans="5:12" ht="23.25" x14ac:dyDescent="0.25">
      <c r="E76" s="65" t="s">
        <v>200</v>
      </c>
      <c r="F76" s="66" t="s">
        <v>201</v>
      </c>
      <c r="G76" s="67" t="s">
        <v>119</v>
      </c>
    </row>
    <row r="77" spans="5:12" ht="23.25" x14ac:dyDescent="0.25">
      <c r="E77" s="65" t="s">
        <v>202</v>
      </c>
      <c r="F77" s="66" t="s">
        <v>201</v>
      </c>
      <c r="G77" s="67" t="s">
        <v>119</v>
      </c>
    </row>
    <row r="78" spans="5:12" ht="23.25" x14ac:dyDescent="0.25">
      <c r="E78" s="65" t="s">
        <v>203</v>
      </c>
      <c r="F78" s="66" t="s">
        <v>204</v>
      </c>
      <c r="G78" s="67" t="s">
        <v>116</v>
      </c>
    </row>
    <row r="79" spans="5:12" x14ac:dyDescent="0.25">
      <c r="E79" s="65" t="s">
        <v>205</v>
      </c>
      <c r="F79" s="66" t="s">
        <v>206</v>
      </c>
      <c r="G79" s="67" t="s">
        <v>119</v>
      </c>
    </row>
    <row r="80" spans="5:12" ht="23.25" x14ac:dyDescent="0.25">
      <c r="E80" s="65" t="s">
        <v>207</v>
      </c>
      <c r="F80" s="66" t="s">
        <v>173</v>
      </c>
      <c r="G80" s="67" t="s">
        <v>116</v>
      </c>
    </row>
    <row r="81" spans="5:7" ht="23.25" x14ac:dyDescent="0.25">
      <c r="E81" s="65" t="s">
        <v>208</v>
      </c>
      <c r="F81" s="66" t="s">
        <v>173</v>
      </c>
      <c r="G81" s="67" t="s">
        <v>116</v>
      </c>
    </row>
    <row r="82" spans="5:7" x14ac:dyDescent="0.25">
      <c r="E82" s="65" t="s">
        <v>209</v>
      </c>
      <c r="F82" s="66" t="s">
        <v>210</v>
      </c>
      <c r="G82" s="67" t="s">
        <v>119</v>
      </c>
    </row>
    <row r="83" spans="5:7" ht="23.25" x14ac:dyDescent="0.25">
      <c r="E83" s="65" t="s">
        <v>211</v>
      </c>
      <c r="F83" s="66" t="s">
        <v>212</v>
      </c>
      <c r="G83" s="67" t="s">
        <v>116</v>
      </c>
    </row>
    <row r="84" spans="5:7" ht="23.25" x14ac:dyDescent="0.25">
      <c r="E84" s="65" t="s">
        <v>213</v>
      </c>
      <c r="F84" s="66" t="s">
        <v>214</v>
      </c>
      <c r="G84" s="67" t="s">
        <v>116</v>
      </c>
    </row>
    <row r="85" spans="5:7" ht="23.25" x14ac:dyDescent="0.25">
      <c r="E85" s="65" t="s">
        <v>215</v>
      </c>
      <c r="F85" s="66" t="s">
        <v>216</v>
      </c>
      <c r="G85" s="67" t="s">
        <v>116</v>
      </c>
    </row>
    <row r="86" spans="5:7" ht="23.25" x14ac:dyDescent="0.25">
      <c r="E86" s="65" t="s">
        <v>217</v>
      </c>
      <c r="F86" s="66" t="s">
        <v>218</v>
      </c>
      <c r="G86" s="67" t="s">
        <v>116</v>
      </c>
    </row>
    <row r="87" spans="5:7" ht="34.5" x14ac:dyDescent="0.25">
      <c r="E87" s="65" t="s">
        <v>219</v>
      </c>
      <c r="F87" s="66" t="s">
        <v>220</v>
      </c>
      <c r="G87" s="67" t="s">
        <v>116</v>
      </c>
    </row>
    <row r="88" spans="5:7" ht="23.25" x14ac:dyDescent="0.25">
      <c r="E88" s="65" t="s">
        <v>221</v>
      </c>
      <c r="F88" s="66" t="s">
        <v>222</v>
      </c>
      <c r="G88" s="67" t="s">
        <v>116</v>
      </c>
    </row>
    <row r="89" spans="5:7" ht="23.25" x14ac:dyDescent="0.25">
      <c r="E89" s="65" t="s">
        <v>223</v>
      </c>
      <c r="F89" s="66" t="s">
        <v>224</v>
      </c>
      <c r="G89" s="67" t="s">
        <v>116</v>
      </c>
    </row>
    <row r="90" spans="5:7" ht="23.25" x14ac:dyDescent="0.25">
      <c r="E90" s="65" t="s">
        <v>225</v>
      </c>
      <c r="F90" s="66" t="s">
        <v>226</v>
      </c>
      <c r="G90" s="67" t="s">
        <v>116</v>
      </c>
    </row>
    <row r="91" spans="5:7" ht="34.5" x14ac:dyDescent="0.25">
      <c r="E91" s="65" t="s">
        <v>227</v>
      </c>
      <c r="F91" s="66" t="s">
        <v>228</v>
      </c>
      <c r="G91" s="67" t="s">
        <v>119</v>
      </c>
    </row>
    <row r="92" spans="5:7" x14ac:dyDescent="0.25">
      <c r="E92" s="65" t="s">
        <v>229</v>
      </c>
      <c r="F92" s="66" t="s">
        <v>230</v>
      </c>
      <c r="G92" s="67" t="s">
        <v>116</v>
      </c>
    </row>
    <row r="93" spans="5:7" ht="34.5" x14ac:dyDescent="0.25">
      <c r="E93" s="65" t="s">
        <v>231</v>
      </c>
      <c r="F93" s="66" t="s">
        <v>232</v>
      </c>
      <c r="G93" s="67" t="s">
        <v>116</v>
      </c>
    </row>
    <row r="94" spans="5:7" ht="23.25" x14ac:dyDescent="0.25">
      <c r="E94" s="65" t="s">
        <v>233</v>
      </c>
      <c r="F94" s="66" t="s">
        <v>234</v>
      </c>
      <c r="G94" s="67" t="s">
        <v>116</v>
      </c>
    </row>
    <row r="95" spans="5:7" x14ac:dyDescent="0.25">
      <c r="E95" s="65" t="s">
        <v>235</v>
      </c>
      <c r="F95" s="66" t="s">
        <v>236</v>
      </c>
      <c r="G95" s="67" t="s">
        <v>119</v>
      </c>
    </row>
    <row r="96" spans="5:7" ht="45.75" x14ac:dyDescent="0.25">
      <c r="E96" s="65" t="s">
        <v>237</v>
      </c>
      <c r="F96" s="66" t="s">
        <v>238</v>
      </c>
      <c r="G96" s="67" t="s">
        <v>116</v>
      </c>
    </row>
    <row r="97" spans="5:7" ht="23.25" x14ac:dyDescent="0.25">
      <c r="E97" s="65" t="s">
        <v>239</v>
      </c>
      <c r="F97" s="66" t="s">
        <v>240</v>
      </c>
      <c r="G97" s="67" t="s">
        <v>116</v>
      </c>
    </row>
    <row r="98" spans="5:7" ht="23.25" x14ac:dyDescent="0.25">
      <c r="E98" s="65" t="s">
        <v>241</v>
      </c>
      <c r="F98" s="66" t="s">
        <v>242</v>
      </c>
      <c r="G98" s="67" t="s">
        <v>119</v>
      </c>
    </row>
    <row r="99" spans="5:7" x14ac:dyDescent="0.25">
      <c r="E99" s="65" t="s">
        <v>243</v>
      </c>
      <c r="F99" s="66" t="s">
        <v>244</v>
      </c>
      <c r="G99" s="67" t="s">
        <v>119</v>
      </c>
    </row>
    <row r="100" spans="5:7" ht="23.25" x14ac:dyDescent="0.25">
      <c r="E100" s="65" t="s">
        <v>245</v>
      </c>
      <c r="F100" s="66" t="s">
        <v>173</v>
      </c>
      <c r="G100" s="67" t="s">
        <v>116</v>
      </c>
    </row>
    <row r="101" spans="5:7" ht="23.25" x14ac:dyDescent="0.25">
      <c r="E101" s="65" t="s">
        <v>246</v>
      </c>
      <c r="F101" s="66" t="s">
        <v>247</v>
      </c>
      <c r="G101" s="67" t="s">
        <v>116</v>
      </c>
    </row>
    <row r="102" spans="5:7" ht="23.25" x14ac:dyDescent="0.25">
      <c r="E102" s="65" t="s">
        <v>248</v>
      </c>
      <c r="F102" s="66" t="s">
        <v>249</v>
      </c>
      <c r="G102" s="67" t="s">
        <v>116</v>
      </c>
    </row>
    <row r="103" spans="5:7" x14ac:dyDescent="0.25">
      <c r="E103" s="65" t="s">
        <v>250</v>
      </c>
      <c r="F103" s="66" t="s">
        <v>251</v>
      </c>
      <c r="G103" s="67" t="s">
        <v>116</v>
      </c>
    </row>
    <row r="104" spans="5:7" ht="34.5" x14ac:dyDescent="0.25">
      <c r="E104" s="65" t="s">
        <v>252</v>
      </c>
      <c r="F104" s="66" t="s">
        <v>253</v>
      </c>
      <c r="G104" s="67" t="s">
        <v>116</v>
      </c>
    </row>
    <row r="105" spans="5:7" x14ac:dyDescent="0.25">
      <c r="E105" s="65" t="s">
        <v>254</v>
      </c>
      <c r="F105" s="66" t="s">
        <v>255</v>
      </c>
      <c r="G105" s="67" t="s">
        <v>116</v>
      </c>
    </row>
    <row r="106" spans="5:7" x14ac:dyDescent="0.25">
      <c r="E106" s="65" t="s">
        <v>256</v>
      </c>
      <c r="F106" s="66" t="s">
        <v>257</v>
      </c>
      <c r="G106" s="67" t="s">
        <v>116</v>
      </c>
    </row>
    <row r="107" spans="5:7" x14ac:dyDescent="0.25">
      <c r="E107" s="65" t="s">
        <v>258</v>
      </c>
      <c r="F107" s="66" t="s">
        <v>259</v>
      </c>
      <c r="G107" s="67" t="s">
        <v>116</v>
      </c>
    </row>
    <row r="108" spans="5:7" ht="23.25" x14ac:dyDescent="0.25">
      <c r="E108" s="65">
        <v>1294</v>
      </c>
      <c r="F108" s="66" t="s">
        <v>260</v>
      </c>
      <c r="G108" s="67" t="s">
        <v>116</v>
      </c>
    </row>
    <row r="109" spans="5:7" ht="34.5" x14ac:dyDescent="0.25">
      <c r="E109" s="65" t="s">
        <v>261</v>
      </c>
      <c r="F109" s="66" t="s">
        <v>262</v>
      </c>
      <c r="G109" s="67" t="s">
        <v>116</v>
      </c>
    </row>
    <row r="110" spans="5:7" ht="23.25" x14ac:dyDescent="0.25">
      <c r="E110" s="65" t="s">
        <v>263</v>
      </c>
      <c r="F110" s="66" t="s">
        <v>264</v>
      </c>
      <c r="G110" s="67" t="s">
        <v>116</v>
      </c>
    </row>
    <row r="111" spans="5:7" ht="23.25" x14ac:dyDescent="0.25">
      <c r="E111" s="65" t="s">
        <v>265</v>
      </c>
      <c r="F111" s="66" t="s">
        <v>264</v>
      </c>
      <c r="G111" s="67" t="s">
        <v>116</v>
      </c>
    </row>
    <row r="112" spans="5:7" ht="34.5" x14ac:dyDescent="0.25">
      <c r="E112" s="65" t="s">
        <v>266</v>
      </c>
      <c r="F112" s="66" t="s">
        <v>253</v>
      </c>
      <c r="G112" s="67" t="s">
        <v>116</v>
      </c>
    </row>
    <row r="113" spans="5:7" ht="45.75" x14ac:dyDescent="0.25">
      <c r="E113" s="65" t="s">
        <v>267</v>
      </c>
      <c r="F113" s="66" t="s">
        <v>268</v>
      </c>
      <c r="G113" s="67" t="s">
        <v>116</v>
      </c>
    </row>
  </sheetData>
  <mergeCells count="51">
    <mergeCell ref="F1:I1"/>
    <mergeCell ref="J1:N1"/>
    <mergeCell ref="O1:O2"/>
    <mergeCell ref="P1:AA1"/>
    <mergeCell ref="D2:E2"/>
    <mergeCell ref="D5:E5"/>
    <mergeCell ref="D6:E6"/>
    <mergeCell ref="A3:E3"/>
    <mergeCell ref="A4:E4"/>
    <mergeCell ref="A1:E1"/>
    <mergeCell ref="D19:E19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26:E26"/>
    <mergeCell ref="A27:E27"/>
    <mergeCell ref="D20:E20"/>
    <mergeCell ref="D21:E21"/>
    <mergeCell ref="D22:E22"/>
    <mergeCell ref="D23:E23"/>
    <mergeCell ref="D24:E24"/>
    <mergeCell ref="D25:E25"/>
    <mergeCell ref="K69:L69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28:L28"/>
    <mergeCell ref="K43:L43"/>
    <mergeCell ref="K49:L49"/>
    <mergeCell ref="K44:L44"/>
    <mergeCell ref="K45:L45"/>
    <mergeCell ref="K46:L46"/>
    <mergeCell ref="K47:L47"/>
    <mergeCell ref="K48:L48"/>
  </mergeCells>
  <conditionalFormatting sqref="G28:G113">
    <cfRule type="cellIs" dxfId="1" priority="1" stopIfTrue="1" operator="lessThan">
      <formula>0</formula>
    </cfRule>
    <cfRule type="cellIs" dxfId="0" priority="2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bb8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Kempinska</dc:creator>
  <cp:lastModifiedBy>Antoni Mazur</cp:lastModifiedBy>
  <dcterms:created xsi:type="dcterms:W3CDTF">2026-02-07T14:28:02Z</dcterms:created>
  <dcterms:modified xsi:type="dcterms:W3CDTF">2026-02-15T19:00:50Z</dcterms:modified>
</cp:coreProperties>
</file>
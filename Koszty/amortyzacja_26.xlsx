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avistapl-my.sharepoint.com/personal/kp_avistapl_onmicrosoft_com/Documents/"/>
    </mc:Choice>
  </mc:AlternateContent>
  <xr:revisionPtr revIDLastSave="0" documentId="8_{FB3E7300-AE04-466D-AECC-42651535BE67}" xr6:coauthVersionLast="47" xr6:coauthVersionMax="47" xr10:uidLastSave="{00000000-0000-0000-0000-000000000000}"/>
  <bookViews>
    <workbookView xWindow="-108" yWindow="-108" windowWidth="23256" windowHeight="12456" firstSheet="1" activeTab="1" xr2:uid="{F43583CD-4CA5-4225-8524-8CC9137B419C}"/>
  </bookViews>
  <sheets>
    <sheet name="ST40_FAA2000" sheetId="1" r:id="rId1"/>
    <sheet name="bb8" sheetId="2" r:id="rId2"/>
  </sheets>
  <definedNames>
    <definedName name="_xlnm._FilterDatabase" localSheetId="0" hidden="1">ST40_FAA2000!$A$2:$R$2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2" l="1"/>
  <c r="H31" i="2"/>
  <c r="I30" i="2"/>
  <c r="H30" i="2"/>
  <c r="I21" i="1"/>
  <c r="J21" i="1"/>
  <c r="I22" i="1"/>
  <c r="J22" i="1"/>
  <c r="I20" i="1"/>
  <c r="J20" i="1"/>
  <c r="I19" i="1"/>
  <c r="J19" i="1"/>
  <c r="I27" i="1" l="1"/>
  <c r="J27" i="1"/>
  <c r="K27" i="1"/>
  <c r="L27" i="1"/>
  <c r="M27" i="1"/>
  <c r="N27" i="1"/>
  <c r="O27" i="1"/>
  <c r="P27" i="1"/>
  <c r="Q27" i="1"/>
  <c r="R27" i="1"/>
  <c r="G30" i="2" l="1"/>
  <c r="G46" i="2" s="1"/>
  <c r="F30" i="2"/>
  <c r="F46" i="2" s="1"/>
  <c r="G31" i="2"/>
  <c r="F31" i="2"/>
  <c r="H22" i="1" l="1"/>
  <c r="G22" i="1"/>
  <c r="H21" i="1"/>
  <c r="H27" i="1" s="1"/>
  <c r="G21" i="1"/>
  <c r="H20" i="1"/>
  <c r="G20" i="1"/>
  <c r="H19" i="1"/>
  <c r="G19" i="1"/>
  <c r="O46" i="2"/>
  <c r="N46" i="2"/>
  <c r="M46" i="2"/>
  <c r="L46" i="2"/>
  <c r="K46" i="2"/>
  <c r="J46" i="2"/>
  <c r="I46" i="2"/>
  <c r="H46" i="2"/>
  <c r="G27" i="1" l="1"/>
</calcChain>
</file>

<file path=xl/sharedStrings.xml><?xml version="1.0" encoding="utf-8"?>
<sst xmlns="http://schemas.openxmlformats.org/spreadsheetml/2006/main" count="180" uniqueCount="90">
  <si>
    <t>WARTOŚĆ MIESIĘCZNEGO UMORZENIA - AMORTYZACJI 2026</t>
  </si>
  <si>
    <t>Lp</t>
  </si>
  <si>
    <t>Nr automatu</t>
  </si>
  <si>
    <t>Nr seryjny</t>
  </si>
  <si>
    <t>Model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</si>
  <si>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</si>
  <si>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</si>
  <si>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</si>
  <si>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</si>
  <si>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</si>
  <si>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</si>
  <si>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</si>
  <si>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</si>
  <si>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</si>
  <si>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</si>
  <si>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</si>
  <si>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</si>
  <si>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FAA 2000</t>
  </si>
  <si>
    <t>XII/19</t>
  </si>
  <si>
    <t>ST-40</t>
  </si>
  <si>
    <t>IX/19</t>
  </si>
  <si>
    <t>XI/20</t>
  </si>
  <si>
    <t xml:space="preserve">IX/20 </t>
  </si>
  <si>
    <t>IX/20</t>
  </si>
  <si>
    <t>MAG.</t>
  </si>
  <si>
    <t>V/20</t>
  </si>
  <si>
    <t>II/20</t>
  </si>
  <si>
    <t>VIII/20</t>
  </si>
  <si>
    <t>Lp.</t>
  </si>
  <si>
    <t>OKREŚLENIE ŚRODKA TRWAŁEGO</t>
  </si>
  <si>
    <t>M-c</t>
  </si>
  <si>
    <t>Nazwa</t>
  </si>
  <si>
    <t>2.</t>
  </si>
  <si>
    <t>X/2022</t>
  </si>
  <si>
    <t>Kraków Główny</t>
  </si>
  <si>
    <t>Zielona Góra</t>
  </si>
  <si>
    <t>Wrocław Główny</t>
  </si>
  <si>
    <t>Poznań Główny</t>
  </si>
  <si>
    <t>Świnoujście</t>
  </si>
  <si>
    <t>Szczecin Główny</t>
  </si>
  <si>
    <t>Opole Główne</t>
  </si>
  <si>
    <t>Tczew</t>
  </si>
  <si>
    <t>Jarosław</t>
  </si>
  <si>
    <t>Bialystok</t>
  </si>
  <si>
    <t>MOVE-S320-00035</t>
  </si>
  <si>
    <t>III/2024</t>
  </si>
  <si>
    <t>Puck</t>
  </si>
  <si>
    <t>MOVE-S320-00041</t>
  </si>
  <si>
    <t>Chojnice</t>
  </si>
  <si>
    <t>Namysłów</t>
  </si>
  <si>
    <t>Człuchów</t>
  </si>
  <si>
    <t>IV/2024</t>
  </si>
  <si>
    <t>MOVE-S320-00042</t>
  </si>
  <si>
    <t>Pszczółki</t>
  </si>
  <si>
    <t>Zakopane</t>
  </si>
  <si>
    <t>MOVE-S320-00039</t>
  </si>
  <si>
    <t>VI/2024</t>
  </si>
  <si>
    <t>Elbląg</t>
  </si>
  <si>
    <t>MOVE-S320-00036</t>
  </si>
  <si>
    <r>
      <t>Automat biletowy BB8 Strzelce Krajeńskie/Zwierzyn -</t>
    </r>
    <r>
      <rPr>
        <sz val="9"/>
        <color rgb="FFFF0000"/>
        <rFont val="Arial"/>
        <family val="2"/>
        <charset val="238"/>
      </rPr>
      <t xml:space="preserve"> zdjęty</t>
    </r>
  </si>
  <si>
    <t>MOVE-S320-00040</t>
  </si>
  <si>
    <t>VII/2024</t>
  </si>
  <si>
    <t>MAGAZYN</t>
  </si>
  <si>
    <t>był Głogów</t>
  </si>
  <si>
    <t>IX/2024</t>
  </si>
  <si>
    <t>Kędzierzyn-Koźle</t>
  </si>
  <si>
    <t>Gogolin</t>
  </si>
  <si>
    <t>X/2024</t>
  </si>
  <si>
    <t>Koluszki (do zdjęcia)</t>
  </si>
  <si>
    <t>XII/2024</t>
  </si>
  <si>
    <t xml:space="preserve"> W-wa CENTRALNA</t>
  </si>
  <si>
    <t xml:space="preserve"> KRZYŻ WLKP</t>
  </si>
  <si>
    <t>IV/2025</t>
  </si>
  <si>
    <t xml:space="preserve"> Września</t>
  </si>
  <si>
    <t>Nowy Tomyśl</t>
  </si>
  <si>
    <t>Kościan</t>
  </si>
  <si>
    <t>V/2025</t>
  </si>
  <si>
    <t>Rawicz</t>
  </si>
  <si>
    <t>VI/2025</t>
  </si>
  <si>
    <t>Kielce</t>
  </si>
  <si>
    <t>VII/2025</t>
  </si>
  <si>
    <t>Palędzie</t>
  </si>
  <si>
    <t xml:space="preserve"> Chodzież</t>
  </si>
  <si>
    <t>X/2025</t>
  </si>
  <si>
    <t xml:space="preserve"> Poznań</t>
  </si>
  <si>
    <t xml:space="preserve"> Bochnia</t>
  </si>
  <si>
    <t xml:space="preserve"> Rzeszów</t>
  </si>
  <si>
    <t>III/2026</t>
  </si>
  <si>
    <t>Warszawa Centralna</t>
  </si>
  <si>
    <t>Warszawa Zachodnia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</si>
</sst>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\-#,##0.00\ "/>
    <numFmt numFmtId="165" formatCode="_-* #,##0.00\ _z_ł_-;\-* #,##0.00\ _z_ł_-;_-* &quot;-&quot;??\ _z_ł_-;_-@_-"/>
  </numFmts>
  <fonts count="8">
    <font>
      <sz val="11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sz val="11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color rgb="FF000000"/>
      <name val="Arial"/>
      <family val="2"/>
      <charset val="238"/>
    </font>
    <font>
      <sz val="9"/>
      <color rgb="FFFF0000"/>
      <name val="Arial"/>
      <family val="2"/>
      <charset val="238"/>
    </font>
    <font>
      <sz val="9"/>
      <color rgb="FF242424"/>
      <name val="Arial"/>
      <family val="2"/>
      <charset val="238"/>
    </font>
    <font>
      <b/>
      <sz val="9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left"/>
    </xf>
    <xf numFmtId="164" fontId="1" fillId="0" borderId="2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65" fontId="1" fillId="0" borderId="2" xfId="0" applyNumberFormat="1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" fillId="2" borderId="2" xfId="0" applyNumberFormat="1" applyFont="1" applyFill="1" applyBorder="1" applyAlignment="1">
      <alignment horizontal="center"/>
    </xf>
    <xf numFmtId="165" fontId="1" fillId="2" borderId="2" xfId="0" applyNumberFormat="1" applyFont="1" applyFill="1" applyBorder="1" applyAlignment="1">
      <alignment horizontal="center" wrapText="1"/>
    </xf>
    <xf numFmtId="165" fontId="1" fillId="2" borderId="6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center"/>
    </xf>
    <xf numFmtId="4" fontId="1" fillId="0" borderId="7" xfId="0" applyNumberFormat="1" applyFont="1" applyBorder="1" applyAlignment="1">
      <alignment horizontal="center" wrapText="1"/>
    </xf>
    <xf numFmtId="165" fontId="3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0" borderId="10" xfId="0" applyFont="1" applyBorder="1" applyAlignment="1">
      <alignment horizontal="left"/>
    </xf>
    <xf numFmtId="4" fontId="1" fillId="0" borderId="2" xfId="0" applyNumberFormat="1" applyFont="1" applyBorder="1" applyAlignment="1">
      <alignment horizontal="center" wrapText="1"/>
    </xf>
    <xf numFmtId="0" fontId="0" fillId="0" borderId="2" xfId="0" applyBorder="1"/>
    <xf numFmtId="4" fontId="1" fillId="0" borderId="2" xfId="0" applyNumberFormat="1" applyFont="1" applyBorder="1"/>
    <xf numFmtId="0" fontId="6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164" fontId="7" fillId="0" borderId="0" xfId="0" applyNumberFormat="1" applyFont="1" applyAlignment="1">
      <alignment horizontal="right"/>
    </xf>
    <xf numFmtId="165" fontId="7" fillId="2" borderId="7" xfId="0" applyNumberFormat="1" applyFont="1" applyFill="1" applyBorder="1" applyAlignment="1">
      <alignment horizontal="center"/>
    </xf>
    <xf numFmtId="165" fontId="7" fillId="2" borderId="7" xfId="0" applyNumberFormat="1" applyFont="1" applyFill="1" applyBorder="1" applyAlignment="1">
      <alignment horizontal="center" shrinkToFit="1"/>
    </xf>
    <xf numFmtId="0" fontId="7" fillId="0" borderId="2" xfId="0" applyFont="1" applyBorder="1" applyAlignment="1">
      <alignment horizontal="center" wrapText="1"/>
    </xf>
    <xf numFmtId="0" fontId="7" fillId="0" borderId="6" xfId="0" applyFont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1" fillId="0" borderId="2" xfId="0" applyNumberFormat="1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shrinkToFit="1"/>
    </xf>
    <xf numFmtId="0" fontId="1" fillId="2" borderId="4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F13B-D4AE-464C-B286-11E1D5ACF627}">
  <dimension ref="A1:R29"/>
  <sheetViews>
    <sheetView zoomScale="115" zoomScaleNormal="115" workbookViewId="0">
      <selection activeCell="I24" sqref="I24:J26"/>
    </sheetView>
  </sheetViews>
  <sheetFormatPr defaultColWidth="8.85546875" defaultRowHeight="13.9"/>
  <cols>
    <col min="1" max="1" width="3.140625" style="8" bestFit="1" customWidth="1"/>
    <col min="2" max="2" width="11.28515625" style="8" customWidth="1"/>
    <col min="3" max="3" width="12.42578125" style="8" bestFit="1" customWidth="1"/>
    <col min="4" max="4" width="9.42578125" style="6" bestFit="1" customWidth="1"/>
    <col min="5" max="5" width="5.7109375" style="5" bestFit="1" customWidth="1"/>
    <col min="6" max="6" width="6.42578125" style="6" customWidth="1"/>
    <col min="7" max="7" width="9.42578125" style="5" bestFit="1" customWidth="1"/>
    <col min="8" max="8" width="10.42578125" style="5" customWidth="1"/>
    <col min="9" max="14" width="8.85546875" style="5"/>
    <col min="15" max="15" width="10.42578125" style="5" customWidth="1"/>
    <col min="16" max="16384" width="8.85546875" style="5"/>
  </cols>
  <sheetData>
    <row r="1" spans="1:18">
      <c r="G1" s="51" t="s">
        <v>0</v>
      </c>
      <c r="H1" s="52"/>
      <c r="I1" s="52"/>
      <c r="J1" s="52"/>
      <c r="K1" s="52"/>
      <c r="L1" s="52"/>
      <c r="M1" s="52"/>
      <c r="N1" s="52"/>
      <c r="O1" s="52"/>
      <c r="P1" s="52"/>
      <c r="Q1" s="52"/>
      <c r="R1" s="57"/>
    </row>
    <row r="2" spans="1:18">
      <c r="A2" s="23" t="s">
        <v>1</v>
      </c>
      <c r="B2" s="27" t="s">
        <v>2</v>
      </c>
      <c r="C2" s="23" t="s">
        <v>3</v>
      </c>
      <c r="D2" s="23" t="s">
        <v>4</v>
      </c>
      <c r="E2" s="26"/>
      <c r="F2" s="23"/>
      <c r="G2" s="40" t="s">
        <v>5</v>
      </c>
      <c r="H2" s="40" t="s">
        <v>6</v>
      </c>
      <c r="I2" s="40" t="s">
        <v>7</v>
      </c>
      <c r="J2" s="40" t="s">
        <v>8</v>
      </c>
      <c r="K2" s="40" t="s">
        <v>9</v>
      </c>
      <c r="L2" s="40" t="s">
        <v>10</v>
      </c>
      <c r="M2" s="40" t="s">
        <v>11</v>
      </c>
      <c r="N2" s="40" t="s">
        <v>12</v>
      </c>
      <c r="O2" s="40" t="s">
        <v>13</v>
      </c>
      <c r="P2" s="40" t="s">
        <v>14</v>
      </c>
      <c r="Q2" s="40" t="s">
        <v>15</v>
      </c>
      <c r="R2" s="41" t="s">
        <v>16</v>
      </c>
    </row>
    <row r="3" spans="1:18">
      <c r="A3" s="23">
        <v>10</v>
      </c>
      <c r="B3" s="27">
        <v>1223</v>
      </c>
      <c r="C3" s="23">
        <v>130036463</v>
      </c>
      <c r="D3" s="9" t="s">
        <v>17</v>
      </c>
      <c r="E3" s="2" t="s">
        <v>18</v>
      </c>
      <c r="F3" s="9"/>
      <c r="G3" s="4">
        <v>617.61</v>
      </c>
      <c r="H3" s="4">
        <v>617.61</v>
      </c>
      <c r="I3" s="4">
        <v>617.61</v>
      </c>
      <c r="J3" s="4">
        <v>617.61</v>
      </c>
      <c r="K3" s="4"/>
      <c r="L3" s="4"/>
      <c r="M3" s="4"/>
      <c r="N3" s="4"/>
      <c r="O3" s="4"/>
      <c r="P3" s="4"/>
      <c r="Q3" s="4"/>
      <c r="R3" s="4"/>
    </row>
    <row r="4" spans="1:18">
      <c r="A4" s="23">
        <v>7</v>
      </c>
      <c r="B4" s="27">
        <v>1217</v>
      </c>
      <c r="C4" s="24">
        <v>130076353</v>
      </c>
      <c r="D4" s="1" t="s">
        <v>19</v>
      </c>
      <c r="E4" s="2" t="s">
        <v>20</v>
      </c>
      <c r="F4" s="1"/>
      <c r="G4" s="4">
        <v>932.27</v>
      </c>
      <c r="H4" s="4">
        <v>932.27</v>
      </c>
      <c r="I4" s="4">
        <v>932.27</v>
      </c>
      <c r="J4" s="4">
        <v>932.27</v>
      </c>
      <c r="K4" s="4"/>
      <c r="L4" s="4"/>
      <c r="M4" s="4"/>
      <c r="N4" s="4"/>
      <c r="O4" s="4"/>
      <c r="P4" s="4"/>
      <c r="Q4" s="4"/>
      <c r="R4" s="4"/>
    </row>
    <row r="5" spans="1:18">
      <c r="A5" s="23">
        <v>19</v>
      </c>
      <c r="B5" s="27">
        <v>1246</v>
      </c>
      <c r="C5" s="42">
        <v>130082537</v>
      </c>
      <c r="D5" s="1" t="s">
        <v>19</v>
      </c>
      <c r="E5" s="2" t="s">
        <v>20</v>
      </c>
      <c r="F5" s="1"/>
      <c r="G5" s="4">
        <v>932.27</v>
      </c>
      <c r="H5" s="4">
        <v>932.27</v>
      </c>
      <c r="I5" s="4">
        <v>932.27</v>
      </c>
      <c r="J5" s="4">
        <v>932.27</v>
      </c>
      <c r="K5" s="4"/>
      <c r="L5" s="4"/>
      <c r="M5" s="4"/>
      <c r="N5" s="4"/>
      <c r="O5" s="4"/>
      <c r="P5" s="4"/>
      <c r="Q5" s="4"/>
      <c r="R5" s="4"/>
    </row>
    <row r="6" spans="1:18">
      <c r="A6" s="23">
        <v>24</v>
      </c>
      <c r="B6" s="27">
        <v>1269</v>
      </c>
      <c r="C6" s="24">
        <v>130066016</v>
      </c>
      <c r="D6" s="1" t="s">
        <v>19</v>
      </c>
      <c r="E6" s="2" t="s">
        <v>20</v>
      </c>
      <c r="F6" s="1"/>
      <c r="G6" s="4">
        <v>932.27</v>
      </c>
      <c r="H6" s="4">
        <v>932.27</v>
      </c>
      <c r="I6" s="4">
        <v>932.27</v>
      </c>
      <c r="J6" s="4">
        <v>932.27</v>
      </c>
      <c r="K6" s="4"/>
      <c r="L6" s="4"/>
      <c r="M6" s="4"/>
      <c r="N6" s="4"/>
      <c r="O6" s="4"/>
      <c r="P6" s="4"/>
      <c r="Q6" s="4"/>
      <c r="R6" s="4"/>
    </row>
    <row r="7" spans="1:18">
      <c r="A7" s="23">
        <v>15</v>
      </c>
      <c r="B7" s="27">
        <v>1232</v>
      </c>
      <c r="C7" s="8">
        <v>130087675</v>
      </c>
      <c r="D7" s="9" t="s">
        <v>19</v>
      </c>
      <c r="E7" s="2" t="s">
        <v>21</v>
      </c>
      <c r="F7" s="1"/>
      <c r="G7" s="4">
        <v>1041.74</v>
      </c>
      <c r="H7" s="4">
        <v>1041.74</v>
      </c>
      <c r="I7" s="4">
        <v>1041.74</v>
      </c>
      <c r="J7" s="4">
        <v>1041.74</v>
      </c>
      <c r="K7" s="4"/>
      <c r="L7" s="4"/>
      <c r="M7" s="4"/>
      <c r="N7" s="4"/>
      <c r="O7" s="4"/>
      <c r="P7" s="4"/>
      <c r="Q7" s="4"/>
      <c r="R7" s="4"/>
    </row>
    <row r="8" spans="1:18" ht="14.45">
      <c r="A8" s="23">
        <v>25</v>
      </c>
      <c r="B8" s="27">
        <v>1273</v>
      </c>
      <c r="C8" s="24">
        <v>130066020</v>
      </c>
      <c r="D8" s="1" t="s">
        <v>19</v>
      </c>
      <c r="E8" s="2" t="s">
        <v>22</v>
      </c>
      <c r="F8" s="32"/>
      <c r="G8" s="4">
        <v>1041.74</v>
      </c>
      <c r="H8" s="4">
        <v>1041.74</v>
      </c>
      <c r="I8" s="4">
        <v>1041.74</v>
      </c>
      <c r="J8" s="4">
        <v>1041.74</v>
      </c>
      <c r="K8" s="4"/>
      <c r="L8" s="4"/>
      <c r="M8" s="4"/>
      <c r="N8" s="4"/>
      <c r="O8" s="4"/>
      <c r="P8" s="4"/>
      <c r="Q8" s="33"/>
      <c r="R8" s="33"/>
    </row>
    <row r="9" spans="1:18">
      <c r="A9" s="23">
        <v>23</v>
      </c>
      <c r="B9" s="27">
        <v>1255</v>
      </c>
      <c r="C9" s="23">
        <v>130087679</v>
      </c>
      <c r="D9" s="1" t="s">
        <v>19</v>
      </c>
      <c r="E9" s="2" t="s">
        <v>23</v>
      </c>
      <c r="F9" s="25" t="s">
        <v>24</v>
      </c>
      <c r="G9" s="4">
        <v>1041.74</v>
      </c>
      <c r="H9" s="4">
        <v>1041.74</v>
      </c>
      <c r="I9" s="4">
        <v>1041.74</v>
      </c>
      <c r="J9" s="4">
        <v>1041.74</v>
      </c>
      <c r="K9" s="4"/>
      <c r="L9" s="4"/>
      <c r="M9" s="4"/>
      <c r="N9" s="4"/>
      <c r="O9" s="4"/>
      <c r="P9" s="4"/>
      <c r="Q9" s="4"/>
      <c r="R9" s="4"/>
    </row>
    <row r="10" spans="1:18">
      <c r="A10" s="23">
        <v>3</v>
      </c>
      <c r="B10" s="27">
        <v>1212</v>
      </c>
      <c r="C10" s="34">
        <v>130087673</v>
      </c>
      <c r="D10" s="1" t="s">
        <v>19</v>
      </c>
      <c r="E10" s="2" t="s">
        <v>18</v>
      </c>
      <c r="F10" s="9"/>
      <c r="G10" s="4">
        <v>1047.8900000000001</v>
      </c>
      <c r="H10" s="4">
        <v>1047.8900000000001</v>
      </c>
      <c r="I10" s="4">
        <v>1047.8900000000001</v>
      </c>
      <c r="J10" s="4">
        <v>1047.8900000000001</v>
      </c>
      <c r="K10" s="4"/>
      <c r="L10" s="4"/>
      <c r="M10" s="4"/>
      <c r="N10" s="4"/>
      <c r="O10" s="4"/>
      <c r="P10" s="4"/>
      <c r="Q10" s="4"/>
      <c r="R10" s="4"/>
    </row>
    <row r="11" spans="1:18">
      <c r="A11" s="23">
        <v>9</v>
      </c>
      <c r="B11" s="27">
        <v>1221</v>
      </c>
      <c r="C11" s="8">
        <v>130087523</v>
      </c>
      <c r="D11" s="1" t="s">
        <v>19</v>
      </c>
      <c r="E11" s="2" t="s">
        <v>18</v>
      </c>
      <c r="F11" s="1"/>
      <c r="G11" s="4">
        <v>1047.8900000000001</v>
      </c>
      <c r="H11" s="4">
        <v>1047.8900000000001</v>
      </c>
      <c r="I11" s="4">
        <v>1047.8900000000001</v>
      </c>
      <c r="J11" s="4">
        <v>1047.8900000000001</v>
      </c>
      <c r="K11" s="4"/>
      <c r="L11" s="4"/>
      <c r="M11" s="4"/>
      <c r="N11" s="4"/>
      <c r="O11" s="4"/>
      <c r="P11" s="4"/>
      <c r="Q11" s="4"/>
      <c r="R11" s="4"/>
    </row>
    <row r="12" spans="1:18">
      <c r="A12" s="23">
        <v>11</v>
      </c>
      <c r="B12" s="27">
        <v>1228</v>
      </c>
      <c r="C12" s="23">
        <v>130087535</v>
      </c>
      <c r="D12" s="1" t="s">
        <v>19</v>
      </c>
      <c r="E12" s="2" t="s">
        <v>18</v>
      </c>
      <c r="F12" s="25" t="s">
        <v>24</v>
      </c>
      <c r="G12" s="4">
        <v>1047.8900000000001</v>
      </c>
      <c r="H12" s="4">
        <v>1047.8900000000001</v>
      </c>
      <c r="I12" s="4">
        <v>1047.8900000000001</v>
      </c>
      <c r="J12" s="4">
        <v>1047.8900000000001</v>
      </c>
      <c r="K12" s="4"/>
      <c r="L12" s="4"/>
      <c r="M12" s="4"/>
      <c r="N12" s="4"/>
      <c r="O12" s="4"/>
      <c r="P12" s="4"/>
      <c r="Q12" s="4"/>
      <c r="R12" s="4"/>
    </row>
    <row r="13" spans="1:18">
      <c r="A13" s="23">
        <v>12</v>
      </c>
      <c r="B13" s="8">
        <v>1229</v>
      </c>
      <c r="C13" s="23">
        <v>130087532</v>
      </c>
      <c r="D13" s="1" t="s">
        <v>19</v>
      </c>
      <c r="E13" s="2" t="s">
        <v>18</v>
      </c>
      <c r="F13" s="25" t="s">
        <v>24</v>
      </c>
      <c r="G13" s="4">
        <v>1047.8900000000001</v>
      </c>
      <c r="H13" s="4">
        <v>1047.8900000000001</v>
      </c>
      <c r="I13" s="4">
        <v>1047.8900000000001</v>
      </c>
      <c r="J13" s="4">
        <v>1047.8900000000001</v>
      </c>
      <c r="K13" s="4"/>
      <c r="L13" s="4"/>
      <c r="M13" s="4"/>
      <c r="N13" s="4"/>
      <c r="O13" s="4"/>
      <c r="P13" s="4"/>
      <c r="Q13" s="4"/>
      <c r="R13" s="4"/>
    </row>
    <row r="14" spans="1:18">
      <c r="A14" s="23">
        <v>13</v>
      </c>
      <c r="B14" s="27">
        <v>1230</v>
      </c>
      <c r="C14" s="23">
        <v>130087672</v>
      </c>
      <c r="D14" s="1" t="s">
        <v>19</v>
      </c>
      <c r="E14" s="2" t="s">
        <v>18</v>
      </c>
      <c r="F14" s="1"/>
      <c r="G14" s="4">
        <v>1047.8900000000001</v>
      </c>
      <c r="H14" s="4">
        <v>1047.8900000000001</v>
      </c>
      <c r="I14" s="4">
        <v>1047.8900000000001</v>
      </c>
      <c r="J14" s="4">
        <v>1047.8900000000001</v>
      </c>
      <c r="K14" s="4"/>
      <c r="L14" s="4"/>
      <c r="M14" s="4"/>
      <c r="N14" s="4"/>
      <c r="O14" s="4"/>
      <c r="P14" s="4"/>
      <c r="Q14" s="4"/>
      <c r="R14" s="4"/>
    </row>
    <row r="15" spans="1:18">
      <c r="A15" s="23">
        <v>14</v>
      </c>
      <c r="B15" s="27">
        <v>1231</v>
      </c>
      <c r="C15" s="8">
        <v>130087521</v>
      </c>
      <c r="D15" s="1" t="s">
        <v>19</v>
      </c>
      <c r="E15" s="2" t="s">
        <v>18</v>
      </c>
      <c r="F15" s="25" t="s">
        <v>24</v>
      </c>
      <c r="G15" s="4">
        <v>1047.8900000000001</v>
      </c>
      <c r="H15" s="4">
        <v>1047.8900000000001</v>
      </c>
      <c r="I15" s="4">
        <v>1047.8900000000001</v>
      </c>
      <c r="J15" s="4">
        <v>1047.8900000000001</v>
      </c>
      <c r="K15" s="4"/>
      <c r="L15" s="4"/>
      <c r="M15" s="4"/>
      <c r="N15" s="4"/>
      <c r="O15" s="4"/>
      <c r="P15" s="4"/>
      <c r="Q15" s="4"/>
      <c r="R15" s="4"/>
    </row>
    <row r="16" spans="1:18">
      <c r="A16" s="23">
        <v>16</v>
      </c>
      <c r="B16" s="27">
        <v>1233</v>
      </c>
      <c r="C16" s="23">
        <v>130087669</v>
      </c>
      <c r="D16" s="1" t="s">
        <v>19</v>
      </c>
      <c r="E16" s="2" t="s">
        <v>18</v>
      </c>
      <c r="F16" s="43" t="s">
        <v>24</v>
      </c>
      <c r="G16" s="4">
        <v>1047.8900000000001</v>
      </c>
      <c r="H16" s="4">
        <v>1047.8900000000001</v>
      </c>
      <c r="I16" s="4">
        <v>1047.8900000000001</v>
      </c>
      <c r="J16" s="4">
        <v>1047.8900000000001</v>
      </c>
      <c r="K16" s="4"/>
      <c r="L16" s="4"/>
      <c r="M16" s="4"/>
      <c r="N16" s="4"/>
      <c r="O16" s="4"/>
      <c r="P16" s="4"/>
      <c r="Q16" s="4"/>
      <c r="R16" s="4"/>
    </row>
    <row r="17" spans="1:18">
      <c r="A17" s="23">
        <v>17</v>
      </c>
      <c r="B17" s="27">
        <v>1242</v>
      </c>
      <c r="C17" s="34">
        <v>130087526</v>
      </c>
      <c r="D17" s="1" t="s">
        <v>19</v>
      </c>
      <c r="E17" s="2" t="s">
        <v>18</v>
      </c>
      <c r="F17" s="9"/>
      <c r="G17" s="4">
        <v>1047.8900000000001</v>
      </c>
      <c r="H17" s="4">
        <v>1047.8900000000001</v>
      </c>
      <c r="I17" s="4">
        <v>1047.8900000000001</v>
      </c>
      <c r="J17" s="4">
        <v>1047.8900000000001</v>
      </c>
      <c r="K17" s="4"/>
      <c r="L17" s="4"/>
      <c r="M17" s="4"/>
      <c r="N17" s="4"/>
      <c r="O17" s="4"/>
      <c r="P17" s="4"/>
      <c r="Q17" s="4"/>
      <c r="R17" s="4"/>
    </row>
    <row r="18" spans="1:18">
      <c r="A18" s="23">
        <v>18</v>
      </c>
      <c r="B18" s="27">
        <v>1245</v>
      </c>
      <c r="C18" s="23">
        <v>130087678</v>
      </c>
      <c r="D18" s="1" t="s">
        <v>19</v>
      </c>
      <c r="E18" s="2" t="s">
        <v>18</v>
      </c>
      <c r="F18" s="1"/>
      <c r="G18" s="4">
        <v>1047.8900000000001</v>
      </c>
      <c r="H18" s="4">
        <v>1047.8900000000001</v>
      </c>
      <c r="I18" s="4">
        <v>1047.8900000000001</v>
      </c>
      <c r="J18" s="4">
        <v>1047.8900000000001</v>
      </c>
      <c r="K18" s="4"/>
      <c r="L18" s="4"/>
      <c r="M18" s="4"/>
      <c r="N18" s="4"/>
      <c r="O18" s="4"/>
      <c r="P18" s="4"/>
      <c r="Q18" s="4"/>
      <c r="R18" s="4"/>
    </row>
    <row r="19" spans="1:18">
      <c r="A19" s="23">
        <v>21</v>
      </c>
      <c r="B19" s="23">
        <v>1252</v>
      </c>
      <c r="C19" s="23">
        <v>130087675</v>
      </c>
      <c r="D19" s="9" t="s">
        <v>19</v>
      </c>
      <c r="E19" s="2" t="s">
        <v>25</v>
      </c>
      <c r="F19" s="9"/>
      <c r="G19" s="4">
        <f>2136.33/2</f>
        <v>1068.165</v>
      </c>
      <c r="H19" s="4">
        <f>2136.33/2</f>
        <v>1068.165</v>
      </c>
      <c r="I19" s="4">
        <f t="shared" ref="I19:J20" si="0">2136.33/2</f>
        <v>1068.165</v>
      </c>
      <c r="J19" s="4">
        <f t="shared" si="0"/>
        <v>1068.165</v>
      </c>
      <c r="K19" s="4"/>
      <c r="L19" s="4"/>
      <c r="M19" s="4"/>
      <c r="N19" s="4"/>
      <c r="O19" s="4"/>
      <c r="P19" s="4"/>
      <c r="Q19" s="4"/>
      <c r="R19" s="4"/>
    </row>
    <row r="20" spans="1:18">
      <c r="A20" s="23">
        <v>22</v>
      </c>
      <c r="B20" s="23">
        <v>1253</v>
      </c>
      <c r="C20" s="23">
        <v>130087529</v>
      </c>
      <c r="D20" s="9" t="s">
        <v>19</v>
      </c>
      <c r="E20" s="2" t="s">
        <v>25</v>
      </c>
      <c r="F20" s="25" t="s">
        <v>24</v>
      </c>
      <c r="G20" s="4">
        <f>2136.33/2</f>
        <v>1068.165</v>
      </c>
      <c r="H20" s="4">
        <f>2136.33/2</f>
        <v>1068.165</v>
      </c>
      <c r="I20" s="4">
        <f t="shared" si="0"/>
        <v>1068.165</v>
      </c>
      <c r="J20" s="4">
        <f t="shared" si="0"/>
        <v>1068.165</v>
      </c>
      <c r="K20" s="4"/>
      <c r="L20" s="4"/>
      <c r="M20" s="4"/>
      <c r="N20" s="4"/>
      <c r="O20" s="4"/>
      <c r="P20" s="4"/>
      <c r="Q20" s="4"/>
      <c r="R20" s="4"/>
    </row>
    <row r="21" spans="1:18">
      <c r="A21" s="23">
        <v>1</v>
      </c>
      <c r="B21" s="23">
        <v>1205</v>
      </c>
      <c r="C21" s="23">
        <v>130087531</v>
      </c>
      <c r="D21" s="9" t="s">
        <v>19</v>
      </c>
      <c r="E21" s="2" t="s">
        <v>25</v>
      </c>
      <c r="F21" s="9"/>
      <c r="G21" s="4">
        <f>2143.25/2</f>
        <v>1071.625</v>
      </c>
      <c r="H21" s="4">
        <f>2143.25/2</f>
        <v>1071.625</v>
      </c>
      <c r="I21" s="4">
        <f t="shared" ref="I21:J22" si="1">2143.25/2</f>
        <v>1071.625</v>
      </c>
      <c r="J21" s="4">
        <f t="shared" si="1"/>
        <v>1071.625</v>
      </c>
      <c r="K21" s="4"/>
      <c r="L21" s="4"/>
      <c r="M21" s="4"/>
      <c r="N21" s="4"/>
      <c r="O21" s="4"/>
      <c r="P21" s="4"/>
      <c r="Q21" s="4"/>
      <c r="R21" s="4"/>
    </row>
    <row r="22" spans="1:18">
      <c r="A22" s="23">
        <v>5</v>
      </c>
      <c r="B22" s="23">
        <v>1215</v>
      </c>
      <c r="C22" s="23">
        <v>130087677</v>
      </c>
      <c r="D22" s="9" t="s">
        <v>19</v>
      </c>
      <c r="E22" s="2" t="s">
        <v>25</v>
      </c>
      <c r="F22" s="23"/>
      <c r="G22" s="4">
        <f>2143.25/2</f>
        <v>1071.625</v>
      </c>
      <c r="H22" s="4">
        <f>2143.25/2</f>
        <v>1071.625</v>
      </c>
      <c r="I22" s="4">
        <f t="shared" si="1"/>
        <v>1071.625</v>
      </c>
      <c r="J22" s="4">
        <f t="shared" si="1"/>
        <v>1071.625</v>
      </c>
      <c r="K22" s="26"/>
      <c r="L22" s="26"/>
      <c r="M22" s="26"/>
      <c r="N22" s="26"/>
      <c r="O22" s="26"/>
      <c r="P22" s="26"/>
      <c r="Q22" s="26"/>
      <c r="R22" s="26"/>
    </row>
    <row r="23" spans="1:18">
      <c r="A23" s="23">
        <v>4</v>
      </c>
      <c r="B23" s="23">
        <v>1213</v>
      </c>
      <c r="C23" s="24">
        <v>130087520</v>
      </c>
      <c r="D23" s="9" t="s">
        <v>19</v>
      </c>
      <c r="E23" s="2" t="s">
        <v>26</v>
      </c>
      <c r="F23" s="9"/>
      <c r="G23" s="4">
        <v>1093.3699999999999</v>
      </c>
      <c r="H23" s="4">
        <v>1093.3699999999999</v>
      </c>
      <c r="I23" s="4">
        <v>1093.3699999999999</v>
      </c>
      <c r="J23" s="4">
        <v>1093.3699999999999</v>
      </c>
      <c r="K23" s="4"/>
      <c r="L23" s="4"/>
      <c r="M23" s="4"/>
      <c r="N23" s="4"/>
      <c r="O23" s="4"/>
      <c r="P23" s="4"/>
      <c r="Q23" s="4"/>
      <c r="R23" s="4"/>
    </row>
    <row r="24" spans="1:18">
      <c r="A24" s="23">
        <v>2</v>
      </c>
      <c r="B24" s="23">
        <v>1211</v>
      </c>
      <c r="C24" s="23">
        <v>130076362</v>
      </c>
      <c r="D24" s="9" t="s">
        <v>19</v>
      </c>
      <c r="E24" s="2" t="s">
        <v>27</v>
      </c>
      <c r="F24" s="9"/>
      <c r="G24" s="4">
        <v>1096.25</v>
      </c>
      <c r="H24" s="4">
        <v>1096.25</v>
      </c>
      <c r="I24" s="4">
        <v>1096.25</v>
      </c>
      <c r="J24" s="4">
        <v>1096.25</v>
      </c>
      <c r="K24" s="26"/>
      <c r="L24" s="26"/>
      <c r="M24" s="26"/>
      <c r="N24" s="26"/>
      <c r="O24" s="26"/>
      <c r="P24" s="26"/>
      <c r="Q24" s="26"/>
      <c r="R24" s="26"/>
    </row>
    <row r="25" spans="1:18">
      <c r="A25" s="23">
        <v>6</v>
      </c>
      <c r="B25" s="23">
        <v>1216</v>
      </c>
      <c r="C25" s="23">
        <v>130087676</v>
      </c>
      <c r="D25" s="9" t="s">
        <v>19</v>
      </c>
      <c r="E25" s="2" t="s">
        <v>27</v>
      </c>
      <c r="F25" s="25" t="s">
        <v>24</v>
      </c>
      <c r="G25" s="4">
        <v>1096.25</v>
      </c>
      <c r="H25" s="4">
        <v>1096.25</v>
      </c>
      <c r="I25" s="4">
        <v>1096.25</v>
      </c>
      <c r="J25" s="4">
        <v>1096.25</v>
      </c>
      <c r="K25" s="4"/>
      <c r="L25" s="4"/>
      <c r="M25" s="4"/>
      <c r="N25" s="4"/>
      <c r="O25" s="4"/>
      <c r="P25" s="4"/>
      <c r="Q25" s="4"/>
      <c r="R25" s="4"/>
    </row>
    <row r="26" spans="1:18" ht="13.9" customHeight="1">
      <c r="A26" s="23">
        <v>20</v>
      </c>
      <c r="B26" s="23">
        <v>1251</v>
      </c>
      <c r="C26" s="23">
        <v>130066021</v>
      </c>
      <c r="D26" s="9" t="s">
        <v>19</v>
      </c>
      <c r="E26" s="2" t="s">
        <v>27</v>
      </c>
      <c r="F26" s="25" t="s">
        <v>24</v>
      </c>
      <c r="G26" s="4">
        <v>1096.25</v>
      </c>
      <c r="H26" s="4">
        <v>1096.25</v>
      </c>
      <c r="I26" s="4">
        <v>1096.25</v>
      </c>
      <c r="J26" s="4">
        <v>1096.25</v>
      </c>
      <c r="K26" s="4"/>
      <c r="L26" s="4"/>
      <c r="M26" s="4"/>
      <c r="N26" s="4"/>
      <c r="O26" s="4"/>
      <c r="P26" s="4"/>
      <c r="Q26" s="4"/>
      <c r="R26" s="4"/>
    </row>
    <row r="27" spans="1:18" customFormat="1" ht="14.45">
      <c r="A27" s="8"/>
      <c r="B27" s="8"/>
      <c r="C27" s="8"/>
      <c r="D27" s="35"/>
      <c r="E27" s="36"/>
      <c r="F27" s="35"/>
      <c r="G27" s="37">
        <f t="shared" ref="G27:R27" si="2">SUM(G3:G26)</f>
        <v>24632.349999999995</v>
      </c>
      <c r="H27" s="37">
        <f t="shared" si="2"/>
        <v>24632.349999999995</v>
      </c>
      <c r="I27" s="37">
        <f t="shared" si="2"/>
        <v>24632.349999999995</v>
      </c>
      <c r="J27" s="37">
        <f t="shared" si="2"/>
        <v>24632.349999999995</v>
      </c>
      <c r="K27" s="37">
        <f t="shared" si="2"/>
        <v>0</v>
      </c>
      <c r="L27" s="37">
        <f t="shared" si="2"/>
        <v>0</v>
      </c>
      <c r="M27" s="37">
        <f t="shared" si="2"/>
        <v>0</v>
      </c>
      <c r="N27" s="37">
        <f t="shared" si="2"/>
        <v>0</v>
      </c>
      <c r="O27" s="37">
        <f t="shared" si="2"/>
        <v>0</v>
      </c>
      <c r="P27" s="37">
        <f t="shared" si="2"/>
        <v>0</v>
      </c>
      <c r="Q27" s="37">
        <f t="shared" si="2"/>
        <v>0</v>
      </c>
      <c r="R27" s="37">
        <f t="shared" si="2"/>
        <v>0</v>
      </c>
    </row>
    <row r="28" spans="1:18" ht="14.45">
      <c r="B28"/>
    </row>
    <row r="29" spans="1:18" ht="14.45">
      <c r="B29"/>
    </row>
  </sheetData>
  <autoFilter ref="A2:R2" xr:uid="{1079F13B-D4AE-464C-B286-11E1D5ACF627}">
    <sortState xmlns:xlrd2="http://schemas.microsoft.com/office/spreadsheetml/2017/richdata2" ref="A3:R27">
      <sortCondition ref="G2"/>
    </sortState>
  </autoFilter>
  <mergeCells count="1">
    <mergeCell ref="G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BDEAE-E67D-4606-BE2F-DBD37344F7AC}">
  <dimension ref="A1:Q48"/>
  <sheetViews>
    <sheetView tabSelected="1" workbookViewId="0">
      <selection activeCell="L22" sqref="L22"/>
    </sheetView>
  </sheetViews>
  <sheetFormatPr defaultColWidth="8.85546875" defaultRowHeight="11.45"/>
  <cols>
    <col min="1" max="1" width="8.85546875" style="8"/>
    <col min="2" max="2" width="11" style="8" customWidth="1"/>
    <col min="3" max="3" width="18.28515625" style="8" customWidth="1"/>
    <col min="4" max="4" width="8.85546875" style="7"/>
    <col min="5" max="5" width="30.42578125" style="7" hidden="1" customWidth="1"/>
    <col min="6" max="6" width="10.5703125" style="8" bestFit="1" customWidth="1"/>
    <col min="7" max="7" width="12.28515625" style="8" bestFit="1" customWidth="1"/>
    <col min="8" max="8" width="12.5703125" style="8" customWidth="1"/>
    <col min="9" max="9" width="10.5703125" style="8" bestFit="1" customWidth="1"/>
    <col min="10" max="10" width="8.85546875" style="8"/>
    <col min="11" max="15" width="10.5703125" style="8" bestFit="1" customWidth="1"/>
    <col min="16" max="17" width="8.85546875" style="8"/>
    <col min="18" max="16384" width="8.85546875" style="7"/>
  </cols>
  <sheetData>
    <row r="1" spans="1:17" ht="12">
      <c r="A1" s="47" t="s">
        <v>28</v>
      </c>
      <c r="B1" s="49" t="s">
        <v>29</v>
      </c>
      <c r="C1" s="50"/>
      <c r="D1" s="50"/>
      <c r="E1" s="50"/>
      <c r="F1" s="51" t="s">
        <v>0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12">
      <c r="A2" s="48"/>
      <c r="B2" s="8" t="s">
        <v>2</v>
      </c>
      <c r="C2" s="8" t="s">
        <v>3</v>
      </c>
      <c r="D2" s="2" t="s">
        <v>30</v>
      </c>
      <c r="E2" s="28" t="s">
        <v>31</v>
      </c>
      <c r="F2" s="40" t="s">
        <v>5</v>
      </c>
      <c r="G2" s="40" t="s">
        <v>6</v>
      </c>
      <c r="H2" s="40" t="s">
        <v>7</v>
      </c>
      <c r="I2" s="40" t="s">
        <v>8</v>
      </c>
      <c r="J2" s="40" t="s">
        <v>9</v>
      </c>
      <c r="K2" s="40" t="s">
        <v>10</v>
      </c>
      <c r="L2" s="40" t="s">
        <v>11</v>
      </c>
      <c r="M2" s="40" t="s">
        <v>12</v>
      </c>
      <c r="N2" s="40" t="s">
        <v>13</v>
      </c>
      <c r="O2" s="40" t="s">
        <v>14</v>
      </c>
      <c r="P2" s="40" t="s">
        <v>15</v>
      </c>
      <c r="Q2" s="41" t="s">
        <v>16</v>
      </c>
    </row>
    <row r="3" spans="1:17">
      <c r="A3" s="9"/>
      <c r="B3" s="53" t="s">
        <v>32</v>
      </c>
      <c r="C3" s="54"/>
      <c r="D3" s="54"/>
      <c r="E3" s="54"/>
      <c r="F3" s="10"/>
      <c r="G3" s="10"/>
      <c r="H3" s="10"/>
      <c r="I3" s="10"/>
      <c r="J3" s="10"/>
      <c r="K3" s="9"/>
      <c r="L3" s="2"/>
      <c r="M3" s="2"/>
      <c r="N3" s="2"/>
      <c r="O3" s="2"/>
      <c r="P3" s="2"/>
      <c r="Q3" s="11"/>
    </row>
    <row r="4" spans="1:17">
      <c r="A4" s="55"/>
      <c r="B4" s="56"/>
      <c r="C4" s="56"/>
      <c r="D4" s="56"/>
      <c r="E4" s="56"/>
      <c r="F4" s="12"/>
      <c r="G4" s="12"/>
      <c r="H4" s="12"/>
      <c r="I4" s="12"/>
      <c r="J4" s="12"/>
      <c r="K4" s="12"/>
      <c r="L4" s="13"/>
      <c r="M4" s="13"/>
      <c r="N4" s="13"/>
      <c r="O4" s="13"/>
      <c r="P4" s="13"/>
      <c r="Q4" s="14"/>
    </row>
    <row r="5" spans="1:17">
      <c r="A5" s="9">
        <v>1</v>
      </c>
      <c r="B5" s="9">
        <v>1101</v>
      </c>
      <c r="C5" s="1">
        <v>1101</v>
      </c>
      <c r="D5" s="1" t="s">
        <v>33</v>
      </c>
      <c r="E5" s="3" t="s">
        <v>34</v>
      </c>
      <c r="F5" s="18">
        <v>862.79</v>
      </c>
      <c r="G5" s="18">
        <v>862.79</v>
      </c>
      <c r="H5" s="44">
        <v>862.79</v>
      </c>
      <c r="I5" s="44">
        <v>862.79</v>
      </c>
      <c r="J5" s="18"/>
      <c r="K5" s="18"/>
      <c r="L5" s="18"/>
      <c r="M5" s="18"/>
      <c r="N5" s="18"/>
      <c r="O5" s="18"/>
      <c r="Q5" s="18"/>
    </row>
    <row r="6" spans="1:17">
      <c r="A6" s="9">
        <v>2</v>
      </c>
      <c r="B6" s="9">
        <v>1102</v>
      </c>
      <c r="C6" s="9">
        <v>1102</v>
      </c>
      <c r="D6" s="1" t="s">
        <v>33</v>
      </c>
      <c r="E6" s="3" t="s">
        <v>35</v>
      </c>
      <c r="F6" s="18">
        <v>862.79</v>
      </c>
      <c r="G6" s="18">
        <v>862.79</v>
      </c>
      <c r="H6" s="44">
        <v>862.79</v>
      </c>
      <c r="I6" s="44">
        <v>862.79</v>
      </c>
      <c r="J6" s="18"/>
      <c r="K6" s="18"/>
      <c r="L6" s="18"/>
      <c r="M6" s="18"/>
      <c r="N6" s="18"/>
      <c r="O6" s="18"/>
      <c r="Q6" s="18"/>
    </row>
    <row r="7" spans="1:17">
      <c r="A7" s="9">
        <v>3</v>
      </c>
      <c r="B7" s="9">
        <v>1103</v>
      </c>
      <c r="C7" s="9">
        <v>1103</v>
      </c>
      <c r="D7" s="1" t="s">
        <v>33</v>
      </c>
      <c r="E7" s="3" t="s">
        <v>36</v>
      </c>
      <c r="F7" s="18">
        <v>862.79</v>
      </c>
      <c r="G7" s="18">
        <v>862.79</v>
      </c>
      <c r="H7" s="44">
        <v>862.79</v>
      </c>
      <c r="I7" s="44">
        <v>862.79</v>
      </c>
      <c r="J7" s="18"/>
      <c r="K7" s="18"/>
      <c r="L7" s="18"/>
      <c r="M7" s="18"/>
      <c r="N7" s="18"/>
      <c r="O7" s="18"/>
      <c r="Q7" s="18"/>
    </row>
    <row r="8" spans="1:17">
      <c r="A8" s="9">
        <v>4</v>
      </c>
      <c r="B8" s="9">
        <v>1104</v>
      </c>
      <c r="C8" s="9">
        <v>1104</v>
      </c>
      <c r="D8" s="1" t="s">
        <v>33</v>
      </c>
      <c r="E8" s="3" t="s">
        <v>37</v>
      </c>
      <c r="F8" s="18">
        <v>862.79</v>
      </c>
      <c r="G8" s="18">
        <v>862.79</v>
      </c>
      <c r="H8" s="44">
        <v>862.79</v>
      </c>
      <c r="I8" s="44">
        <v>862.79</v>
      </c>
      <c r="J8" s="18"/>
      <c r="K8" s="18"/>
      <c r="L8" s="18"/>
      <c r="M8" s="18"/>
      <c r="N8" s="18"/>
      <c r="O8" s="18"/>
      <c r="Q8" s="18"/>
    </row>
    <row r="9" spans="1:17">
      <c r="A9" s="9">
        <v>5</v>
      </c>
      <c r="B9" s="9">
        <v>1105</v>
      </c>
      <c r="C9" s="9">
        <v>1105</v>
      </c>
      <c r="D9" s="1" t="s">
        <v>33</v>
      </c>
      <c r="E9" s="3" t="s">
        <v>38</v>
      </c>
      <c r="F9" s="18">
        <v>862.79</v>
      </c>
      <c r="G9" s="18">
        <v>862.79</v>
      </c>
      <c r="H9" s="44">
        <v>862.79</v>
      </c>
      <c r="I9" s="44">
        <v>862.79</v>
      </c>
      <c r="J9" s="18"/>
      <c r="K9" s="18"/>
      <c r="L9" s="18"/>
      <c r="M9" s="18"/>
      <c r="N9" s="18"/>
      <c r="O9" s="18"/>
      <c r="Q9" s="18"/>
    </row>
    <row r="10" spans="1:17">
      <c r="A10" s="9">
        <v>6</v>
      </c>
      <c r="B10" s="9">
        <v>1106</v>
      </c>
      <c r="C10" s="9">
        <v>1106</v>
      </c>
      <c r="D10" s="1" t="s">
        <v>33</v>
      </c>
      <c r="E10" s="3" t="s">
        <v>39</v>
      </c>
      <c r="F10" s="18">
        <v>862.79</v>
      </c>
      <c r="G10" s="18">
        <v>862.79</v>
      </c>
      <c r="H10" s="44">
        <v>862.79</v>
      </c>
      <c r="I10" s="44">
        <v>862.79</v>
      </c>
      <c r="J10" s="18"/>
      <c r="K10" s="18"/>
      <c r="L10" s="18"/>
      <c r="M10" s="18"/>
      <c r="N10" s="18"/>
      <c r="O10" s="18"/>
      <c r="Q10" s="18"/>
    </row>
    <row r="11" spans="1:17">
      <c r="A11" s="9">
        <v>7</v>
      </c>
      <c r="B11" s="9">
        <v>1107</v>
      </c>
      <c r="C11" s="9">
        <v>1107</v>
      </c>
      <c r="D11" s="1" t="s">
        <v>33</v>
      </c>
      <c r="E11" s="3" t="s">
        <v>40</v>
      </c>
      <c r="F11" s="18">
        <v>862.79</v>
      </c>
      <c r="G11" s="18">
        <v>862.79</v>
      </c>
      <c r="H11" s="44">
        <v>862.79</v>
      </c>
      <c r="I11" s="44">
        <v>862.79</v>
      </c>
      <c r="J11" s="18"/>
      <c r="K11" s="18"/>
      <c r="L11" s="18"/>
      <c r="M11" s="18"/>
      <c r="N11" s="18"/>
      <c r="O11" s="18"/>
      <c r="Q11" s="18"/>
    </row>
    <row r="12" spans="1:17">
      <c r="A12" s="9">
        <v>8</v>
      </c>
      <c r="B12" s="9">
        <v>1108</v>
      </c>
      <c r="C12" s="9">
        <v>1108</v>
      </c>
      <c r="D12" s="1" t="s">
        <v>33</v>
      </c>
      <c r="E12" s="3" t="s">
        <v>41</v>
      </c>
      <c r="F12" s="18">
        <v>862.79</v>
      </c>
      <c r="G12" s="18">
        <v>862.79</v>
      </c>
      <c r="H12" s="44">
        <v>862.79</v>
      </c>
      <c r="I12" s="44">
        <v>862.79</v>
      </c>
      <c r="J12" s="18"/>
      <c r="K12" s="18"/>
      <c r="L12" s="18"/>
      <c r="M12" s="18"/>
      <c r="N12" s="18"/>
      <c r="O12" s="18"/>
      <c r="Q12" s="18"/>
    </row>
    <row r="13" spans="1:17">
      <c r="A13" s="9">
        <v>9</v>
      </c>
      <c r="B13" s="9">
        <v>1109</v>
      </c>
      <c r="C13" s="9">
        <v>1109</v>
      </c>
      <c r="D13" s="1" t="s">
        <v>33</v>
      </c>
      <c r="E13" s="3" t="s">
        <v>42</v>
      </c>
      <c r="F13" s="18">
        <v>862.79</v>
      </c>
      <c r="G13" s="18">
        <v>862.79</v>
      </c>
      <c r="H13" s="44">
        <v>862.79</v>
      </c>
      <c r="I13" s="44">
        <v>862.79</v>
      </c>
      <c r="J13" s="18"/>
      <c r="K13" s="18"/>
      <c r="L13" s="18"/>
      <c r="M13" s="18"/>
      <c r="N13" s="18"/>
      <c r="O13" s="18"/>
      <c r="Q13" s="18"/>
    </row>
    <row r="14" spans="1:17">
      <c r="A14" s="9">
        <v>10</v>
      </c>
      <c r="B14" s="9">
        <v>1110</v>
      </c>
      <c r="C14" s="9">
        <v>1110</v>
      </c>
      <c r="D14" s="1" t="s">
        <v>33</v>
      </c>
      <c r="E14" s="3" t="s">
        <v>43</v>
      </c>
      <c r="F14" s="18">
        <v>862.8</v>
      </c>
      <c r="G14" s="18">
        <v>862.8</v>
      </c>
      <c r="H14" s="18">
        <v>862.8</v>
      </c>
      <c r="I14" s="18">
        <v>862.8</v>
      </c>
      <c r="J14" s="18"/>
      <c r="K14" s="18"/>
      <c r="L14" s="18"/>
      <c r="M14" s="18"/>
      <c r="N14" s="18"/>
      <c r="O14" s="18"/>
      <c r="Q14" s="18"/>
    </row>
    <row r="15" spans="1:17">
      <c r="A15" s="9">
        <v>11</v>
      </c>
      <c r="B15" s="9">
        <v>1111</v>
      </c>
      <c r="C15" s="1" t="s">
        <v>44</v>
      </c>
      <c r="D15" s="1" t="s">
        <v>45</v>
      </c>
      <c r="E15" s="3" t="s">
        <v>46</v>
      </c>
      <c r="F15" s="18">
        <v>767.95</v>
      </c>
      <c r="G15" s="18">
        <v>767.95</v>
      </c>
      <c r="H15" s="18">
        <v>767.95</v>
      </c>
      <c r="I15" s="18">
        <v>767.95</v>
      </c>
      <c r="J15" s="18"/>
      <c r="K15" s="18"/>
      <c r="L15" s="18"/>
      <c r="M15" s="18"/>
      <c r="N15" s="18"/>
      <c r="O15" s="18"/>
      <c r="Q15" s="18"/>
    </row>
    <row r="16" spans="1:17">
      <c r="A16" s="9">
        <v>12</v>
      </c>
      <c r="B16" s="9">
        <v>1112</v>
      </c>
      <c r="C16" s="1" t="s">
        <v>47</v>
      </c>
      <c r="D16" s="1" t="s">
        <v>45</v>
      </c>
      <c r="E16" s="3" t="s">
        <v>48</v>
      </c>
      <c r="F16" s="18">
        <v>789.5</v>
      </c>
      <c r="G16" s="18">
        <v>789.5</v>
      </c>
      <c r="H16" s="18">
        <v>789.5</v>
      </c>
      <c r="I16" s="18">
        <v>789.5</v>
      </c>
      <c r="J16" s="18"/>
      <c r="K16" s="18"/>
      <c r="L16" s="18"/>
      <c r="M16" s="18"/>
      <c r="N16" s="18"/>
      <c r="O16" s="18"/>
      <c r="Q16" s="18"/>
    </row>
    <row r="17" spans="1:17">
      <c r="A17" s="9">
        <v>13</v>
      </c>
      <c r="B17" s="9">
        <v>1113</v>
      </c>
      <c r="C17" s="1"/>
      <c r="D17" s="1" t="s">
        <v>45</v>
      </c>
      <c r="E17" s="3" t="s">
        <v>49</v>
      </c>
      <c r="F17" s="18">
        <v>789.5</v>
      </c>
      <c r="G17" s="18">
        <v>789.5</v>
      </c>
      <c r="H17" s="18">
        <v>789.5</v>
      </c>
      <c r="I17" s="18">
        <v>789.5</v>
      </c>
      <c r="J17" s="18"/>
      <c r="K17" s="18"/>
      <c r="L17" s="18"/>
      <c r="M17" s="18"/>
      <c r="N17" s="18"/>
      <c r="O17" s="18"/>
      <c r="Q17" s="18"/>
    </row>
    <row r="18" spans="1:17">
      <c r="A18" s="9">
        <v>14</v>
      </c>
      <c r="B18" s="9">
        <v>1114</v>
      </c>
      <c r="C18" s="1"/>
      <c r="D18" s="1" t="s">
        <v>45</v>
      </c>
      <c r="E18" s="3" t="s">
        <v>50</v>
      </c>
      <c r="F18" s="18">
        <v>789.5</v>
      </c>
      <c r="G18" s="18">
        <v>789.5</v>
      </c>
      <c r="H18" s="18">
        <v>789.5</v>
      </c>
      <c r="I18" s="18">
        <v>789.5</v>
      </c>
      <c r="J18" s="18"/>
      <c r="K18" s="18"/>
      <c r="L18" s="18"/>
      <c r="M18" s="18"/>
      <c r="N18" s="18"/>
      <c r="O18" s="18"/>
      <c r="Q18" s="18"/>
    </row>
    <row r="19" spans="1:17">
      <c r="A19" s="9">
        <v>15</v>
      </c>
      <c r="B19" s="9">
        <v>1115</v>
      </c>
      <c r="C19" s="1"/>
      <c r="D19" s="1" t="s">
        <v>51</v>
      </c>
      <c r="E19" s="3" t="s">
        <v>34</v>
      </c>
      <c r="F19" s="18">
        <v>789.5</v>
      </c>
      <c r="G19" s="18">
        <v>789.5</v>
      </c>
      <c r="H19" s="18">
        <v>789.5</v>
      </c>
      <c r="I19" s="18">
        <v>789.5</v>
      </c>
      <c r="J19" s="18"/>
      <c r="K19" s="18"/>
      <c r="L19" s="18"/>
      <c r="M19" s="18"/>
      <c r="N19" s="18"/>
      <c r="O19" s="18"/>
      <c r="Q19" s="18"/>
    </row>
    <row r="20" spans="1:17">
      <c r="A20" s="9">
        <v>16</v>
      </c>
      <c r="B20" s="9">
        <v>1116</v>
      </c>
      <c r="C20" s="23" t="s">
        <v>52</v>
      </c>
      <c r="D20" s="1" t="s">
        <v>51</v>
      </c>
      <c r="E20" s="3" t="s">
        <v>53</v>
      </c>
      <c r="F20" s="18">
        <v>789.5</v>
      </c>
      <c r="G20" s="18">
        <v>789.5</v>
      </c>
      <c r="H20" s="18">
        <v>789.5</v>
      </c>
      <c r="I20" s="18">
        <v>789.5</v>
      </c>
      <c r="J20" s="18"/>
      <c r="K20" s="18"/>
      <c r="L20" s="18"/>
      <c r="M20" s="18"/>
      <c r="N20" s="18"/>
      <c r="O20" s="18"/>
      <c r="Q20" s="18"/>
    </row>
    <row r="21" spans="1:17">
      <c r="A21" s="9">
        <v>17</v>
      </c>
      <c r="B21" s="9">
        <v>1117</v>
      </c>
      <c r="C21" s="1"/>
      <c r="D21" s="1" t="s">
        <v>51</v>
      </c>
      <c r="E21" s="3" t="s">
        <v>54</v>
      </c>
      <c r="F21" s="18">
        <v>789.5</v>
      </c>
      <c r="G21" s="18">
        <v>789.5</v>
      </c>
      <c r="H21" s="18">
        <v>789.5</v>
      </c>
      <c r="I21" s="18">
        <v>789.5</v>
      </c>
      <c r="J21" s="18"/>
      <c r="K21" s="18"/>
      <c r="L21" s="18"/>
      <c r="M21" s="18"/>
      <c r="N21" s="18"/>
      <c r="O21" s="18"/>
      <c r="Q21" s="18"/>
    </row>
    <row r="22" spans="1:17">
      <c r="A22" s="9">
        <v>18</v>
      </c>
      <c r="B22" s="9">
        <v>1122</v>
      </c>
      <c r="C22" s="1" t="s">
        <v>55</v>
      </c>
      <c r="D22" s="1" t="s">
        <v>56</v>
      </c>
      <c r="E22" s="3" t="s">
        <v>57</v>
      </c>
      <c r="F22" s="18">
        <v>789.5</v>
      </c>
      <c r="G22" s="18">
        <v>789.5</v>
      </c>
      <c r="H22" s="18">
        <v>789.5</v>
      </c>
      <c r="I22" s="18">
        <v>789.5</v>
      </c>
      <c r="J22" s="18"/>
      <c r="K22" s="18"/>
      <c r="L22" s="18"/>
      <c r="M22" s="18"/>
      <c r="N22" s="18"/>
      <c r="O22" s="18"/>
      <c r="Q22" s="18"/>
    </row>
    <row r="23" spans="1:17">
      <c r="A23" s="9">
        <v>19</v>
      </c>
      <c r="B23" s="9">
        <v>1123</v>
      </c>
      <c r="C23" s="1" t="s">
        <v>58</v>
      </c>
      <c r="D23" s="1" t="s">
        <v>56</v>
      </c>
      <c r="E23" s="3"/>
      <c r="F23" s="18">
        <v>789.5</v>
      </c>
      <c r="G23" s="18">
        <v>789.5</v>
      </c>
      <c r="H23" s="18">
        <v>789.5</v>
      </c>
      <c r="I23" s="18">
        <v>789.5</v>
      </c>
      <c r="J23" s="18"/>
      <c r="K23" s="18"/>
      <c r="L23" s="18"/>
      <c r="M23" s="18"/>
      <c r="N23" s="18"/>
      <c r="O23" s="18"/>
      <c r="Q23" s="18"/>
    </row>
    <row r="24" spans="1:17">
      <c r="A24" s="9">
        <v>20</v>
      </c>
      <c r="B24" s="9">
        <v>1124</v>
      </c>
      <c r="D24" s="1" t="s">
        <v>56</v>
      </c>
      <c r="E24" s="3" t="s">
        <v>59</v>
      </c>
      <c r="F24" s="18">
        <v>789.5</v>
      </c>
      <c r="G24" s="18">
        <v>789.5</v>
      </c>
      <c r="H24" s="18">
        <v>789.5</v>
      </c>
      <c r="I24" s="18">
        <v>789.5</v>
      </c>
      <c r="J24" s="18"/>
      <c r="K24" s="18"/>
      <c r="L24" s="18"/>
      <c r="M24" s="18"/>
      <c r="N24" s="18"/>
      <c r="O24" s="18"/>
      <c r="Q24" s="18"/>
    </row>
    <row r="25" spans="1:17">
      <c r="A25" s="9">
        <v>21</v>
      </c>
      <c r="B25" s="9">
        <v>1118</v>
      </c>
      <c r="C25" s="1" t="s">
        <v>60</v>
      </c>
      <c r="D25" s="1" t="s">
        <v>61</v>
      </c>
      <c r="E25" s="29" t="s">
        <v>62</v>
      </c>
      <c r="F25" s="18">
        <v>789.5</v>
      </c>
      <c r="G25" s="18">
        <v>789.5</v>
      </c>
      <c r="H25" s="18">
        <v>789.5</v>
      </c>
      <c r="I25" s="18">
        <v>789.5</v>
      </c>
      <c r="J25" s="18"/>
      <c r="K25" s="18"/>
      <c r="L25" s="18"/>
      <c r="M25" s="18"/>
      <c r="N25" s="18"/>
      <c r="O25" s="18"/>
      <c r="Q25" s="18"/>
    </row>
    <row r="26" spans="1:17">
      <c r="A26" s="9">
        <v>22</v>
      </c>
      <c r="B26" s="9">
        <v>1119</v>
      </c>
      <c r="D26" s="9" t="s">
        <v>61</v>
      </c>
      <c r="E26" s="3" t="s">
        <v>63</v>
      </c>
      <c r="F26" s="19">
        <v>789.5</v>
      </c>
      <c r="G26" s="19">
        <v>789.5</v>
      </c>
      <c r="H26" s="18">
        <v>789.5</v>
      </c>
      <c r="I26" s="18">
        <v>789.5</v>
      </c>
      <c r="J26" s="19"/>
      <c r="K26" s="19"/>
      <c r="L26" s="19"/>
      <c r="M26" s="19"/>
      <c r="N26" s="19"/>
      <c r="O26" s="19"/>
      <c r="Q26" s="18"/>
    </row>
    <row r="27" spans="1:17">
      <c r="A27" s="9">
        <v>23</v>
      </c>
      <c r="B27" s="9">
        <v>1120</v>
      </c>
      <c r="C27" s="9"/>
      <c r="D27" s="16" t="s">
        <v>64</v>
      </c>
      <c r="E27" s="3" t="s">
        <v>65</v>
      </c>
      <c r="F27" s="19">
        <v>810.61</v>
      </c>
      <c r="G27" s="19">
        <v>810.61</v>
      </c>
      <c r="H27" s="19">
        <v>810.61</v>
      </c>
      <c r="I27" s="19">
        <v>810.61</v>
      </c>
      <c r="J27" s="19"/>
      <c r="K27" s="19"/>
      <c r="L27" s="19"/>
      <c r="M27" s="19"/>
      <c r="N27" s="19"/>
      <c r="O27" s="19"/>
      <c r="Q27" s="19"/>
    </row>
    <row r="28" spans="1:17">
      <c r="A28" s="9">
        <v>24</v>
      </c>
      <c r="B28" s="9">
        <v>1121</v>
      </c>
      <c r="C28" s="9"/>
      <c r="D28" s="9" t="s">
        <v>64</v>
      </c>
      <c r="E28" s="3" t="s">
        <v>66</v>
      </c>
      <c r="F28" s="19">
        <v>810.61</v>
      </c>
      <c r="G28" s="19">
        <v>810.61</v>
      </c>
      <c r="H28" s="19">
        <v>810.61</v>
      </c>
      <c r="I28" s="19">
        <v>810.61</v>
      </c>
      <c r="J28" s="19"/>
      <c r="K28" s="19"/>
      <c r="L28" s="19"/>
      <c r="M28" s="19"/>
      <c r="N28" s="19"/>
      <c r="O28" s="19"/>
      <c r="Q28" s="19"/>
    </row>
    <row r="29" spans="1:17">
      <c r="A29" s="9">
        <v>25</v>
      </c>
      <c r="B29" s="9">
        <v>1125</v>
      </c>
      <c r="C29" s="9"/>
      <c r="D29" s="15" t="s">
        <v>67</v>
      </c>
      <c r="E29" s="3" t="s">
        <v>68</v>
      </c>
      <c r="F29" s="19">
        <v>801.73</v>
      </c>
      <c r="G29" s="19">
        <v>801.73</v>
      </c>
      <c r="H29" s="19">
        <v>801.73</v>
      </c>
      <c r="I29" s="19">
        <v>801.73</v>
      </c>
      <c r="J29" s="19"/>
      <c r="K29" s="19"/>
      <c r="L29" s="19"/>
      <c r="M29" s="19"/>
      <c r="N29" s="19"/>
      <c r="O29" s="19"/>
      <c r="Q29" s="20"/>
    </row>
    <row r="30" spans="1:17">
      <c r="A30" s="9">
        <v>26</v>
      </c>
      <c r="B30" s="9">
        <v>1126</v>
      </c>
      <c r="C30" s="9"/>
      <c r="D30" s="16" t="s">
        <v>69</v>
      </c>
      <c r="E30" s="22" t="s">
        <v>70</v>
      </c>
      <c r="F30" s="20">
        <f t="shared" ref="F30:I31" si="0">1606.85/2</f>
        <v>803.42499999999995</v>
      </c>
      <c r="G30" s="20">
        <f t="shared" si="0"/>
        <v>803.42499999999995</v>
      </c>
      <c r="H30" s="19">
        <f t="shared" si="0"/>
        <v>803.42499999999995</v>
      </c>
      <c r="I30" s="19">
        <f t="shared" si="0"/>
        <v>803.42499999999995</v>
      </c>
      <c r="J30" s="19"/>
      <c r="K30" s="19"/>
      <c r="L30" s="19"/>
      <c r="M30" s="19"/>
      <c r="N30" s="19"/>
      <c r="O30" s="19"/>
      <c r="Q30" s="20"/>
    </row>
    <row r="31" spans="1:17">
      <c r="A31" s="9">
        <v>27</v>
      </c>
      <c r="B31" s="9">
        <v>1127</v>
      </c>
      <c r="C31" s="9"/>
      <c r="D31" s="16" t="s">
        <v>69</v>
      </c>
      <c r="E31" s="22" t="s">
        <v>70</v>
      </c>
      <c r="F31" s="20">
        <f t="shared" si="0"/>
        <v>803.42499999999995</v>
      </c>
      <c r="G31" s="20">
        <f t="shared" si="0"/>
        <v>803.42499999999995</v>
      </c>
      <c r="H31" s="19">
        <f t="shared" si="0"/>
        <v>803.42499999999995</v>
      </c>
      <c r="I31" s="19">
        <f t="shared" si="0"/>
        <v>803.42499999999995</v>
      </c>
      <c r="J31" s="19"/>
      <c r="K31" s="19"/>
      <c r="L31" s="19"/>
      <c r="M31" s="19"/>
      <c r="N31" s="19"/>
      <c r="O31" s="19"/>
      <c r="Q31" s="20"/>
    </row>
    <row r="32" spans="1:17">
      <c r="A32" s="9">
        <v>28</v>
      </c>
      <c r="B32" s="9">
        <v>1128</v>
      </c>
      <c r="C32" s="9"/>
      <c r="D32" s="9" t="s">
        <v>69</v>
      </c>
      <c r="E32" s="22" t="s">
        <v>71</v>
      </c>
      <c r="F32" s="19">
        <v>788.44</v>
      </c>
      <c r="G32" s="19">
        <v>788.44</v>
      </c>
      <c r="H32" s="19">
        <v>788.44</v>
      </c>
      <c r="I32" s="19">
        <v>788.44</v>
      </c>
      <c r="J32" s="19"/>
      <c r="K32" s="19"/>
      <c r="L32" s="19"/>
      <c r="M32" s="19"/>
      <c r="N32" s="19"/>
      <c r="O32" s="19"/>
      <c r="Q32" s="20"/>
    </row>
    <row r="33" spans="1:17">
      <c r="A33" s="9">
        <v>29</v>
      </c>
      <c r="B33" s="9">
        <v>1129</v>
      </c>
      <c r="C33" s="9"/>
      <c r="D33" s="16" t="s">
        <v>72</v>
      </c>
      <c r="E33" s="3" t="s">
        <v>73</v>
      </c>
      <c r="F33" s="19">
        <v>788.44</v>
      </c>
      <c r="G33" s="19">
        <v>788.44</v>
      </c>
      <c r="H33" s="19">
        <v>788.44</v>
      </c>
      <c r="I33" s="19">
        <v>788.44</v>
      </c>
      <c r="J33" s="19"/>
      <c r="K33" s="19"/>
      <c r="L33" s="19"/>
      <c r="M33" s="19"/>
      <c r="N33" s="19"/>
      <c r="O33" s="19"/>
      <c r="Q33" s="20"/>
    </row>
    <row r="34" spans="1:17">
      <c r="A34" s="9">
        <v>30</v>
      </c>
      <c r="B34" s="16">
        <v>1130</v>
      </c>
      <c r="C34" s="15"/>
      <c r="D34" s="16" t="s">
        <v>72</v>
      </c>
      <c r="E34" s="3" t="s">
        <v>74</v>
      </c>
      <c r="F34" s="19">
        <v>788.44</v>
      </c>
      <c r="G34" s="19">
        <v>788.44</v>
      </c>
      <c r="H34" s="19">
        <v>788.44</v>
      </c>
      <c r="I34" s="19">
        <v>788.44</v>
      </c>
      <c r="J34" s="19"/>
      <c r="K34" s="19"/>
      <c r="L34" s="19"/>
      <c r="M34" s="19"/>
      <c r="N34" s="19"/>
      <c r="O34" s="19"/>
      <c r="Q34" s="20"/>
    </row>
    <row r="35" spans="1:17">
      <c r="A35" s="9">
        <v>31</v>
      </c>
      <c r="B35" s="9">
        <v>1131</v>
      </c>
      <c r="C35" s="15"/>
      <c r="D35" s="9" t="s">
        <v>72</v>
      </c>
      <c r="E35" s="3" t="s">
        <v>75</v>
      </c>
      <c r="F35" s="19">
        <v>788.44</v>
      </c>
      <c r="G35" s="19">
        <v>788.44</v>
      </c>
      <c r="H35" s="19">
        <v>788.44</v>
      </c>
      <c r="I35" s="19">
        <v>788.44</v>
      </c>
      <c r="J35" s="19"/>
      <c r="K35" s="19"/>
      <c r="L35" s="19"/>
      <c r="M35" s="19"/>
      <c r="N35" s="19"/>
      <c r="O35" s="19"/>
      <c r="Q35" s="20"/>
    </row>
    <row r="36" spans="1:17">
      <c r="A36" s="9">
        <v>32</v>
      </c>
      <c r="B36" s="9">
        <v>1132</v>
      </c>
      <c r="C36" s="9"/>
      <c r="D36" s="15" t="s">
        <v>76</v>
      </c>
      <c r="E36" s="3" t="s">
        <v>77</v>
      </c>
      <c r="F36" s="19">
        <v>788.44</v>
      </c>
      <c r="G36" s="19">
        <v>788.44</v>
      </c>
      <c r="H36" s="19">
        <v>788.44</v>
      </c>
      <c r="I36" s="19">
        <v>788.44</v>
      </c>
      <c r="J36" s="19"/>
      <c r="K36" s="19"/>
      <c r="L36" s="19"/>
      <c r="M36" s="19"/>
      <c r="N36" s="19"/>
      <c r="O36" s="19"/>
      <c r="Q36" s="20"/>
    </row>
    <row r="37" spans="1:17">
      <c r="A37" s="9">
        <v>33</v>
      </c>
      <c r="B37" s="17">
        <v>1135</v>
      </c>
      <c r="C37" s="17"/>
      <c r="D37" s="16" t="s">
        <v>78</v>
      </c>
      <c r="E37" s="3" t="s">
        <v>79</v>
      </c>
      <c r="F37" s="19">
        <v>788.44</v>
      </c>
      <c r="G37" s="19">
        <v>788.44</v>
      </c>
      <c r="H37" s="19">
        <v>788.44</v>
      </c>
      <c r="I37" s="19">
        <v>788.44</v>
      </c>
      <c r="J37" s="19"/>
      <c r="K37" s="19"/>
      <c r="L37" s="19"/>
      <c r="M37" s="19"/>
      <c r="N37" s="19"/>
      <c r="O37" s="19"/>
      <c r="Q37" s="20"/>
    </row>
    <row r="38" spans="1:17">
      <c r="A38" s="9">
        <v>34</v>
      </c>
      <c r="B38" s="17">
        <v>1133</v>
      </c>
      <c r="C38" s="17"/>
      <c r="D38" s="16" t="s">
        <v>80</v>
      </c>
      <c r="E38" s="3" t="s">
        <v>81</v>
      </c>
      <c r="F38" s="19">
        <v>788.44</v>
      </c>
      <c r="G38" s="19">
        <v>788.44</v>
      </c>
      <c r="H38" s="19">
        <v>788.44</v>
      </c>
      <c r="I38" s="19">
        <v>788.44</v>
      </c>
      <c r="J38" s="19"/>
      <c r="K38" s="19"/>
      <c r="L38" s="19"/>
      <c r="M38" s="19"/>
      <c r="N38" s="19"/>
      <c r="O38" s="19"/>
      <c r="Q38" s="20"/>
    </row>
    <row r="39" spans="1:17">
      <c r="A39" s="9">
        <v>35</v>
      </c>
      <c r="B39" s="1">
        <v>1134</v>
      </c>
      <c r="C39" s="1"/>
      <c r="D39" s="9" t="s">
        <v>80</v>
      </c>
      <c r="E39" s="3" t="s">
        <v>82</v>
      </c>
      <c r="F39" s="19">
        <v>803.42</v>
      </c>
      <c r="G39" s="19">
        <v>803.42</v>
      </c>
      <c r="H39" s="19">
        <v>803.42</v>
      </c>
      <c r="I39" s="19">
        <v>803.42</v>
      </c>
      <c r="J39" s="19"/>
      <c r="K39" s="19"/>
      <c r="L39" s="19"/>
      <c r="M39" s="19"/>
      <c r="N39" s="19"/>
      <c r="O39" s="19"/>
      <c r="Q39" s="20"/>
    </row>
    <row r="40" spans="1:17">
      <c r="A40" s="9">
        <v>36</v>
      </c>
      <c r="B40" s="16">
        <v>1137</v>
      </c>
      <c r="C40" s="16"/>
      <c r="D40" s="16" t="s">
        <v>83</v>
      </c>
      <c r="E40" s="3" t="s">
        <v>84</v>
      </c>
      <c r="F40" s="20">
        <v>788.44</v>
      </c>
      <c r="G40" s="20">
        <v>788.44</v>
      </c>
      <c r="H40" s="20">
        <v>788.44</v>
      </c>
      <c r="I40" s="20">
        <v>788.44</v>
      </c>
      <c r="J40" s="19"/>
      <c r="K40" s="19"/>
      <c r="L40" s="19"/>
      <c r="M40" s="19"/>
      <c r="N40" s="19"/>
      <c r="O40" s="19"/>
      <c r="Q40" s="20"/>
    </row>
    <row r="41" spans="1:17">
      <c r="A41" s="9">
        <v>37</v>
      </c>
      <c r="B41" s="16">
        <v>1136</v>
      </c>
      <c r="C41" s="16"/>
      <c r="D41" s="16" t="s">
        <v>83</v>
      </c>
      <c r="E41" s="3" t="s">
        <v>85</v>
      </c>
      <c r="F41" s="20">
        <v>805.09</v>
      </c>
      <c r="G41" s="20">
        <v>805.09</v>
      </c>
      <c r="H41" s="20">
        <v>805.09</v>
      </c>
      <c r="I41" s="20">
        <v>805.09</v>
      </c>
      <c r="J41" s="19"/>
      <c r="K41" s="19"/>
      <c r="L41" s="19"/>
      <c r="M41" s="19"/>
      <c r="N41" s="19"/>
      <c r="O41" s="19"/>
      <c r="Q41" s="20"/>
    </row>
    <row r="42" spans="1:17">
      <c r="A42" s="9">
        <v>38</v>
      </c>
      <c r="B42" s="9">
        <v>1138</v>
      </c>
      <c r="C42" s="9"/>
      <c r="D42" s="16" t="s">
        <v>83</v>
      </c>
      <c r="E42" s="3" t="s">
        <v>86</v>
      </c>
      <c r="F42" s="20">
        <v>805.09</v>
      </c>
      <c r="G42" s="20">
        <v>805.09</v>
      </c>
      <c r="H42" s="20">
        <v>805.09</v>
      </c>
      <c r="I42" s="20">
        <v>805.09</v>
      </c>
      <c r="J42" s="19"/>
      <c r="K42" s="19"/>
      <c r="L42" s="19"/>
      <c r="M42" s="19"/>
      <c r="N42" s="19"/>
      <c r="O42" s="19"/>
      <c r="Q42" s="20"/>
    </row>
    <row r="43" spans="1:17">
      <c r="A43" s="9">
        <v>39</v>
      </c>
      <c r="B43" s="9">
        <v>1139</v>
      </c>
      <c r="C43" s="15"/>
      <c r="D43" s="9" t="s">
        <v>87</v>
      </c>
      <c r="E43" s="30" t="s">
        <v>88</v>
      </c>
      <c r="F43" s="20">
        <v>0</v>
      </c>
      <c r="G43" s="31">
        <v>0</v>
      </c>
      <c r="H43" s="31">
        <v>0</v>
      </c>
      <c r="I43" s="20">
        <v>805.09</v>
      </c>
      <c r="J43" s="19"/>
      <c r="K43" s="19"/>
      <c r="L43" s="19"/>
      <c r="M43" s="19"/>
      <c r="N43" s="19"/>
      <c r="O43" s="19"/>
      <c r="Q43" s="20"/>
    </row>
    <row r="44" spans="1:17">
      <c r="A44" s="9">
        <v>40</v>
      </c>
      <c r="B44" s="9">
        <v>1140</v>
      </c>
      <c r="C44" s="15"/>
      <c r="D44" s="9" t="s">
        <v>87</v>
      </c>
      <c r="E44" s="30" t="s">
        <v>88</v>
      </c>
      <c r="F44" s="20">
        <v>0</v>
      </c>
      <c r="G44" s="31">
        <v>0</v>
      </c>
      <c r="H44" s="31">
        <v>0</v>
      </c>
      <c r="I44" s="19">
        <v>788.44</v>
      </c>
      <c r="J44" s="19"/>
      <c r="K44" s="19"/>
      <c r="L44" s="19"/>
      <c r="M44" s="19"/>
      <c r="N44" s="19"/>
      <c r="O44" s="19"/>
      <c r="Q44" s="20"/>
    </row>
    <row r="45" spans="1:17">
      <c r="A45" s="9">
        <v>41</v>
      </c>
      <c r="B45" s="9">
        <v>1141</v>
      </c>
      <c r="C45" s="15"/>
      <c r="D45" s="9" t="s">
        <v>87</v>
      </c>
      <c r="E45" s="30" t="s">
        <v>89</v>
      </c>
      <c r="F45" s="20">
        <v>0</v>
      </c>
      <c r="G45" s="31">
        <v>0</v>
      </c>
      <c r="H45" s="31">
        <v>0</v>
      </c>
      <c r="I45" s="19">
        <v>788.44</v>
      </c>
      <c r="J45" s="19"/>
      <c r="K45" s="19"/>
      <c r="L45" s="19"/>
      <c r="M45" s="19"/>
      <c r="N45" s="19"/>
      <c r="O45" s="19"/>
      <c r="Q45" s="20"/>
    </row>
    <row r="46" spans="1:17" ht="12">
      <c r="A46" s="45"/>
      <c r="B46" s="46"/>
      <c r="C46" s="46"/>
      <c r="D46" s="46"/>
      <c r="E46" s="46"/>
      <c r="F46" s="38">
        <f>SUM(F5:F45)</f>
        <v>30831.279999999988</v>
      </c>
      <c r="G46" s="38">
        <f>SUM(G4:G45)</f>
        <v>30831.279999999988</v>
      </c>
      <c r="H46" s="38">
        <f>SUM(H4:H32)</f>
        <v>22898.6</v>
      </c>
      <c r="I46" s="39">
        <f>SUM(I5:I32)</f>
        <v>22898.6</v>
      </c>
      <c r="J46" s="39">
        <f>SUM(J4:J35)</f>
        <v>0</v>
      </c>
      <c r="K46" s="38">
        <f>SUM(K5:K36)</f>
        <v>0</v>
      </c>
      <c r="L46" s="38">
        <f>SUM(L4:L39)</f>
        <v>0</v>
      </c>
      <c r="M46" s="38">
        <f>SUM(M5:M39)</f>
        <v>0</v>
      </c>
      <c r="N46" s="38">
        <f>SUM(N5:N39)</f>
        <v>0</v>
      </c>
      <c r="O46" s="38">
        <f>SUM(O5:O39)</f>
        <v>0</v>
      </c>
      <c r="P46" s="39"/>
      <c r="Q46" s="38"/>
    </row>
    <row r="48" spans="1:17">
      <c r="G48" s="21"/>
    </row>
  </sheetData>
  <mergeCells count="6">
    <mergeCell ref="A46:E46"/>
    <mergeCell ref="A1:A2"/>
    <mergeCell ref="B1:E1"/>
    <mergeCell ref="F1:Q1"/>
    <mergeCell ref="B3:E3"/>
    <mergeCell ref="A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Gawron.Justyna</dc:creator>
  <cp:keywords/>
  <dc:description/>
  <cp:lastModifiedBy/>
  <cp:revision/>
  <dcterms:created xsi:type="dcterms:W3CDTF">2025-11-28T08:39:45Z</dcterms:created>
  <dcterms:modified xsi:type="dcterms:W3CDTF">2026-05-27T10:57:51Z</dcterms:modified>
  <cp:category/>
  <cp:contentStatus/>
</cp:coreProperties>
</file>
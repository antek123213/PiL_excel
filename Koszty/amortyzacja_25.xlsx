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Koszty/"/>
    </mc:Choice>
  </mc:AlternateContent>
  <xr:revisionPtr revIDLastSave="4" documentId="8_{A7AFDD5D-9571-463E-9124-3E62E5BE152B}" xr6:coauthVersionLast="47" xr6:coauthVersionMax="47" xr10:uidLastSave="{C6645218-1F56-408C-BB78-D46B30AA6586}"/>
  <bookViews>
    <workbookView xWindow="18105" yWindow="3525" windowWidth="16755" windowHeight="11670" xr2:uid="{F43583CD-4CA5-4225-8524-8CC9137B419C}"/>
  </bookViews>
  <sheets>
    <sheet name="ST40_FAA2000" sheetId="1" r:id="rId1"/>
    <sheet name="bb8" sheetId="2" r:id="rId2"/>
  </sheets>
  <definedNames>
    <definedName name="_xlnm._FilterDatabase" localSheetId="0" hidden="1">ST40_FAA2000!$A$2:$Q$2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H28" i="1"/>
  <c r="I28" i="1"/>
  <c r="J28" i="1"/>
  <c r="K28" i="1"/>
  <c r="L28" i="1"/>
  <c r="M28" i="1"/>
  <c r="N28" i="1"/>
  <c r="O28" i="1"/>
  <c r="P28" i="1"/>
  <c r="Q28" i="1"/>
  <c r="D44" i="2" l="1"/>
  <c r="Q31" i="2"/>
  <c r="P31" i="2"/>
  <c r="O31" i="2"/>
  <c r="N31" i="2"/>
  <c r="M31" i="2"/>
  <c r="L31" i="2"/>
  <c r="K31" i="2"/>
  <c r="J31" i="2"/>
  <c r="I31" i="2"/>
  <c r="H31" i="2"/>
  <c r="G31" i="2"/>
  <c r="F31" i="2"/>
  <c r="P30" i="2"/>
  <c r="Q30" i="2"/>
  <c r="O30" i="2"/>
  <c r="N30" i="2"/>
  <c r="G30" i="2"/>
  <c r="H30" i="2"/>
  <c r="I30" i="2"/>
  <c r="J30" i="2"/>
  <c r="K30" i="2"/>
  <c r="L30" i="2"/>
  <c r="M30" i="2"/>
  <c r="F30" i="2"/>
  <c r="Q3" i="1" l="1"/>
  <c r="P3" i="1"/>
  <c r="O3" i="1"/>
  <c r="N3" i="1"/>
  <c r="M3" i="1"/>
  <c r="L3" i="1"/>
  <c r="K3" i="1"/>
  <c r="J3" i="1"/>
  <c r="I3" i="1"/>
  <c r="H3" i="1"/>
  <c r="G3" i="1"/>
  <c r="F3" i="1"/>
  <c r="G27" i="1"/>
  <c r="H27" i="1"/>
  <c r="I27" i="1"/>
  <c r="J27" i="1"/>
  <c r="K27" i="1"/>
  <c r="L27" i="1"/>
  <c r="M27" i="1"/>
  <c r="N27" i="1"/>
  <c r="O27" i="1"/>
  <c r="P27" i="1"/>
  <c r="Q27" i="1"/>
  <c r="F27" i="1"/>
  <c r="Q21" i="1"/>
  <c r="P21" i="1"/>
  <c r="O21" i="1"/>
  <c r="N21" i="1"/>
  <c r="M21" i="1"/>
  <c r="L21" i="1"/>
  <c r="K21" i="1"/>
  <c r="J21" i="1"/>
  <c r="I21" i="1"/>
  <c r="H21" i="1"/>
  <c r="G21" i="1"/>
  <c r="F21" i="1"/>
  <c r="G22" i="1"/>
  <c r="H22" i="1"/>
  <c r="I22" i="1"/>
  <c r="J22" i="1"/>
  <c r="K22" i="1"/>
  <c r="L22" i="1"/>
  <c r="M22" i="1"/>
  <c r="N22" i="1"/>
  <c r="O22" i="1"/>
  <c r="P22" i="1"/>
  <c r="Q22" i="1"/>
  <c r="F22" i="1"/>
  <c r="Q43" i="2"/>
  <c r="P43" i="2"/>
  <c r="O43" i="2"/>
  <c r="N43" i="2"/>
  <c r="M43" i="2"/>
  <c r="L43" i="2"/>
  <c r="K43" i="2"/>
  <c r="J43" i="2"/>
  <c r="I43" i="2"/>
  <c r="H43" i="2"/>
  <c r="G43" i="2"/>
  <c r="F43" i="2"/>
  <c r="F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tc={DFC1F143-BA99-4439-9DE5-08E137899606}</author>
    <author>tc={334E8B4C-DDC8-4555-A2A3-D890D6D4775C}</author>
    <author>tc={C26BE7C0-7596-4126-9BB8-677B7ACBC696}</author>
    <author>tc={85FC9C9F-C136-4952-A331-DB32DCBE099C}</author>
  </authors>
  <commentList>
    <comment ref="C3" authorId="0" shapeId="0" xr:uid="{DFC1F143-BA99-4439-9DE5-08E13789960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Nr umowny, do zmiany</t>
      </text>
    </comment>
    <comment ref="C4" authorId="1" shapeId="0" xr:uid="{334E8B4C-DDC8-4555-A2A3-D890D6D4775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Nr umowny, do zmiany</t>
      </text>
    </comment>
    <comment ref="C9" authorId="2" shapeId="0" xr:uid="{C26BE7C0-7596-4126-9BB8-677B7ACBC69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Nr umowny, do zmiany</t>
      </text>
    </comment>
    <comment ref="C27" authorId="3" shapeId="0" xr:uid="{85FC9C9F-C136-4952-A331-DB32DCBE099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Nr umowny, do zmiany</t>
      </text>
    </comment>
  </commentList>
</comments>
</file>

<file path=xl/sharedStrings.xml><?xml version="1.0" encoding="utf-8"?>
<sst xmlns="http://schemas.openxmlformats.org/spreadsheetml/2006/main" count="174" uniqueCount="93">
  <si>
    <t>WARTOŚĆ MIESIĘCZNEGO UMORZEMIA - AMORTYZACJI 2025</t>
  </si>
  <si>
    <t>Lp</t>
  </si>
  <si>
    <t>Nr automatu</t>
  </si>
  <si>
    <t>Nr seryjny</t>
  </si>
  <si>
    <t>Model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</si>
  <si>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</si>
  <si>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</si>
  <si>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</si>
  <si>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</si>
  <si>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</si>
  <si>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</si>
  <si>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</si>
  <si>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</si>
  <si>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</si>
  <si>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</si>
  <si>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</si>
  <si>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</si>
  <si>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SN-02</t>
  </si>
  <si>
    <t>ST-40</t>
  </si>
  <si>
    <t>V/20</t>
  </si>
  <si>
    <t>SN-03</t>
  </si>
  <si>
    <t>VIII/20</t>
  </si>
  <si>
    <t>XII/19</t>
  </si>
  <si>
    <t>II/20</t>
  </si>
  <si>
    <t>IX/19</t>
  </si>
  <si>
    <t>SN-04</t>
  </si>
  <si>
    <t>FAA 2000</t>
  </si>
  <si>
    <t>XI/20</t>
  </si>
  <si>
    <t>IX/20</t>
  </si>
  <si>
    <t xml:space="preserve">IX/20 </t>
  </si>
  <si>
    <t>II/19</t>
  </si>
  <si>
    <t>SN-01</t>
  </si>
  <si>
    <t>Lp.</t>
  </si>
  <si>
    <t>OKREŚLENIE ŚRODKA TRWAŁEGO</t>
  </si>
  <si>
    <t>M-c</t>
  </si>
  <si>
    <t>Nazwa</t>
  </si>
  <si>
    <t>1.</t>
  </si>
  <si>
    <t>2.</t>
  </si>
  <si>
    <t>X/2022</t>
  </si>
  <si>
    <t>Kraków Główny</t>
  </si>
  <si>
    <t>Zielona Góra</t>
  </si>
  <si>
    <t>Wrocław Główny</t>
  </si>
  <si>
    <t>Poznań Główny</t>
  </si>
  <si>
    <t>Świnoujście</t>
  </si>
  <si>
    <t>Szczecin Główny</t>
  </si>
  <si>
    <t>Opole Główne</t>
  </si>
  <si>
    <t>Automat biletowy BB8 Łódź Widzew</t>
  </si>
  <si>
    <t>Jarosław</t>
  </si>
  <si>
    <t>Bialystok</t>
  </si>
  <si>
    <t>MOVE-S320-00035</t>
  </si>
  <si>
    <t>III/2024</t>
  </si>
  <si>
    <t>Puck</t>
  </si>
  <si>
    <t>MOVE-S320-00041</t>
  </si>
  <si>
    <t>Chojnice</t>
  </si>
  <si>
    <t>Oława</t>
  </si>
  <si>
    <t>Człuchów</t>
  </si>
  <si>
    <t>IV/2024</t>
  </si>
  <si>
    <t>MOVE-S320-00042</t>
  </si>
  <si>
    <t>Pszczółki</t>
  </si>
  <si>
    <t>Zakopane</t>
  </si>
  <si>
    <t>MOVE-S320-00039</t>
  </si>
  <si>
    <t>VI/2024</t>
  </si>
  <si>
    <t>Automat biletowy BB8 Elbląg</t>
  </si>
  <si>
    <t>MOVE-S320-00036</t>
  </si>
  <si>
    <t>Automat biletowy BB8 Gdańsk Wrzeszcz</t>
  </si>
  <si>
    <r>
      <t>Automat biletowy BB8 Strzelce Krajeńskie/Zwierzyn -</t>
    </r>
    <r>
      <rPr>
        <sz val="9"/>
        <color rgb="FFFF0000"/>
        <rFont val="Arial"/>
        <family val="2"/>
        <charset val="238"/>
      </rPr>
      <t xml:space="preserve"> zdjęty</t>
    </r>
  </si>
  <si>
    <t>VII/2024</t>
  </si>
  <si>
    <t xml:space="preserve">Automat biletowy Wrocław </t>
  </si>
  <si>
    <r>
      <t xml:space="preserve">Automat biletowy  Głogów - </t>
    </r>
    <r>
      <rPr>
        <sz val="9"/>
        <color rgb="FFFF0000"/>
        <rFont val="Arial"/>
        <family val="2"/>
        <charset val="238"/>
      </rPr>
      <t>zdjęty</t>
    </r>
  </si>
  <si>
    <t>IX/2024</t>
  </si>
  <si>
    <t>Automat biletowy  Kędzierzyn Koźle</t>
  </si>
  <si>
    <t>Automat biletowy  Gogolin</t>
  </si>
  <si>
    <t>X/2024</t>
  </si>
  <si>
    <t>Automat biletowy Częstochowa/ Koluszki</t>
  </si>
  <si>
    <t>XII/2024</t>
  </si>
  <si>
    <t>Automat biletowy W-wa CENTRALNA</t>
  </si>
  <si>
    <t>Automat biletowy KRZYŻ WLKP</t>
  </si>
  <si>
    <t>IV/2025</t>
  </si>
  <si>
    <t>Automat biletowy Września</t>
  </si>
  <si>
    <t>Automat biletowy Nowy Tomyśl</t>
  </si>
  <si>
    <t>Automat biletowy Kościan</t>
  </si>
  <si>
    <t>V/2025</t>
  </si>
  <si>
    <t>Autmat biletowy Rawicz</t>
  </si>
  <si>
    <t>VI/2025</t>
  </si>
  <si>
    <t>Automat biletowy Kielce</t>
  </si>
  <si>
    <t>VII/2025</t>
  </si>
  <si>
    <t>Automat biletowy Palędzie</t>
  </si>
  <si>
    <t>Automat biletowy Chodzież</t>
  </si>
  <si>
    <t>X/2025</t>
  </si>
  <si>
    <t>Automat biletowy Poznań Politechnika</t>
  </si>
  <si>
    <t>Automat biletowy Bochnia</t>
  </si>
  <si>
    <t>Automat biletowy Rzeszów</t>
  </si>
  <si>
    <t>1209 /  1215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</si>
</sst>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\-#,##0.00\ "/>
    <numFmt numFmtId="165" formatCode="_-* #,##0.00\ _z_ł_-;\-* #,##0.00\ _z_ł_-;_-* &quot;-&quot;??\ _z_ł_-;_-@_-"/>
  </numFmts>
  <fonts count="13" x14ac:knownFonts="1">
    <font>
      <sz val="11"/>
      <color theme="1"/>
      <name val="Aptos Narrow"/>
      <family val="2"/>
      <charset val="238"/>
      <scheme val="minor"/>
    </font>
    <font>
      <sz val="9"/>
      <name val="Arial"/>
      <family val="2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9"/>
      <color rgb="FF000000"/>
      <name val="Arial"/>
      <family val="2"/>
      <charset val="238"/>
    </font>
    <font>
      <sz val="9"/>
      <color theme="2" tint="-0.249977111117893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Aptos Narrow"/>
      <family val="2"/>
      <charset val="238"/>
      <scheme val="minor"/>
    </font>
    <font>
      <b/>
      <sz val="9"/>
      <color rgb="FFFF0000"/>
      <name val="Arial"/>
      <family val="2"/>
      <charset val="238"/>
    </font>
    <font>
      <sz val="9"/>
      <color rgb="FF242424"/>
      <name val="Arial"/>
      <family val="2"/>
      <charset val="238"/>
    </font>
    <font>
      <sz val="8"/>
      <name val="Aptos Narrow"/>
      <family val="2"/>
      <charset val="238"/>
      <scheme val="minor"/>
    </font>
    <font>
      <strike/>
      <sz val="11"/>
      <color theme="1"/>
      <name val="Aptos Narrow"/>
      <family val="2"/>
      <charset val="238"/>
      <scheme val="minor"/>
    </font>
    <font>
      <b/>
      <sz val="9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13" xfId="0" applyFont="1" applyBorder="1"/>
    <xf numFmtId="4" fontId="1" fillId="0" borderId="13" xfId="0" applyNumberFormat="1" applyFont="1" applyBorder="1"/>
    <xf numFmtId="164" fontId="0" fillId="0" borderId="0" xfId="0" applyNumberFormat="1"/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 wrapText="1"/>
    </xf>
    <xf numFmtId="165" fontId="1" fillId="2" borderId="6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" fontId="1" fillId="0" borderId="2" xfId="0" applyNumberFormat="1" applyFont="1" applyBorder="1"/>
    <xf numFmtId="4" fontId="1" fillId="0" borderId="7" xfId="0" applyNumberFormat="1" applyFont="1" applyBorder="1"/>
    <xf numFmtId="0" fontId="1" fillId="0" borderId="12" xfId="0" applyFont="1" applyBorder="1"/>
    <xf numFmtId="0" fontId="1" fillId="0" borderId="14" xfId="0" applyFont="1" applyBorder="1"/>
    <xf numFmtId="0" fontId="8" fillId="0" borderId="7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11" xfId="0" applyFont="1" applyBorder="1"/>
    <xf numFmtId="0" fontId="8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7" xfId="0" applyFont="1" applyBorder="1" applyAlignment="1">
      <alignment wrapText="1"/>
    </xf>
    <xf numFmtId="0" fontId="1" fillId="0" borderId="11" xfId="0" applyFont="1" applyBorder="1" applyAlignment="1">
      <alignment wrapText="1"/>
    </xf>
    <xf numFmtId="165" fontId="1" fillId="2" borderId="7" xfId="0" applyNumberFormat="1" applyFont="1" applyFill="1" applyBorder="1"/>
    <xf numFmtId="165" fontId="1" fillId="2" borderId="7" xfId="0" applyNumberFormat="1" applyFont="1" applyFill="1" applyBorder="1" applyAlignment="1">
      <alignment shrinkToFit="1"/>
    </xf>
    <xf numFmtId="165" fontId="1" fillId="2" borderId="7" xfId="0" applyNumberFormat="1" applyFont="1" applyFill="1" applyBorder="1" applyAlignment="1">
      <alignment horizontal="center" shrinkToFit="1"/>
    </xf>
    <xf numFmtId="0" fontId="7" fillId="0" borderId="0" xfId="0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1" fillId="0" borderId="0" xfId="0" applyFont="1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4" fontId="1" fillId="0" borderId="3" xfId="0" applyNumberFormat="1" applyFont="1" applyBorder="1"/>
    <xf numFmtId="164" fontId="12" fillId="0" borderId="0" xfId="0" applyNumberFormat="1" applyFont="1" applyAlignment="1">
      <alignment horizontal="right"/>
    </xf>
    <xf numFmtId="0" fontId="9" fillId="0" borderId="2" xfId="0" applyFont="1" applyBorder="1" applyAlignment="1">
      <alignment horizontal="center"/>
    </xf>
    <xf numFmtId="4" fontId="1" fillId="0" borderId="8" xfId="0" applyNumberFormat="1" applyFont="1" applyBorder="1"/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ja Peciak" id="{A5304B44-800D-42B9-BDB7-BAA78BC835FF}" userId="S::kp@avistapl.onmicrosoft.com::3f08118e-a98c-47a7-aa81-041e17cd8489" providerId="AD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4-17T18:38:20.45" personId="{A5304B44-800D-42B9-BDB7-BAA78BC835FF}" id="{DFC1F143-BA99-4439-9DE5-08E137899606}">
    <text>Nr umowny, do zmiany</text>
  </threadedComment>
  <threadedComment ref="C4" dT="2026-04-17T18:38:20.45" personId="{A5304B44-800D-42B9-BDB7-BAA78BC835FF}" id="{334E8B4C-DDC8-4555-A2A3-D890D6D4775C}">
    <text>Nr umowny, do zmiany</text>
  </threadedComment>
  <threadedComment ref="C9" dT="2026-04-17T18:38:20.45" personId="{A5304B44-800D-42B9-BDB7-BAA78BC835FF}" id="{C26BE7C0-7596-4126-9BB8-677B7ACBC696}">
    <text>Nr umowny, do zmiany</text>
  </threadedComment>
  <threadedComment ref="C27" dT="2026-04-17T18:38:20.45" personId="{A5304B44-800D-42B9-BDB7-BAA78BC835FF}" id="{85FC9C9F-C136-4952-A331-DB32DCBE099C}">
    <text>Nr umowny, do zmiany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F13B-D4AE-464C-B286-11E1D5ACF627}">
  <dimension ref="A1:Q29"/>
  <sheetViews>
    <sheetView tabSelected="1" topLeftCell="B19" zoomScale="130" zoomScaleNormal="130" workbookViewId="0">
      <pane xSplit="1" topLeftCell="C1" activePane="topRight" state="frozen"/>
      <selection activeCell="B1" sqref="B1"/>
      <selection pane="topRight" activeCell="B28" sqref="B28"/>
    </sheetView>
  </sheetViews>
  <sheetFormatPr defaultRowHeight="15" x14ac:dyDescent="0.25"/>
  <cols>
    <col min="1" max="1" width="0" style="13" hidden="1" customWidth="1"/>
    <col min="2" max="2" width="17.7109375" style="13" customWidth="1"/>
    <col min="3" max="3" width="14.7109375" style="13" customWidth="1"/>
    <col min="4" max="4" width="8.85546875" style="14"/>
    <col min="5" max="5" width="7.85546875" customWidth="1"/>
    <col min="14" max="17" width="10.140625" bestFit="1" customWidth="1"/>
  </cols>
  <sheetData>
    <row r="1" spans="1:17" x14ac:dyDescent="0.25">
      <c r="F1" s="57" t="s">
        <v>0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9"/>
    </row>
    <row r="2" spans="1:17" x14ac:dyDescent="0.25">
      <c r="A2" s="15" t="s">
        <v>1</v>
      </c>
      <c r="B2" s="15" t="s">
        <v>2</v>
      </c>
      <c r="C2" s="15" t="s">
        <v>3</v>
      </c>
      <c r="D2" s="1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5" t="s">
        <v>16</v>
      </c>
    </row>
    <row r="3" spans="1:17" x14ac:dyDescent="0.25">
      <c r="A3" s="15">
        <v>1</v>
      </c>
      <c r="B3" s="15">
        <v>1205</v>
      </c>
      <c r="C3" s="15" t="s">
        <v>17</v>
      </c>
      <c r="D3" s="21" t="s">
        <v>18</v>
      </c>
      <c r="E3" s="2" t="s">
        <v>19</v>
      </c>
      <c r="F3" s="4">
        <f t="shared" ref="F3:Q3" si="0">2143.25/2</f>
        <v>1071.625</v>
      </c>
      <c r="G3" s="4">
        <f t="shared" si="0"/>
        <v>1071.625</v>
      </c>
      <c r="H3" s="4">
        <f t="shared" si="0"/>
        <v>1071.625</v>
      </c>
      <c r="I3" s="4">
        <f t="shared" si="0"/>
        <v>1071.625</v>
      </c>
      <c r="J3" s="4">
        <f t="shared" si="0"/>
        <v>1071.625</v>
      </c>
      <c r="K3" s="4">
        <f t="shared" si="0"/>
        <v>1071.625</v>
      </c>
      <c r="L3" s="4">
        <f t="shared" si="0"/>
        <v>1071.625</v>
      </c>
      <c r="M3" s="4">
        <f t="shared" si="0"/>
        <v>1071.625</v>
      </c>
      <c r="N3" s="4">
        <f t="shared" si="0"/>
        <v>1071.625</v>
      </c>
      <c r="O3" s="4">
        <f t="shared" si="0"/>
        <v>1071.625</v>
      </c>
      <c r="P3" s="4">
        <f t="shared" si="0"/>
        <v>1071.625</v>
      </c>
      <c r="Q3" s="4">
        <f t="shared" si="0"/>
        <v>1071.625</v>
      </c>
    </row>
    <row r="4" spans="1:17" s="49" customFormat="1" x14ac:dyDescent="0.25">
      <c r="A4" s="15">
        <v>2</v>
      </c>
      <c r="B4" s="15">
        <v>1211</v>
      </c>
      <c r="C4" s="15" t="s">
        <v>20</v>
      </c>
      <c r="D4" s="21" t="s">
        <v>18</v>
      </c>
      <c r="E4" s="2" t="s">
        <v>21</v>
      </c>
      <c r="F4" s="4">
        <v>1096.25</v>
      </c>
      <c r="G4" s="4">
        <v>1096.25</v>
      </c>
      <c r="H4" s="4">
        <v>1096.25</v>
      </c>
      <c r="I4" s="4">
        <v>1096.25</v>
      </c>
      <c r="J4" s="4">
        <v>1096.25</v>
      </c>
      <c r="K4" s="4">
        <v>1096.25</v>
      </c>
      <c r="L4" s="4">
        <v>1096.25</v>
      </c>
      <c r="M4" s="4">
        <v>1096.25</v>
      </c>
      <c r="N4" s="4">
        <v>1096.25</v>
      </c>
      <c r="O4" s="4">
        <v>1096.25</v>
      </c>
      <c r="P4" s="29">
        <v>1096.25</v>
      </c>
      <c r="Q4" s="29">
        <v>1096.25</v>
      </c>
    </row>
    <row r="5" spans="1:17" x14ac:dyDescent="0.25">
      <c r="A5" s="15">
        <v>3</v>
      </c>
      <c r="B5" s="15">
        <v>1212</v>
      </c>
      <c r="C5" s="55">
        <v>130087673</v>
      </c>
      <c r="D5" s="1" t="s">
        <v>18</v>
      </c>
      <c r="E5" s="2" t="s">
        <v>22</v>
      </c>
      <c r="F5" s="4">
        <v>1047.8900000000001</v>
      </c>
      <c r="G5" s="4">
        <v>1047.8900000000001</v>
      </c>
      <c r="H5" s="4">
        <v>1047.8900000000001</v>
      </c>
      <c r="I5" s="4">
        <v>1047.8900000000001</v>
      </c>
      <c r="J5" s="4">
        <v>1047.8900000000001</v>
      </c>
      <c r="K5" s="4">
        <v>1047.8900000000001</v>
      </c>
      <c r="L5" s="4">
        <v>1047.8900000000001</v>
      </c>
      <c r="M5" s="4">
        <v>1047.8900000000001</v>
      </c>
      <c r="N5" s="4">
        <v>1047.8900000000001</v>
      </c>
      <c r="O5" s="4">
        <v>1047.8900000000001</v>
      </c>
      <c r="P5" s="29">
        <v>1047.8900000000001</v>
      </c>
      <c r="Q5" s="53">
        <v>1047.8900000000001</v>
      </c>
    </row>
    <row r="6" spans="1:17" x14ac:dyDescent="0.25">
      <c r="A6" s="15">
        <v>4</v>
      </c>
      <c r="B6" s="15">
        <v>1213</v>
      </c>
      <c r="C6" s="16">
        <v>130087520</v>
      </c>
      <c r="D6" s="1" t="s">
        <v>18</v>
      </c>
      <c r="E6" s="2" t="s">
        <v>23</v>
      </c>
      <c r="F6" s="4">
        <v>1093.3699999999999</v>
      </c>
      <c r="G6" s="4">
        <v>1093.3699999999999</v>
      </c>
      <c r="H6" s="4">
        <v>1093.3699999999999</v>
      </c>
      <c r="I6" s="4">
        <v>1093.3699999999999</v>
      </c>
      <c r="J6" s="4">
        <v>1093.3699999999999</v>
      </c>
      <c r="K6" s="4">
        <v>1093.3699999999999</v>
      </c>
      <c r="L6" s="4">
        <v>1093.3699999999999</v>
      </c>
      <c r="M6" s="4">
        <v>1093.3699999999999</v>
      </c>
      <c r="N6" s="4">
        <v>1093.3699999999999</v>
      </c>
      <c r="O6" s="4">
        <v>1093.3699999999999</v>
      </c>
      <c r="P6" s="56">
        <v>1093.3699999999999</v>
      </c>
      <c r="Q6" s="10">
        <v>1093.3699999999999</v>
      </c>
    </row>
    <row r="7" spans="1:17" x14ac:dyDescent="0.25">
      <c r="A7" s="15">
        <v>5</v>
      </c>
      <c r="B7" s="15">
        <v>1216</v>
      </c>
      <c r="C7" s="15">
        <v>130087676</v>
      </c>
      <c r="D7" s="1" t="s">
        <v>18</v>
      </c>
      <c r="E7" s="2" t="s">
        <v>21</v>
      </c>
      <c r="F7" s="4">
        <v>1096.25</v>
      </c>
      <c r="G7" s="4">
        <v>1096.25</v>
      </c>
      <c r="H7" s="4">
        <v>1096.25</v>
      </c>
      <c r="I7" s="4">
        <v>1096.25</v>
      </c>
      <c r="J7" s="4">
        <v>1096.25</v>
      </c>
      <c r="K7" s="4">
        <v>1096.25</v>
      </c>
      <c r="L7" s="4">
        <v>1096.25</v>
      </c>
      <c r="M7" s="4">
        <v>1096.25</v>
      </c>
      <c r="N7" s="4">
        <v>1096.25</v>
      </c>
      <c r="O7" s="4">
        <v>1096.25</v>
      </c>
      <c r="P7" s="56">
        <v>1096.25</v>
      </c>
      <c r="Q7" s="10">
        <v>1096.25</v>
      </c>
    </row>
    <row r="8" spans="1:17" x14ac:dyDescent="0.25">
      <c r="A8" s="15">
        <v>6</v>
      </c>
      <c r="B8" s="15">
        <v>1217</v>
      </c>
      <c r="C8" s="16">
        <v>130076353</v>
      </c>
      <c r="D8" s="1" t="s">
        <v>18</v>
      </c>
      <c r="E8" s="2" t="s">
        <v>24</v>
      </c>
      <c r="F8" s="4">
        <v>932.27</v>
      </c>
      <c r="G8" s="4">
        <v>932.27</v>
      </c>
      <c r="H8" s="4">
        <v>932.27</v>
      </c>
      <c r="I8" s="4">
        <v>932.27</v>
      </c>
      <c r="J8" s="4">
        <v>932.27</v>
      </c>
      <c r="K8" s="4">
        <v>932.27</v>
      </c>
      <c r="L8" s="4">
        <v>932.27</v>
      </c>
      <c r="M8" s="4">
        <v>932.27</v>
      </c>
      <c r="N8" s="4">
        <v>932.27</v>
      </c>
      <c r="O8" s="4">
        <v>932.27</v>
      </c>
      <c r="P8" s="8">
        <v>932.27</v>
      </c>
      <c r="Q8" s="9">
        <v>932.27</v>
      </c>
    </row>
    <row r="9" spans="1:17" x14ac:dyDescent="0.25">
      <c r="A9" s="15">
        <v>8</v>
      </c>
      <c r="B9" s="15">
        <v>1221</v>
      </c>
      <c r="C9" s="15" t="s">
        <v>25</v>
      </c>
      <c r="D9" s="1" t="s">
        <v>18</v>
      </c>
      <c r="E9" s="2" t="s">
        <v>22</v>
      </c>
      <c r="F9" s="4">
        <v>1047.8900000000001</v>
      </c>
      <c r="G9" s="4">
        <v>1047.8900000000001</v>
      </c>
      <c r="H9" s="4">
        <v>1047.8900000000001</v>
      </c>
      <c r="I9" s="4">
        <v>1047.8900000000001</v>
      </c>
      <c r="J9" s="4">
        <v>1047.8900000000001</v>
      </c>
      <c r="K9" s="4">
        <v>1047.8900000000001</v>
      </c>
      <c r="L9" s="4">
        <v>1047.8900000000001</v>
      </c>
      <c r="M9" s="4">
        <v>1047.8900000000001</v>
      </c>
      <c r="N9" s="4">
        <v>1047.8900000000001</v>
      </c>
      <c r="O9" s="4">
        <v>1047.8900000000001</v>
      </c>
      <c r="P9" s="56">
        <v>1047.8900000000001</v>
      </c>
      <c r="Q9" s="10">
        <v>1047.8900000000001</v>
      </c>
    </row>
    <row r="10" spans="1:17" x14ac:dyDescent="0.25">
      <c r="A10" s="15">
        <v>9</v>
      </c>
      <c r="B10" s="15">
        <v>1223</v>
      </c>
      <c r="C10" s="15">
        <v>130036463</v>
      </c>
      <c r="D10" s="1" t="s">
        <v>26</v>
      </c>
      <c r="E10" s="2" t="s">
        <v>22</v>
      </c>
      <c r="F10" s="4">
        <v>617.61</v>
      </c>
      <c r="G10" s="4">
        <v>617.61</v>
      </c>
      <c r="H10" s="4">
        <v>617.61</v>
      </c>
      <c r="I10" s="4">
        <v>617.61</v>
      </c>
      <c r="J10" s="4">
        <v>617.61</v>
      </c>
      <c r="K10" s="4">
        <v>617.61</v>
      </c>
      <c r="L10" s="4">
        <v>617.61</v>
      </c>
      <c r="M10" s="4">
        <v>617.61</v>
      </c>
      <c r="N10" s="4">
        <v>617.61</v>
      </c>
      <c r="O10" s="4">
        <v>617.61</v>
      </c>
      <c r="P10" s="8">
        <v>617.61</v>
      </c>
      <c r="Q10" s="9">
        <v>617.61</v>
      </c>
    </row>
    <row r="11" spans="1:17" x14ac:dyDescent="0.25">
      <c r="A11" s="15">
        <v>10</v>
      </c>
      <c r="B11" s="15">
        <v>1228</v>
      </c>
      <c r="C11" s="15">
        <v>130087535</v>
      </c>
      <c r="D11" s="1" t="s">
        <v>18</v>
      </c>
      <c r="E11" s="2" t="s">
        <v>22</v>
      </c>
      <c r="F11" s="4">
        <v>1047.8900000000001</v>
      </c>
      <c r="G11" s="4">
        <v>1047.8900000000001</v>
      </c>
      <c r="H11" s="4">
        <v>1047.8900000000001</v>
      </c>
      <c r="I11" s="4">
        <v>1047.8900000000001</v>
      </c>
      <c r="J11" s="4">
        <v>1047.8900000000001</v>
      </c>
      <c r="K11" s="4">
        <v>1047.8900000000001</v>
      </c>
      <c r="L11" s="4">
        <v>1047.8900000000001</v>
      </c>
      <c r="M11" s="4">
        <v>1047.8900000000001</v>
      </c>
      <c r="N11" s="4">
        <v>1047.8900000000001</v>
      </c>
      <c r="O11" s="4">
        <v>1047.8900000000001</v>
      </c>
      <c r="P11" s="56">
        <v>1047.8900000000001</v>
      </c>
      <c r="Q11" s="10">
        <v>1047.8900000000001</v>
      </c>
    </row>
    <row r="12" spans="1:17" x14ac:dyDescent="0.25">
      <c r="A12" s="15">
        <v>11</v>
      </c>
      <c r="B12" s="15">
        <v>1229</v>
      </c>
      <c r="C12" s="15">
        <v>130087532</v>
      </c>
      <c r="D12" s="1" t="s">
        <v>18</v>
      </c>
      <c r="E12" s="2" t="s">
        <v>22</v>
      </c>
      <c r="F12" s="4">
        <v>1047.8900000000001</v>
      </c>
      <c r="G12" s="4">
        <v>1047.8900000000001</v>
      </c>
      <c r="H12" s="4">
        <v>1047.8900000000001</v>
      </c>
      <c r="I12" s="4">
        <v>1047.8900000000001</v>
      </c>
      <c r="J12" s="4">
        <v>1047.8900000000001</v>
      </c>
      <c r="K12" s="4">
        <v>1047.8900000000001</v>
      </c>
      <c r="L12" s="4">
        <v>1047.8900000000001</v>
      </c>
      <c r="M12" s="4">
        <v>1047.8900000000001</v>
      </c>
      <c r="N12" s="4">
        <v>1047.8900000000001</v>
      </c>
      <c r="O12" s="4">
        <v>1047.8900000000001</v>
      </c>
      <c r="P12" s="56">
        <v>1047.8900000000001</v>
      </c>
      <c r="Q12" s="10">
        <v>1047.8900000000001</v>
      </c>
    </row>
    <row r="13" spans="1:17" x14ac:dyDescent="0.25">
      <c r="A13" s="15">
        <v>12</v>
      </c>
      <c r="B13" s="15">
        <v>1230</v>
      </c>
      <c r="C13" s="15">
        <v>130087672</v>
      </c>
      <c r="D13" s="1" t="s">
        <v>18</v>
      </c>
      <c r="E13" s="2" t="s">
        <v>22</v>
      </c>
      <c r="F13" s="4">
        <v>1047.8900000000001</v>
      </c>
      <c r="G13" s="4">
        <v>1047.8900000000001</v>
      </c>
      <c r="H13" s="4">
        <v>1047.8900000000001</v>
      </c>
      <c r="I13" s="4">
        <v>1047.8900000000001</v>
      </c>
      <c r="J13" s="4">
        <v>1047.8900000000001</v>
      </c>
      <c r="K13" s="4">
        <v>1047.8900000000001</v>
      </c>
      <c r="L13" s="4">
        <v>1047.8900000000001</v>
      </c>
      <c r="M13" s="4">
        <v>1047.8900000000001</v>
      </c>
      <c r="N13" s="4">
        <v>1047.8900000000001</v>
      </c>
      <c r="O13" s="4">
        <v>1047.8900000000001</v>
      </c>
      <c r="P13" s="56">
        <v>1047.8900000000001</v>
      </c>
      <c r="Q13" s="10">
        <v>1047.8900000000001</v>
      </c>
    </row>
    <row r="14" spans="1:17" x14ac:dyDescent="0.25">
      <c r="A14" s="15">
        <v>13</v>
      </c>
      <c r="B14" s="15">
        <v>1231</v>
      </c>
      <c r="C14" s="15">
        <v>130087521</v>
      </c>
      <c r="D14" s="1" t="s">
        <v>18</v>
      </c>
      <c r="E14" s="2" t="s">
        <v>22</v>
      </c>
      <c r="F14" s="4">
        <v>1047.8900000000001</v>
      </c>
      <c r="G14" s="4">
        <v>1047.8900000000001</v>
      </c>
      <c r="H14" s="4">
        <v>1047.8900000000001</v>
      </c>
      <c r="I14" s="4">
        <v>1047.8900000000001</v>
      </c>
      <c r="J14" s="4">
        <v>1047.8900000000001</v>
      </c>
      <c r="K14" s="4">
        <v>1047.8900000000001</v>
      </c>
      <c r="L14" s="4">
        <v>1047.8900000000001</v>
      </c>
      <c r="M14" s="4">
        <v>1047.8900000000001</v>
      </c>
      <c r="N14" s="4">
        <v>1047.8900000000001</v>
      </c>
      <c r="O14" s="4">
        <v>1047.8900000000001</v>
      </c>
      <c r="P14" s="56">
        <v>1047.8900000000001</v>
      </c>
      <c r="Q14" s="10">
        <v>1047.8900000000001</v>
      </c>
    </row>
    <row r="15" spans="1:17" x14ac:dyDescent="0.25">
      <c r="A15" s="15">
        <v>14</v>
      </c>
      <c r="B15" s="15">
        <v>1232</v>
      </c>
      <c r="C15" s="13">
        <v>130087675</v>
      </c>
      <c r="D15" s="1" t="s">
        <v>18</v>
      </c>
      <c r="E15" s="2" t="s">
        <v>27</v>
      </c>
      <c r="F15" s="4">
        <v>1041.74</v>
      </c>
      <c r="G15" s="4">
        <v>1041.74</v>
      </c>
      <c r="H15" s="4">
        <v>1041.74</v>
      </c>
      <c r="I15" s="4">
        <v>1041.74</v>
      </c>
      <c r="J15" s="4">
        <v>1041.74</v>
      </c>
      <c r="K15" s="4">
        <v>1041.74</v>
      </c>
      <c r="L15" s="4">
        <v>1041.74</v>
      </c>
      <c r="M15" s="4">
        <v>1041.74</v>
      </c>
      <c r="N15" s="4">
        <v>1041.74</v>
      </c>
      <c r="O15" s="4">
        <v>1041.74</v>
      </c>
      <c r="P15" s="56">
        <v>1041.74</v>
      </c>
      <c r="Q15" s="10">
        <v>1041.74</v>
      </c>
    </row>
    <row r="16" spans="1:17" x14ac:dyDescent="0.25">
      <c r="A16" s="15">
        <v>15</v>
      </c>
      <c r="B16" s="15">
        <v>1233</v>
      </c>
      <c r="C16" s="15">
        <v>130087669</v>
      </c>
      <c r="D16" s="1" t="s">
        <v>18</v>
      </c>
      <c r="E16" s="2" t="s">
        <v>22</v>
      </c>
      <c r="F16" s="4">
        <v>1047.8900000000001</v>
      </c>
      <c r="G16" s="4">
        <v>1047.8900000000001</v>
      </c>
      <c r="H16" s="4">
        <v>1047.8900000000001</v>
      </c>
      <c r="I16" s="4">
        <v>1047.8900000000001</v>
      </c>
      <c r="J16" s="4">
        <v>1047.8900000000001</v>
      </c>
      <c r="K16" s="4">
        <v>1047.8900000000001</v>
      </c>
      <c r="L16" s="4">
        <v>1047.8900000000001</v>
      </c>
      <c r="M16" s="4">
        <v>1047.8900000000001</v>
      </c>
      <c r="N16" s="4">
        <v>1047.8900000000001</v>
      </c>
      <c r="O16" s="4">
        <v>1047.8900000000001</v>
      </c>
      <c r="P16" s="56">
        <v>1047.8900000000001</v>
      </c>
      <c r="Q16" s="10">
        <v>1047.8900000000001</v>
      </c>
    </row>
    <row r="17" spans="1:17" x14ac:dyDescent="0.25">
      <c r="A17" s="15">
        <v>16</v>
      </c>
      <c r="B17" s="13">
        <v>1242</v>
      </c>
      <c r="C17" s="55">
        <v>130087526</v>
      </c>
      <c r="D17" s="1" t="s">
        <v>18</v>
      </c>
      <c r="E17" s="2" t="s">
        <v>22</v>
      </c>
      <c r="F17" s="4">
        <v>1047.8900000000001</v>
      </c>
      <c r="G17" s="4">
        <v>1047.8900000000001</v>
      </c>
      <c r="H17" s="4">
        <v>1047.8900000000001</v>
      </c>
      <c r="I17" s="4">
        <v>1047.8900000000001</v>
      </c>
      <c r="J17" s="4">
        <v>1047.8900000000001</v>
      </c>
      <c r="K17" s="4">
        <v>1047.8900000000001</v>
      </c>
      <c r="L17" s="4">
        <v>1047.8900000000001</v>
      </c>
      <c r="M17" s="4">
        <v>1047.8900000000001</v>
      </c>
      <c r="N17" s="4">
        <v>1047.8900000000001</v>
      </c>
      <c r="O17" s="4">
        <v>1047.8900000000001</v>
      </c>
      <c r="P17" s="56">
        <v>1047.8900000000001</v>
      </c>
      <c r="Q17" s="10">
        <v>1047.8900000000001</v>
      </c>
    </row>
    <row r="18" spans="1:17" x14ac:dyDescent="0.25">
      <c r="A18" s="15">
        <v>17</v>
      </c>
      <c r="B18" s="15">
        <v>1245</v>
      </c>
      <c r="C18" s="13">
        <v>130087678</v>
      </c>
      <c r="D18" s="1" t="s">
        <v>18</v>
      </c>
      <c r="E18" s="2" t="s">
        <v>22</v>
      </c>
      <c r="F18" s="4">
        <v>1047.8900000000001</v>
      </c>
      <c r="G18" s="4">
        <v>1047.8900000000001</v>
      </c>
      <c r="H18" s="4">
        <v>1047.8900000000001</v>
      </c>
      <c r="I18" s="4">
        <v>1047.8900000000001</v>
      </c>
      <c r="J18" s="4">
        <v>1047.8900000000001</v>
      </c>
      <c r="K18" s="4">
        <v>1047.8900000000001</v>
      </c>
      <c r="L18" s="4">
        <v>1047.8900000000001</v>
      </c>
      <c r="M18" s="4">
        <v>1047.8900000000001</v>
      </c>
      <c r="N18" s="4">
        <v>1047.8900000000001</v>
      </c>
      <c r="O18" s="4">
        <v>1047.8900000000001</v>
      </c>
      <c r="P18" s="56">
        <v>1047.8900000000001</v>
      </c>
      <c r="Q18" s="10">
        <v>1047.8900000000001</v>
      </c>
    </row>
    <row r="19" spans="1:17" x14ac:dyDescent="0.25">
      <c r="A19" s="15">
        <v>18</v>
      </c>
      <c r="B19" s="15">
        <v>1246</v>
      </c>
      <c r="C19" s="55">
        <v>130082537</v>
      </c>
      <c r="D19" s="1" t="s">
        <v>18</v>
      </c>
      <c r="E19" s="2" t="s">
        <v>24</v>
      </c>
      <c r="F19" s="4">
        <v>932.27</v>
      </c>
      <c r="G19" s="4">
        <v>932.27</v>
      </c>
      <c r="H19" s="4">
        <v>932.27</v>
      </c>
      <c r="I19" s="4">
        <v>932.27</v>
      </c>
      <c r="J19" s="4">
        <v>932.27</v>
      </c>
      <c r="K19" s="4">
        <v>932.27</v>
      </c>
      <c r="L19" s="4">
        <v>932.27</v>
      </c>
      <c r="M19" s="4">
        <v>932.27</v>
      </c>
      <c r="N19" s="4">
        <v>932.27</v>
      </c>
      <c r="O19" s="4">
        <v>932.27</v>
      </c>
      <c r="P19" s="6">
        <v>932.27</v>
      </c>
      <c r="Q19" s="6">
        <v>932.27</v>
      </c>
    </row>
    <row r="20" spans="1:17" x14ac:dyDescent="0.25">
      <c r="A20" s="15">
        <v>19</v>
      </c>
      <c r="B20" s="15">
        <v>1251</v>
      </c>
      <c r="C20" s="15">
        <v>130066021</v>
      </c>
      <c r="D20" s="1" t="s">
        <v>18</v>
      </c>
      <c r="E20" s="2" t="s">
        <v>21</v>
      </c>
      <c r="F20" s="4">
        <v>1096.25</v>
      </c>
      <c r="G20" s="4">
        <v>1096.25</v>
      </c>
      <c r="H20" s="4">
        <v>1096.25</v>
      </c>
      <c r="I20" s="4">
        <v>1096.25</v>
      </c>
      <c r="J20" s="4">
        <v>1096.25</v>
      </c>
      <c r="K20" s="4">
        <v>1096.25</v>
      </c>
      <c r="L20" s="4">
        <v>1096.25</v>
      </c>
      <c r="M20" s="4">
        <v>1096.25</v>
      </c>
      <c r="N20" s="4">
        <v>1096.25</v>
      </c>
      <c r="O20" s="4">
        <v>1096.25</v>
      </c>
      <c r="P20" s="56">
        <v>1096.25</v>
      </c>
      <c r="Q20" s="10">
        <v>1096.25</v>
      </c>
    </row>
    <row r="21" spans="1:17" x14ac:dyDescent="0.25">
      <c r="A21" s="15">
        <v>20</v>
      </c>
      <c r="B21" s="15">
        <v>1252</v>
      </c>
      <c r="C21" s="15">
        <v>130087675</v>
      </c>
      <c r="D21" s="1" t="s">
        <v>18</v>
      </c>
      <c r="E21" s="2" t="s">
        <v>19</v>
      </c>
      <c r="F21" s="4">
        <f t="shared" ref="F21:Q22" si="1">2136.33/2</f>
        <v>1068.165</v>
      </c>
      <c r="G21" s="4">
        <f t="shared" si="1"/>
        <v>1068.165</v>
      </c>
      <c r="H21" s="4">
        <f t="shared" si="1"/>
        <v>1068.165</v>
      </c>
      <c r="I21" s="4">
        <f t="shared" si="1"/>
        <v>1068.165</v>
      </c>
      <c r="J21" s="4">
        <f t="shared" si="1"/>
        <v>1068.165</v>
      </c>
      <c r="K21" s="4">
        <f t="shared" si="1"/>
        <v>1068.165</v>
      </c>
      <c r="L21" s="4">
        <f t="shared" si="1"/>
        <v>1068.165</v>
      </c>
      <c r="M21" s="4">
        <f t="shared" si="1"/>
        <v>1068.165</v>
      </c>
      <c r="N21" s="4">
        <f t="shared" si="1"/>
        <v>1068.165</v>
      </c>
      <c r="O21" s="4">
        <f t="shared" si="1"/>
        <v>1068.165</v>
      </c>
      <c r="P21" s="4">
        <f t="shared" si="1"/>
        <v>1068.165</v>
      </c>
      <c r="Q21" s="4">
        <f t="shared" si="1"/>
        <v>1068.165</v>
      </c>
    </row>
    <row r="22" spans="1:17" x14ac:dyDescent="0.25">
      <c r="A22" s="15">
        <v>21</v>
      </c>
      <c r="B22" s="13">
        <v>1253</v>
      </c>
      <c r="C22" s="15">
        <v>130087529</v>
      </c>
      <c r="D22" s="1" t="s">
        <v>18</v>
      </c>
      <c r="E22" s="2" t="s">
        <v>19</v>
      </c>
      <c r="F22" s="4">
        <f t="shared" si="1"/>
        <v>1068.165</v>
      </c>
      <c r="G22" s="4">
        <f t="shared" si="1"/>
        <v>1068.165</v>
      </c>
      <c r="H22" s="4">
        <f t="shared" si="1"/>
        <v>1068.165</v>
      </c>
      <c r="I22" s="4">
        <f t="shared" si="1"/>
        <v>1068.165</v>
      </c>
      <c r="J22" s="4">
        <f t="shared" si="1"/>
        <v>1068.165</v>
      </c>
      <c r="K22" s="4">
        <f t="shared" si="1"/>
        <v>1068.165</v>
      </c>
      <c r="L22" s="4">
        <f t="shared" si="1"/>
        <v>1068.165</v>
      </c>
      <c r="M22" s="4">
        <f t="shared" si="1"/>
        <v>1068.165</v>
      </c>
      <c r="N22" s="4">
        <f t="shared" si="1"/>
        <v>1068.165</v>
      </c>
      <c r="O22" s="4">
        <f t="shared" si="1"/>
        <v>1068.165</v>
      </c>
      <c r="P22" s="4">
        <f t="shared" si="1"/>
        <v>1068.165</v>
      </c>
      <c r="Q22" s="4">
        <f t="shared" si="1"/>
        <v>1068.165</v>
      </c>
    </row>
    <row r="23" spans="1:17" x14ac:dyDescent="0.25">
      <c r="A23" s="15">
        <v>22</v>
      </c>
      <c r="B23" s="15">
        <v>1255</v>
      </c>
      <c r="C23" s="15">
        <v>130087679</v>
      </c>
      <c r="D23" s="1" t="s">
        <v>18</v>
      </c>
      <c r="E23" s="2" t="s">
        <v>28</v>
      </c>
      <c r="F23" s="4">
        <v>1041.74</v>
      </c>
      <c r="G23" s="4">
        <v>1041.74</v>
      </c>
      <c r="H23" s="4">
        <v>1041.74</v>
      </c>
      <c r="I23" s="4">
        <v>1041.74</v>
      </c>
      <c r="J23" s="4">
        <v>1041.74</v>
      </c>
      <c r="K23" s="4">
        <v>1041.74</v>
      </c>
      <c r="L23" s="4">
        <v>1041.74</v>
      </c>
      <c r="M23" s="4">
        <v>1041.74</v>
      </c>
      <c r="N23" s="4">
        <v>1041.74</v>
      </c>
      <c r="O23" s="4">
        <v>1041.74</v>
      </c>
      <c r="P23" s="29">
        <v>1041.74</v>
      </c>
      <c r="Q23" s="29">
        <v>1041.74</v>
      </c>
    </row>
    <row r="24" spans="1:17" x14ac:dyDescent="0.25">
      <c r="A24" s="15">
        <v>23</v>
      </c>
      <c r="B24" s="15">
        <v>1269</v>
      </c>
      <c r="C24" s="16">
        <v>130066016</v>
      </c>
      <c r="D24" s="1" t="s">
        <v>18</v>
      </c>
      <c r="E24" s="2" t="s">
        <v>24</v>
      </c>
      <c r="F24" s="4">
        <v>932.27</v>
      </c>
      <c r="G24" s="4">
        <v>932.27</v>
      </c>
      <c r="H24" s="4">
        <v>932.27</v>
      </c>
      <c r="I24" s="4">
        <v>932.27</v>
      </c>
      <c r="J24" s="4">
        <v>932.27</v>
      </c>
      <c r="K24" s="4">
        <v>932.27</v>
      </c>
      <c r="L24" s="4">
        <v>932.27</v>
      </c>
      <c r="M24" s="4">
        <v>932.27</v>
      </c>
      <c r="N24" s="4">
        <v>932.27</v>
      </c>
      <c r="O24" s="4">
        <v>932.27</v>
      </c>
      <c r="P24" s="6">
        <v>932.27</v>
      </c>
      <c r="Q24" s="6">
        <v>932.27</v>
      </c>
    </row>
    <row r="25" spans="1:17" x14ac:dyDescent="0.25">
      <c r="A25" s="15">
        <v>24</v>
      </c>
      <c r="B25" s="15">
        <v>1273</v>
      </c>
      <c r="C25" s="51">
        <v>130066020</v>
      </c>
      <c r="D25" s="1" t="s">
        <v>18</v>
      </c>
      <c r="E25" s="2" t="s">
        <v>29</v>
      </c>
      <c r="F25" s="4">
        <v>1041.74</v>
      </c>
      <c r="G25" s="4">
        <v>1041.74</v>
      </c>
      <c r="H25" s="4">
        <v>1041.74</v>
      </c>
      <c r="I25" s="4">
        <v>1041.74</v>
      </c>
      <c r="J25" s="4">
        <v>1041.74</v>
      </c>
      <c r="K25" s="4">
        <v>1041.74</v>
      </c>
      <c r="L25" s="4">
        <v>1041.74</v>
      </c>
      <c r="M25" s="4">
        <v>1041.74</v>
      </c>
      <c r="N25" s="4">
        <v>1041.74</v>
      </c>
      <c r="O25" s="4">
        <v>1041.74</v>
      </c>
      <c r="P25" s="29">
        <v>1041.74</v>
      </c>
      <c r="Q25" s="29">
        <v>1041.74</v>
      </c>
    </row>
    <row r="26" spans="1:17" x14ac:dyDescent="0.25">
      <c r="A26" s="15"/>
      <c r="B26" s="15">
        <v>1278</v>
      </c>
      <c r="C26" s="15">
        <v>130087680</v>
      </c>
      <c r="D26" s="21" t="s">
        <v>18</v>
      </c>
      <c r="E26" s="2" t="s">
        <v>30</v>
      </c>
      <c r="F26" s="4">
        <v>5286.87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 x14ac:dyDescent="0.25">
      <c r="A27" s="15">
        <v>26</v>
      </c>
      <c r="B27" s="15" t="s">
        <v>92</v>
      </c>
      <c r="C27" s="15" t="s">
        <v>31</v>
      </c>
      <c r="D27" s="21" t="s">
        <v>18</v>
      </c>
      <c r="E27" s="2" t="s">
        <v>19</v>
      </c>
      <c r="F27" s="4">
        <f t="shared" ref="F27:Q27" si="2">2143.25/2</f>
        <v>1071.625</v>
      </c>
      <c r="G27" s="4">
        <f t="shared" si="2"/>
        <v>1071.625</v>
      </c>
      <c r="H27" s="4">
        <f t="shared" si="2"/>
        <v>1071.625</v>
      </c>
      <c r="I27" s="4">
        <f t="shared" si="2"/>
        <v>1071.625</v>
      </c>
      <c r="J27" s="4">
        <f t="shared" si="2"/>
        <v>1071.625</v>
      </c>
      <c r="K27" s="4">
        <f t="shared" si="2"/>
        <v>1071.625</v>
      </c>
      <c r="L27" s="4">
        <f t="shared" si="2"/>
        <v>1071.625</v>
      </c>
      <c r="M27" s="4">
        <f t="shared" si="2"/>
        <v>1071.625</v>
      </c>
      <c r="N27" s="4">
        <f t="shared" si="2"/>
        <v>1071.625</v>
      </c>
      <c r="O27" s="4">
        <f t="shared" si="2"/>
        <v>1071.625</v>
      </c>
      <c r="P27" s="4">
        <f t="shared" si="2"/>
        <v>1071.625</v>
      </c>
      <c r="Q27" s="4">
        <f t="shared" si="2"/>
        <v>1071.625</v>
      </c>
    </row>
    <row r="28" spans="1:17" x14ac:dyDescent="0.25">
      <c r="B28" s="50"/>
      <c r="C28" s="50"/>
      <c r="D28" s="50"/>
      <c r="E28" s="52"/>
      <c r="F28" s="54">
        <f>SUM(F3:F27)</f>
        <v>29919.22</v>
      </c>
      <c r="G28" s="54">
        <f t="shared" ref="G28:Q28" si="3">SUM(G3:G27)</f>
        <v>24632.350000000002</v>
      </c>
      <c r="H28" s="54">
        <f t="shared" si="3"/>
        <v>24632.350000000002</v>
      </c>
      <c r="I28" s="54">
        <f t="shared" si="3"/>
        <v>24632.350000000002</v>
      </c>
      <c r="J28" s="54">
        <f t="shared" si="3"/>
        <v>24632.350000000002</v>
      </c>
      <c r="K28" s="54">
        <f t="shared" si="3"/>
        <v>24632.350000000002</v>
      </c>
      <c r="L28" s="54">
        <f t="shared" si="3"/>
        <v>24632.350000000002</v>
      </c>
      <c r="M28" s="54">
        <f t="shared" si="3"/>
        <v>24632.350000000002</v>
      </c>
      <c r="N28" s="54">
        <f t="shared" si="3"/>
        <v>24632.350000000002</v>
      </c>
      <c r="O28" s="54">
        <f t="shared" si="3"/>
        <v>24632.350000000002</v>
      </c>
      <c r="P28" s="54">
        <f t="shared" si="3"/>
        <v>24632.350000000002</v>
      </c>
      <c r="Q28" s="54">
        <f t="shared" si="3"/>
        <v>24632.350000000002</v>
      </c>
    </row>
    <row r="29" spans="1:17" x14ac:dyDescent="0.25">
      <c r="Q29" s="11"/>
    </row>
  </sheetData>
  <autoFilter ref="A2:Q2" xr:uid="{1079F13B-D4AE-464C-B286-11E1D5ACF627}">
    <sortState xmlns:xlrd2="http://schemas.microsoft.com/office/spreadsheetml/2017/richdata2" ref="A3:Q28">
      <sortCondition ref="B2"/>
    </sortState>
  </autoFilter>
  <mergeCells count="1">
    <mergeCell ref="F1:Q1"/>
  </mergeCells>
  <phoneticPr fontId="10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DEAE-E67D-4606-BE2F-DBD37344F7AC}">
  <dimension ref="A1:Q44"/>
  <sheetViews>
    <sheetView zoomScale="110" zoomScaleNormal="110" workbookViewId="0">
      <selection activeCell="N44" sqref="N44"/>
    </sheetView>
  </sheetViews>
  <sheetFormatPr defaultColWidth="8.85546875" defaultRowHeight="12" x14ac:dyDescent="0.2"/>
  <cols>
    <col min="1" max="1" width="8.85546875" style="47"/>
    <col min="2" max="2" width="11.42578125" style="47" customWidth="1"/>
    <col min="3" max="3" width="17" style="13" customWidth="1"/>
    <col min="4" max="4" width="8.85546875" style="19"/>
    <col min="5" max="5" width="39.7109375" style="19" customWidth="1"/>
    <col min="6" max="8" width="11.140625" style="19" bestFit="1" customWidth="1"/>
    <col min="9" max="9" width="10.5703125" style="19" bestFit="1" customWidth="1"/>
    <col min="10" max="10" width="8.85546875" style="19"/>
    <col min="11" max="15" width="11.140625" style="19" bestFit="1" customWidth="1"/>
    <col min="16" max="16384" width="8.85546875" style="19"/>
  </cols>
  <sheetData>
    <row r="1" spans="1:17" x14ac:dyDescent="0.2">
      <c r="A1" s="62" t="s">
        <v>32</v>
      </c>
      <c r="B1" s="64" t="s">
        <v>33</v>
      </c>
      <c r="C1" s="65"/>
      <c r="D1" s="65"/>
      <c r="E1" s="65"/>
      <c r="F1" s="57" t="s">
        <v>0</v>
      </c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x14ac:dyDescent="0.2">
      <c r="A2" s="63"/>
      <c r="B2" s="13" t="s">
        <v>2</v>
      </c>
      <c r="C2" s="13" t="s">
        <v>3</v>
      </c>
      <c r="D2" s="2" t="s">
        <v>34</v>
      </c>
      <c r="E2" s="20" t="s">
        <v>35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5" t="s">
        <v>16</v>
      </c>
    </row>
    <row r="3" spans="1:17" x14ac:dyDescent="0.2">
      <c r="A3" s="21" t="s">
        <v>36</v>
      </c>
      <c r="B3" s="66" t="s">
        <v>37</v>
      </c>
      <c r="C3" s="67"/>
      <c r="D3" s="67"/>
      <c r="E3" s="67"/>
      <c r="F3" s="22"/>
      <c r="G3" s="22"/>
      <c r="H3" s="22"/>
      <c r="I3" s="22"/>
      <c r="J3" s="22"/>
      <c r="K3" s="21"/>
      <c r="L3" s="2"/>
      <c r="M3" s="2"/>
      <c r="N3" s="2"/>
      <c r="O3" s="2"/>
      <c r="P3" s="2"/>
      <c r="Q3" s="23"/>
    </row>
    <row r="4" spans="1:17" x14ac:dyDescent="0.2">
      <c r="A4" s="68"/>
      <c r="B4" s="69"/>
      <c r="C4" s="69"/>
      <c r="D4" s="69"/>
      <c r="E4" s="69"/>
      <c r="F4" s="24"/>
      <c r="G4" s="24"/>
      <c r="H4" s="24"/>
      <c r="I4" s="24"/>
      <c r="J4" s="24"/>
      <c r="K4" s="24"/>
      <c r="L4" s="25"/>
      <c r="M4" s="25"/>
      <c r="N4" s="25"/>
      <c r="O4" s="25"/>
      <c r="P4" s="25"/>
      <c r="Q4" s="26"/>
    </row>
    <row r="5" spans="1:17" x14ac:dyDescent="0.2">
      <c r="A5" s="21">
        <v>1</v>
      </c>
      <c r="B5" s="27">
        <v>1101</v>
      </c>
      <c r="C5" s="1">
        <v>1101</v>
      </c>
      <c r="D5" s="1" t="s">
        <v>38</v>
      </c>
      <c r="E5" s="3" t="s">
        <v>39</v>
      </c>
      <c r="F5" s="29">
        <v>863.79</v>
      </c>
      <c r="G5" s="29">
        <v>863.79</v>
      </c>
      <c r="H5" s="29">
        <v>863.79</v>
      </c>
      <c r="I5" s="29">
        <v>863.79</v>
      </c>
      <c r="J5" s="29">
        <v>863.79</v>
      </c>
      <c r="K5" s="29">
        <v>863.79</v>
      </c>
      <c r="L5" s="29">
        <v>863.79</v>
      </c>
      <c r="M5" s="29">
        <v>863.79</v>
      </c>
      <c r="N5" s="29">
        <v>854.79</v>
      </c>
      <c r="O5" s="29">
        <v>862.79</v>
      </c>
      <c r="P5" s="6">
        <v>862.79</v>
      </c>
      <c r="Q5" s="7">
        <v>862.79</v>
      </c>
    </row>
    <row r="6" spans="1:17" x14ac:dyDescent="0.2">
      <c r="A6" s="21">
        <v>2</v>
      </c>
      <c r="B6" s="27">
        <v>1102</v>
      </c>
      <c r="C6" s="21">
        <v>1102</v>
      </c>
      <c r="D6" s="1" t="s">
        <v>38</v>
      </c>
      <c r="E6" s="3" t="s">
        <v>40</v>
      </c>
      <c r="F6" s="29">
        <v>862.79</v>
      </c>
      <c r="G6" s="29">
        <v>862.79</v>
      </c>
      <c r="H6" s="29">
        <v>862.79</v>
      </c>
      <c r="I6" s="29">
        <v>862.79</v>
      </c>
      <c r="J6" s="29">
        <v>862.79</v>
      </c>
      <c r="K6" s="29">
        <v>862.79</v>
      </c>
      <c r="L6" s="29">
        <v>862.79</v>
      </c>
      <c r="M6" s="29">
        <v>862.79</v>
      </c>
      <c r="N6" s="29">
        <v>862.79</v>
      </c>
      <c r="O6" s="29">
        <v>862.79</v>
      </c>
      <c r="P6" s="8">
        <v>862.79</v>
      </c>
      <c r="Q6" s="9">
        <v>862.79</v>
      </c>
    </row>
    <row r="7" spans="1:17" x14ac:dyDescent="0.2">
      <c r="A7" s="21">
        <v>3</v>
      </c>
      <c r="B7" s="27">
        <v>1103</v>
      </c>
      <c r="C7" s="21">
        <v>1103</v>
      </c>
      <c r="D7" s="1" t="s">
        <v>38</v>
      </c>
      <c r="E7" s="3" t="s">
        <v>41</v>
      </c>
      <c r="F7" s="29">
        <v>862.79</v>
      </c>
      <c r="G7" s="29">
        <v>862.79</v>
      </c>
      <c r="H7" s="29">
        <v>862.79</v>
      </c>
      <c r="I7" s="29">
        <v>862.79</v>
      </c>
      <c r="J7" s="29">
        <v>862.79</v>
      </c>
      <c r="K7" s="29">
        <v>862.79</v>
      </c>
      <c r="L7" s="29">
        <v>862.79</v>
      </c>
      <c r="M7" s="29">
        <v>862.79</v>
      </c>
      <c r="N7" s="29">
        <v>862.79</v>
      </c>
      <c r="O7" s="29">
        <v>862.79</v>
      </c>
      <c r="P7" s="8">
        <v>862.79</v>
      </c>
      <c r="Q7" s="9">
        <v>862.79</v>
      </c>
    </row>
    <row r="8" spans="1:17" x14ac:dyDescent="0.2">
      <c r="A8" s="21">
        <v>4</v>
      </c>
      <c r="B8" s="27">
        <v>1104</v>
      </c>
      <c r="C8" s="21">
        <v>1104</v>
      </c>
      <c r="D8" s="1" t="s">
        <v>38</v>
      </c>
      <c r="E8" s="3" t="s">
        <v>42</v>
      </c>
      <c r="F8" s="29">
        <v>862.79</v>
      </c>
      <c r="G8" s="29">
        <v>862.79</v>
      </c>
      <c r="H8" s="29">
        <v>862.79</v>
      </c>
      <c r="I8" s="29">
        <v>862.79</v>
      </c>
      <c r="J8" s="29">
        <v>862.79</v>
      </c>
      <c r="K8" s="29">
        <v>862.79</v>
      </c>
      <c r="L8" s="29">
        <v>862.79</v>
      </c>
      <c r="M8" s="29">
        <v>862.79</v>
      </c>
      <c r="N8" s="29">
        <v>862.79</v>
      </c>
      <c r="O8" s="29">
        <v>862.79</v>
      </c>
      <c r="P8" s="8">
        <v>862.79</v>
      </c>
      <c r="Q8" s="9">
        <v>862.79</v>
      </c>
    </row>
    <row r="9" spans="1:17" x14ac:dyDescent="0.2">
      <c r="A9" s="21">
        <v>5</v>
      </c>
      <c r="B9" s="27">
        <v>1105</v>
      </c>
      <c r="C9" s="21">
        <v>1105</v>
      </c>
      <c r="D9" s="1" t="s">
        <v>38</v>
      </c>
      <c r="E9" s="3" t="s">
        <v>43</v>
      </c>
      <c r="F9" s="29">
        <v>862.79</v>
      </c>
      <c r="G9" s="29">
        <v>862.79</v>
      </c>
      <c r="H9" s="29">
        <v>862.79</v>
      </c>
      <c r="I9" s="29">
        <v>862.79</v>
      </c>
      <c r="J9" s="29">
        <v>862.79</v>
      </c>
      <c r="K9" s="29">
        <v>862.79</v>
      </c>
      <c r="L9" s="29">
        <v>862.79</v>
      </c>
      <c r="M9" s="29">
        <v>862.79</v>
      </c>
      <c r="N9" s="29">
        <v>862.79</v>
      </c>
      <c r="O9" s="29">
        <v>862.79</v>
      </c>
      <c r="P9" s="8">
        <v>862.79</v>
      </c>
      <c r="Q9" s="9">
        <v>862.79</v>
      </c>
    </row>
    <row r="10" spans="1:17" x14ac:dyDescent="0.2">
      <c r="A10" s="21">
        <v>6</v>
      </c>
      <c r="B10" s="27">
        <v>1106</v>
      </c>
      <c r="C10" s="21">
        <v>1106</v>
      </c>
      <c r="D10" s="1" t="s">
        <v>38</v>
      </c>
      <c r="E10" s="3" t="s">
        <v>44</v>
      </c>
      <c r="F10" s="29">
        <v>862.79</v>
      </c>
      <c r="G10" s="29">
        <v>862.79</v>
      </c>
      <c r="H10" s="29">
        <v>862.79</v>
      </c>
      <c r="I10" s="29">
        <v>862.79</v>
      </c>
      <c r="J10" s="29">
        <v>862.79</v>
      </c>
      <c r="K10" s="29">
        <v>862.79</v>
      </c>
      <c r="L10" s="29">
        <v>862.79</v>
      </c>
      <c r="M10" s="29">
        <v>862.79</v>
      </c>
      <c r="N10" s="29">
        <v>862.79</v>
      </c>
      <c r="O10" s="29">
        <v>862.79</v>
      </c>
      <c r="P10" s="8">
        <v>862.79</v>
      </c>
      <c r="Q10" s="9">
        <v>862.79</v>
      </c>
    </row>
    <row r="11" spans="1:17" x14ac:dyDescent="0.2">
      <c r="A11" s="21">
        <v>7</v>
      </c>
      <c r="B11" s="27">
        <v>1107</v>
      </c>
      <c r="C11" s="21">
        <v>1107</v>
      </c>
      <c r="D11" s="1" t="s">
        <v>38</v>
      </c>
      <c r="E11" s="3" t="s">
        <v>45</v>
      </c>
      <c r="F11" s="29">
        <v>862.79</v>
      </c>
      <c r="G11" s="29">
        <v>862.79</v>
      </c>
      <c r="H11" s="29">
        <v>862.79</v>
      </c>
      <c r="I11" s="29">
        <v>862.79</v>
      </c>
      <c r="J11" s="29">
        <v>862.79</v>
      </c>
      <c r="K11" s="29">
        <v>862.79</v>
      </c>
      <c r="L11" s="29">
        <v>862.79</v>
      </c>
      <c r="M11" s="29">
        <v>862.79</v>
      </c>
      <c r="N11" s="29">
        <v>862.79</v>
      </c>
      <c r="O11" s="29">
        <v>862.79</v>
      </c>
      <c r="P11" s="8">
        <v>862.79</v>
      </c>
      <c r="Q11" s="9">
        <v>862.79</v>
      </c>
    </row>
    <row r="12" spans="1:17" x14ac:dyDescent="0.2">
      <c r="A12" s="21">
        <v>8</v>
      </c>
      <c r="B12" s="27">
        <v>1108</v>
      </c>
      <c r="C12" s="21">
        <v>1108</v>
      </c>
      <c r="D12" s="1" t="s">
        <v>38</v>
      </c>
      <c r="E12" s="3" t="s">
        <v>46</v>
      </c>
      <c r="F12" s="29">
        <v>862.79</v>
      </c>
      <c r="G12" s="29">
        <v>862.79</v>
      </c>
      <c r="H12" s="29">
        <v>862.79</v>
      </c>
      <c r="I12" s="29">
        <v>862.79</v>
      </c>
      <c r="J12" s="29">
        <v>862.79</v>
      </c>
      <c r="K12" s="29">
        <v>862.79</v>
      </c>
      <c r="L12" s="29">
        <v>862.79</v>
      </c>
      <c r="M12" s="29">
        <v>862.79</v>
      </c>
      <c r="N12" s="29">
        <v>862.79</v>
      </c>
      <c r="O12" s="29">
        <v>862.79</v>
      </c>
      <c r="P12" s="8">
        <v>862.79</v>
      </c>
      <c r="Q12" s="9">
        <v>862.79</v>
      </c>
    </row>
    <row r="13" spans="1:17" x14ac:dyDescent="0.2">
      <c r="A13" s="21">
        <v>9</v>
      </c>
      <c r="B13" s="27">
        <v>1109</v>
      </c>
      <c r="C13" s="21">
        <v>1109</v>
      </c>
      <c r="D13" s="1" t="s">
        <v>38</v>
      </c>
      <c r="E13" s="3" t="s">
        <v>47</v>
      </c>
      <c r="F13" s="29">
        <v>862.79</v>
      </c>
      <c r="G13" s="29">
        <v>862.79</v>
      </c>
      <c r="H13" s="29">
        <v>862.79</v>
      </c>
      <c r="I13" s="29">
        <v>862.79</v>
      </c>
      <c r="J13" s="29">
        <v>862.79</v>
      </c>
      <c r="K13" s="29">
        <v>862.79</v>
      </c>
      <c r="L13" s="29">
        <v>862.79</v>
      </c>
      <c r="M13" s="29">
        <v>862.79</v>
      </c>
      <c r="N13" s="29">
        <v>862.79</v>
      </c>
      <c r="O13" s="29">
        <v>862.79</v>
      </c>
      <c r="P13" s="8">
        <v>862.79</v>
      </c>
      <c r="Q13" s="9">
        <v>862.79</v>
      </c>
    </row>
    <row r="14" spans="1:17" x14ac:dyDescent="0.2">
      <c r="A14" s="21">
        <v>10</v>
      </c>
      <c r="B14" s="27">
        <v>1110</v>
      </c>
      <c r="C14" s="21">
        <v>1110</v>
      </c>
      <c r="D14" s="1" t="s">
        <v>38</v>
      </c>
      <c r="E14" s="3" t="s">
        <v>48</v>
      </c>
      <c r="F14" s="29">
        <v>862.8</v>
      </c>
      <c r="G14" s="29">
        <v>862.8</v>
      </c>
      <c r="H14" s="29">
        <v>862.8</v>
      </c>
      <c r="I14" s="29">
        <v>862.8</v>
      </c>
      <c r="J14" s="29">
        <v>862.8</v>
      </c>
      <c r="K14" s="29">
        <v>862.8</v>
      </c>
      <c r="L14" s="29">
        <v>862.8</v>
      </c>
      <c r="M14" s="29">
        <v>862.8</v>
      </c>
      <c r="N14" s="29">
        <v>862.8</v>
      </c>
      <c r="O14" s="29">
        <v>862.8</v>
      </c>
      <c r="P14" s="8">
        <v>862.8</v>
      </c>
      <c r="Q14" s="9">
        <v>862.8</v>
      </c>
    </row>
    <row r="15" spans="1:17" x14ac:dyDescent="0.2">
      <c r="A15" s="21">
        <v>11</v>
      </c>
      <c r="B15" s="27">
        <v>1111</v>
      </c>
      <c r="C15" s="1" t="s">
        <v>49</v>
      </c>
      <c r="D15" s="1" t="s">
        <v>50</v>
      </c>
      <c r="E15" s="3" t="s">
        <v>51</v>
      </c>
      <c r="F15" s="29">
        <v>767.95</v>
      </c>
      <c r="G15" s="29">
        <v>767.95</v>
      </c>
      <c r="H15" s="29">
        <v>767.95</v>
      </c>
      <c r="I15" s="29">
        <v>767.95</v>
      </c>
      <c r="J15" s="29">
        <v>767.95</v>
      </c>
      <c r="K15" s="29">
        <v>767.95</v>
      </c>
      <c r="L15" s="29">
        <v>767.95</v>
      </c>
      <c r="M15" s="29">
        <v>767.95</v>
      </c>
      <c r="N15" s="29">
        <v>767.95</v>
      </c>
      <c r="O15" s="29">
        <v>767.95</v>
      </c>
      <c r="P15" s="8">
        <v>767.95</v>
      </c>
      <c r="Q15" s="9">
        <v>767.95</v>
      </c>
    </row>
    <row r="16" spans="1:17" x14ac:dyDescent="0.2">
      <c r="A16" s="21">
        <v>12</v>
      </c>
      <c r="B16" s="27">
        <v>1112</v>
      </c>
      <c r="C16" s="1" t="s">
        <v>52</v>
      </c>
      <c r="D16" s="1" t="s">
        <v>50</v>
      </c>
      <c r="E16" s="3" t="s">
        <v>53</v>
      </c>
      <c r="F16" s="29">
        <v>789.5</v>
      </c>
      <c r="G16" s="29">
        <v>789.5</v>
      </c>
      <c r="H16" s="29">
        <v>789.5</v>
      </c>
      <c r="I16" s="29">
        <v>789.5</v>
      </c>
      <c r="J16" s="29">
        <v>789.5</v>
      </c>
      <c r="K16" s="29">
        <v>789.5</v>
      </c>
      <c r="L16" s="29">
        <v>789.5</v>
      </c>
      <c r="M16" s="29">
        <v>789.5</v>
      </c>
      <c r="N16" s="29">
        <v>789.5</v>
      </c>
      <c r="O16" s="29">
        <v>789.5</v>
      </c>
      <c r="P16" s="8">
        <v>789.5</v>
      </c>
      <c r="Q16" s="9">
        <v>789.5</v>
      </c>
    </row>
    <row r="17" spans="1:17" x14ac:dyDescent="0.2">
      <c r="A17" s="21">
        <v>13</v>
      </c>
      <c r="B17" s="27">
        <v>1113</v>
      </c>
      <c r="C17" s="27"/>
      <c r="D17" s="1" t="s">
        <v>50</v>
      </c>
      <c r="E17" s="3" t="s">
        <v>54</v>
      </c>
      <c r="F17" s="29">
        <v>789.5</v>
      </c>
      <c r="G17" s="29">
        <v>789.5</v>
      </c>
      <c r="H17" s="29">
        <v>789.5</v>
      </c>
      <c r="I17" s="29">
        <v>789.5</v>
      </c>
      <c r="J17" s="29">
        <v>789.5</v>
      </c>
      <c r="K17" s="29">
        <v>789.5</v>
      </c>
      <c r="L17" s="29">
        <v>789.5</v>
      </c>
      <c r="M17" s="29">
        <v>789.5</v>
      </c>
      <c r="N17" s="29">
        <v>789.5</v>
      </c>
      <c r="O17" s="29">
        <v>789.5</v>
      </c>
      <c r="P17" s="8">
        <v>789.5</v>
      </c>
      <c r="Q17" s="9">
        <v>789.5</v>
      </c>
    </row>
    <row r="18" spans="1:17" x14ac:dyDescent="0.2">
      <c r="A18" s="21">
        <v>14</v>
      </c>
      <c r="B18" s="27">
        <v>1114</v>
      </c>
      <c r="C18" s="27"/>
      <c r="D18" s="1" t="s">
        <v>50</v>
      </c>
      <c r="E18" s="3" t="s">
        <v>55</v>
      </c>
      <c r="F18" s="29">
        <v>789.5</v>
      </c>
      <c r="G18" s="29">
        <v>789.5</v>
      </c>
      <c r="H18" s="29">
        <v>789.5</v>
      </c>
      <c r="I18" s="29">
        <v>789.5</v>
      </c>
      <c r="J18" s="29">
        <v>789.5</v>
      </c>
      <c r="K18" s="29">
        <v>789.5</v>
      </c>
      <c r="L18" s="29">
        <v>789.5</v>
      </c>
      <c r="M18" s="29">
        <v>789.5</v>
      </c>
      <c r="N18" s="29">
        <v>789.5</v>
      </c>
      <c r="O18" s="29">
        <v>789.5</v>
      </c>
      <c r="P18" s="8">
        <v>789.5</v>
      </c>
      <c r="Q18" s="9">
        <v>789.5</v>
      </c>
    </row>
    <row r="19" spans="1:17" x14ac:dyDescent="0.2">
      <c r="A19" s="21">
        <v>15</v>
      </c>
      <c r="B19" s="27">
        <v>1115</v>
      </c>
      <c r="C19" s="27"/>
      <c r="D19" s="1" t="s">
        <v>56</v>
      </c>
      <c r="E19" s="3" t="s">
        <v>39</v>
      </c>
      <c r="F19" s="29">
        <v>789.5</v>
      </c>
      <c r="G19" s="29">
        <v>789.5</v>
      </c>
      <c r="H19" s="29">
        <v>789.5</v>
      </c>
      <c r="I19" s="29">
        <v>789.5</v>
      </c>
      <c r="J19" s="29">
        <v>789.5</v>
      </c>
      <c r="K19" s="29">
        <v>789.5</v>
      </c>
      <c r="L19" s="29">
        <v>789.5</v>
      </c>
      <c r="M19" s="29">
        <v>789.5</v>
      </c>
      <c r="N19" s="29">
        <v>789.5</v>
      </c>
      <c r="O19" s="29">
        <v>789.5</v>
      </c>
      <c r="P19" s="8">
        <v>789.5</v>
      </c>
      <c r="Q19" s="9">
        <v>789.5</v>
      </c>
    </row>
    <row r="20" spans="1:17" x14ac:dyDescent="0.2">
      <c r="A20" s="21">
        <v>16</v>
      </c>
      <c r="B20" s="48">
        <v>1116</v>
      </c>
      <c r="C20" s="15" t="s">
        <v>57</v>
      </c>
      <c r="D20" s="1" t="s">
        <v>56</v>
      </c>
      <c r="E20" s="3" t="s">
        <v>58</v>
      </c>
      <c r="F20" s="29">
        <v>789.5</v>
      </c>
      <c r="G20" s="29">
        <v>789.5</v>
      </c>
      <c r="H20" s="29">
        <v>789.5</v>
      </c>
      <c r="I20" s="29">
        <v>789.5</v>
      </c>
      <c r="J20" s="29">
        <v>789.5</v>
      </c>
      <c r="K20" s="29">
        <v>789.5</v>
      </c>
      <c r="L20" s="29">
        <v>789.5</v>
      </c>
      <c r="M20" s="29">
        <v>789.5</v>
      </c>
      <c r="N20" s="29">
        <v>789.5</v>
      </c>
      <c r="O20" s="29">
        <v>789.5</v>
      </c>
      <c r="P20" s="8">
        <v>789.5</v>
      </c>
      <c r="Q20" s="9">
        <v>789.5</v>
      </c>
    </row>
    <row r="21" spans="1:17" x14ac:dyDescent="0.2">
      <c r="A21" s="21">
        <v>17</v>
      </c>
      <c r="B21" s="27">
        <v>1117</v>
      </c>
      <c r="C21" s="27"/>
      <c r="D21" s="1" t="s">
        <v>56</v>
      </c>
      <c r="E21" s="3" t="s">
        <v>59</v>
      </c>
      <c r="F21" s="29">
        <v>789.5</v>
      </c>
      <c r="G21" s="29">
        <v>789.5</v>
      </c>
      <c r="H21" s="29">
        <v>789.5</v>
      </c>
      <c r="I21" s="29">
        <v>789.5</v>
      </c>
      <c r="J21" s="29">
        <v>789.5</v>
      </c>
      <c r="K21" s="29">
        <v>789.5</v>
      </c>
      <c r="L21" s="29">
        <v>789.5</v>
      </c>
      <c r="M21" s="29">
        <v>789.5</v>
      </c>
      <c r="N21" s="29">
        <v>789.5</v>
      </c>
      <c r="O21" s="29">
        <v>789.5</v>
      </c>
      <c r="P21" s="8">
        <v>789.5</v>
      </c>
      <c r="Q21" s="9">
        <v>789.5</v>
      </c>
    </row>
    <row r="22" spans="1:17" x14ac:dyDescent="0.2">
      <c r="A22" s="21">
        <v>18</v>
      </c>
      <c r="B22" s="27">
        <v>1122</v>
      </c>
      <c r="C22" s="15" t="s">
        <v>60</v>
      </c>
      <c r="D22" s="1" t="s">
        <v>61</v>
      </c>
      <c r="E22" s="3" t="s">
        <v>62</v>
      </c>
      <c r="F22" s="29">
        <v>789.5</v>
      </c>
      <c r="G22" s="29">
        <v>789.5</v>
      </c>
      <c r="H22" s="29">
        <v>789.5</v>
      </c>
      <c r="I22" s="29">
        <v>789.5</v>
      </c>
      <c r="J22" s="29">
        <v>789.5</v>
      </c>
      <c r="K22" s="29">
        <v>789.5</v>
      </c>
      <c r="L22" s="29">
        <v>789.5</v>
      </c>
      <c r="M22" s="29">
        <v>789.5</v>
      </c>
      <c r="N22" s="29">
        <v>789.5</v>
      </c>
      <c r="O22" s="29">
        <v>789.5</v>
      </c>
      <c r="P22" s="8">
        <v>789.5</v>
      </c>
      <c r="Q22" s="9">
        <v>789.5</v>
      </c>
    </row>
    <row r="23" spans="1:17" x14ac:dyDescent="0.2">
      <c r="A23" s="21">
        <v>19</v>
      </c>
      <c r="B23" s="27">
        <v>1123</v>
      </c>
      <c r="C23" s="17" t="s">
        <v>63</v>
      </c>
      <c r="D23" s="1" t="s">
        <v>61</v>
      </c>
      <c r="E23" s="3" t="s">
        <v>64</v>
      </c>
      <c r="F23" s="29">
        <v>789.5</v>
      </c>
      <c r="G23" s="29">
        <v>789.5</v>
      </c>
      <c r="H23" s="29">
        <v>789.5</v>
      </c>
      <c r="I23" s="29">
        <v>789.5</v>
      </c>
      <c r="J23" s="29">
        <v>789.5</v>
      </c>
      <c r="K23" s="29">
        <v>789.5</v>
      </c>
      <c r="L23" s="29">
        <v>789.5</v>
      </c>
      <c r="M23" s="29">
        <v>789.5</v>
      </c>
      <c r="N23" s="29">
        <v>789.5</v>
      </c>
      <c r="O23" s="29">
        <v>789.5</v>
      </c>
      <c r="P23" s="8">
        <v>789.5</v>
      </c>
      <c r="Q23" s="9">
        <v>789.5</v>
      </c>
    </row>
    <row r="24" spans="1:17" x14ac:dyDescent="0.2">
      <c r="A24" s="21">
        <v>20</v>
      </c>
      <c r="B24" s="27">
        <v>1124</v>
      </c>
      <c r="C24" s="28"/>
      <c r="D24" s="1" t="s">
        <v>61</v>
      </c>
      <c r="E24" s="3" t="s">
        <v>65</v>
      </c>
      <c r="F24" s="29">
        <v>789.5</v>
      </c>
      <c r="G24" s="29">
        <v>789.5</v>
      </c>
      <c r="H24" s="29">
        <v>789.5</v>
      </c>
      <c r="I24" s="29">
        <v>789.5</v>
      </c>
      <c r="J24" s="29">
        <v>789.5</v>
      </c>
      <c r="K24" s="29">
        <v>789.5</v>
      </c>
      <c r="L24" s="29">
        <v>789.5</v>
      </c>
      <c r="M24" s="29">
        <v>789.5</v>
      </c>
      <c r="N24" s="29">
        <v>789.5</v>
      </c>
      <c r="O24" s="29">
        <v>789.5</v>
      </c>
      <c r="P24" s="8">
        <v>789.5</v>
      </c>
      <c r="Q24" s="9">
        <v>789.5</v>
      </c>
    </row>
    <row r="25" spans="1:17" x14ac:dyDescent="0.2">
      <c r="A25" s="21">
        <v>21</v>
      </c>
      <c r="B25" s="27">
        <v>1118</v>
      </c>
      <c r="C25" s="28"/>
      <c r="D25" s="1" t="s">
        <v>66</v>
      </c>
      <c r="E25" s="3" t="s">
        <v>67</v>
      </c>
      <c r="F25" s="29">
        <v>789.5</v>
      </c>
      <c r="G25" s="29">
        <v>789.5</v>
      </c>
      <c r="H25" s="29">
        <v>789.5</v>
      </c>
      <c r="I25" s="29">
        <v>789.5</v>
      </c>
      <c r="J25" s="29">
        <v>789.5</v>
      </c>
      <c r="K25" s="29">
        <v>789.5</v>
      </c>
      <c r="L25" s="29">
        <v>789.5</v>
      </c>
      <c r="M25" s="29">
        <v>789.5</v>
      </c>
      <c r="N25" s="29">
        <v>789.5</v>
      </c>
      <c r="O25" s="29">
        <v>789.5</v>
      </c>
      <c r="P25" s="8">
        <v>789.5</v>
      </c>
      <c r="Q25" s="9">
        <v>789.5</v>
      </c>
    </row>
    <row r="26" spans="1:17" x14ac:dyDescent="0.2">
      <c r="A26" s="21">
        <v>22</v>
      </c>
      <c r="B26" s="27">
        <v>1119</v>
      </c>
      <c r="C26" s="27"/>
      <c r="D26" s="21" t="s">
        <v>66</v>
      </c>
      <c r="E26" s="3" t="s">
        <v>68</v>
      </c>
      <c r="F26" s="30">
        <v>789.5</v>
      </c>
      <c r="G26" s="30">
        <v>789.5</v>
      </c>
      <c r="H26" s="30">
        <v>789.5</v>
      </c>
      <c r="I26" s="30">
        <v>789.5</v>
      </c>
      <c r="J26" s="30">
        <v>789.5</v>
      </c>
      <c r="K26" s="30">
        <v>789.5</v>
      </c>
      <c r="L26" s="30">
        <v>789.5</v>
      </c>
      <c r="M26" s="30">
        <v>789.5</v>
      </c>
      <c r="N26" s="30">
        <v>789.5</v>
      </c>
      <c r="O26" s="30">
        <v>789.5</v>
      </c>
      <c r="P26" s="31">
        <v>789.5</v>
      </c>
      <c r="Q26" s="32">
        <v>789.5</v>
      </c>
    </row>
    <row r="27" spans="1:17" x14ac:dyDescent="0.2">
      <c r="A27" s="21">
        <v>23</v>
      </c>
      <c r="B27" s="33">
        <v>1120</v>
      </c>
      <c r="C27" s="34"/>
      <c r="D27" s="35" t="s">
        <v>69</v>
      </c>
      <c r="E27" s="3" t="s">
        <v>70</v>
      </c>
      <c r="F27" s="30">
        <v>810.61</v>
      </c>
      <c r="G27" s="30">
        <v>810.61</v>
      </c>
      <c r="H27" s="30">
        <v>810.61</v>
      </c>
      <c r="I27" s="30">
        <v>810.61</v>
      </c>
      <c r="J27" s="30">
        <v>810.61</v>
      </c>
      <c r="K27" s="30">
        <v>810.61</v>
      </c>
      <c r="L27" s="30">
        <v>810.61</v>
      </c>
      <c r="M27" s="30">
        <v>810.61</v>
      </c>
      <c r="N27" s="30">
        <v>810.61</v>
      </c>
      <c r="O27" s="30">
        <v>810.61</v>
      </c>
      <c r="P27" s="36">
        <v>810.61</v>
      </c>
      <c r="Q27" s="37">
        <v>810.61</v>
      </c>
    </row>
    <row r="28" spans="1:17" x14ac:dyDescent="0.2">
      <c r="A28" s="21">
        <v>24</v>
      </c>
      <c r="B28" s="27">
        <v>1121</v>
      </c>
      <c r="C28" s="34"/>
      <c r="D28" s="21" t="s">
        <v>69</v>
      </c>
      <c r="E28" s="3" t="s">
        <v>71</v>
      </c>
      <c r="F28" s="30">
        <v>810.61</v>
      </c>
      <c r="G28" s="30">
        <v>810.61</v>
      </c>
      <c r="H28" s="30">
        <v>810.61</v>
      </c>
      <c r="I28" s="30">
        <v>810.61</v>
      </c>
      <c r="J28" s="30">
        <v>810.61</v>
      </c>
      <c r="K28" s="30">
        <v>810.61</v>
      </c>
      <c r="L28" s="30">
        <v>810.61</v>
      </c>
      <c r="M28" s="30">
        <v>810.61</v>
      </c>
      <c r="N28" s="30">
        <v>810.61</v>
      </c>
      <c r="O28" s="30">
        <v>810.61</v>
      </c>
      <c r="P28" s="36">
        <v>810.61</v>
      </c>
      <c r="Q28" s="37">
        <v>810.61</v>
      </c>
    </row>
    <row r="29" spans="1:17" x14ac:dyDescent="0.2">
      <c r="A29" s="21">
        <v>25</v>
      </c>
      <c r="B29" s="33">
        <v>1125</v>
      </c>
      <c r="C29" s="38"/>
      <c r="D29" s="39" t="s">
        <v>72</v>
      </c>
      <c r="E29" s="3" t="s">
        <v>73</v>
      </c>
      <c r="F29" s="30">
        <v>801.73</v>
      </c>
      <c r="G29" s="30">
        <v>801.73</v>
      </c>
      <c r="H29" s="30">
        <v>801.73</v>
      </c>
      <c r="I29" s="30">
        <v>801.73</v>
      </c>
      <c r="J29" s="30">
        <v>801.73</v>
      </c>
      <c r="K29" s="30">
        <v>801.73</v>
      </c>
      <c r="L29" s="30">
        <v>801.73</v>
      </c>
      <c r="M29" s="30">
        <v>801.73</v>
      </c>
      <c r="N29" s="30">
        <v>801.73</v>
      </c>
      <c r="O29" s="30">
        <v>801.73</v>
      </c>
      <c r="P29" s="36">
        <v>801.73</v>
      </c>
      <c r="Q29" s="37">
        <v>801.73</v>
      </c>
    </row>
    <row r="30" spans="1:17" x14ac:dyDescent="0.2">
      <c r="A30" s="21">
        <v>26</v>
      </c>
      <c r="B30" s="28">
        <v>1126</v>
      </c>
      <c r="C30" s="40"/>
      <c r="D30" s="35" t="s">
        <v>74</v>
      </c>
      <c r="E30" s="41" t="s">
        <v>75</v>
      </c>
      <c r="F30" s="30">
        <f>1523.52/2</f>
        <v>761.76</v>
      </c>
      <c r="G30" s="30">
        <f t="shared" ref="G30:M31" si="0">1523.52/2</f>
        <v>761.76</v>
      </c>
      <c r="H30" s="30">
        <f t="shared" si="0"/>
        <v>761.76</v>
      </c>
      <c r="I30" s="30">
        <f t="shared" si="0"/>
        <v>761.76</v>
      </c>
      <c r="J30" s="30">
        <f t="shared" si="0"/>
        <v>761.76</v>
      </c>
      <c r="K30" s="30">
        <f t="shared" si="0"/>
        <v>761.76</v>
      </c>
      <c r="L30" s="30">
        <f t="shared" si="0"/>
        <v>761.76</v>
      </c>
      <c r="M30" s="30">
        <f t="shared" si="0"/>
        <v>761.76</v>
      </c>
      <c r="N30" s="30">
        <f>2273.49/2</f>
        <v>1136.7449999999999</v>
      </c>
      <c r="O30" s="30">
        <f>1606.85/2</f>
        <v>803.42499999999995</v>
      </c>
      <c r="P30" s="30">
        <f t="shared" ref="P30:Q31" si="1">1606.85/2</f>
        <v>803.42499999999995</v>
      </c>
      <c r="Q30" s="30">
        <f t="shared" si="1"/>
        <v>803.42499999999995</v>
      </c>
    </row>
    <row r="31" spans="1:17" x14ac:dyDescent="0.2">
      <c r="A31" s="21">
        <v>27</v>
      </c>
      <c r="B31" s="28">
        <v>1127</v>
      </c>
      <c r="C31" s="40"/>
      <c r="D31" s="35" t="s">
        <v>74</v>
      </c>
      <c r="E31" s="41" t="s">
        <v>75</v>
      </c>
      <c r="F31" s="30">
        <f>1523.52/2</f>
        <v>761.76</v>
      </c>
      <c r="G31" s="30">
        <f t="shared" si="0"/>
        <v>761.76</v>
      </c>
      <c r="H31" s="30">
        <f t="shared" si="0"/>
        <v>761.76</v>
      </c>
      <c r="I31" s="30">
        <f t="shared" si="0"/>
        <v>761.76</v>
      </c>
      <c r="J31" s="30">
        <f t="shared" si="0"/>
        <v>761.76</v>
      </c>
      <c r="K31" s="30">
        <f t="shared" si="0"/>
        <v>761.76</v>
      </c>
      <c r="L31" s="30">
        <f t="shared" si="0"/>
        <v>761.76</v>
      </c>
      <c r="M31" s="30">
        <f t="shared" si="0"/>
        <v>761.76</v>
      </c>
      <c r="N31" s="30">
        <f>2273.49/2</f>
        <v>1136.7449999999999</v>
      </c>
      <c r="O31" s="30">
        <f>1606.85/2</f>
        <v>803.42499999999995</v>
      </c>
      <c r="P31" s="30">
        <f t="shared" si="1"/>
        <v>803.42499999999995</v>
      </c>
      <c r="Q31" s="30">
        <f t="shared" si="1"/>
        <v>803.42499999999995</v>
      </c>
    </row>
    <row r="32" spans="1:17" x14ac:dyDescent="0.2">
      <c r="A32" s="21">
        <v>28</v>
      </c>
      <c r="B32" s="27">
        <v>1128</v>
      </c>
      <c r="C32" s="27"/>
      <c r="D32" s="21" t="s">
        <v>74</v>
      </c>
      <c r="E32" s="41" t="s">
        <v>76</v>
      </c>
      <c r="F32" s="30">
        <v>788.44</v>
      </c>
      <c r="G32" s="30">
        <v>788.44</v>
      </c>
      <c r="H32" s="30">
        <v>788.44</v>
      </c>
      <c r="I32" s="30">
        <v>788.44</v>
      </c>
      <c r="J32" s="30">
        <v>788.44</v>
      </c>
      <c r="K32" s="30">
        <v>788.44</v>
      </c>
      <c r="L32" s="30">
        <v>788.44</v>
      </c>
      <c r="M32" s="30">
        <v>788.44</v>
      </c>
      <c r="N32" s="30">
        <v>788.44</v>
      </c>
      <c r="O32" s="30">
        <v>788.44</v>
      </c>
      <c r="P32" s="36">
        <v>788.44</v>
      </c>
      <c r="Q32" s="37">
        <v>788.44</v>
      </c>
    </row>
    <row r="33" spans="1:17" x14ac:dyDescent="0.2">
      <c r="A33" s="21">
        <v>29</v>
      </c>
      <c r="B33" s="33">
        <v>1129</v>
      </c>
      <c r="C33" s="34"/>
      <c r="D33" s="35" t="s">
        <v>77</v>
      </c>
      <c r="E33" s="3" t="s">
        <v>78</v>
      </c>
      <c r="F33" s="30"/>
      <c r="G33" s="30"/>
      <c r="H33" s="30"/>
      <c r="I33" s="30"/>
      <c r="J33" s="30">
        <v>788.44</v>
      </c>
      <c r="K33" s="30">
        <v>788.44</v>
      </c>
      <c r="L33" s="30">
        <v>788.44</v>
      </c>
      <c r="M33" s="30">
        <v>788.44</v>
      </c>
      <c r="N33" s="30">
        <v>788.44</v>
      </c>
      <c r="O33" s="30">
        <v>788.44</v>
      </c>
      <c r="P33" s="36">
        <v>788.44</v>
      </c>
      <c r="Q33" s="37">
        <v>788.44</v>
      </c>
    </row>
    <row r="34" spans="1:17" x14ac:dyDescent="0.2">
      <c r="A34" s="21">
        <v>30</v>
      </c>
      <c r="B34" s="33">
        <v>1130</v>
      </c>
      <c r="C34" s="34"/>
      <c r="D34" s="35" t="s">
        <v>77</v>
      </c>
      <c r="E34" s="3" t="s">
        <v>79</v>
      </c>
      <c r="F34" s="30"/>
      <c r="G34" s="30"/>
      <c r="H34" s="30"/>
      <c r="I34" s="30"/>
      <c r="J34" s="30">
        <v>788.44</v>
      </c>
      <c r="K34" s="30">
        <v>788.44</v>
      </c>
      <c r="L34" s="30">
        <v>788.44</v>
      </c>
      <c r="M34" s="30">
        <v>788.44</v>
      </c>
      <c r="N34" s="30">
        <v>788.44</v>
      </c>
      <c r="O34" s="30">
        <v>788.44</v>
      </c>
      <c r="P34" s="36">
        <v>788.44</v>
      </c>
      <c r="Q34" s="37">
        <v>788.44</v>
      </c>
    </row>
    <row r="35" spans="1:17" x14ac:dyDescent="0.2">
      <c r="A35" s="21">
        <v>31</v>
      </c>
      <c r="B35" s="27">
        <v>1131</v>
      </c>
      <c r="C35" s="34"/>
      <c r="D35" s="21" t="s">
        <v>77</v>
      </c>
      <c r="E35" s="3" t="s">
        <v>80</v>
      </c>
      <c r="F35" s="30"/>
      <c r="G35" s="30"/>
      <c r="H35" s="30"/>
      <c r="I35" s="30"/>
      <c r="J35" s="30">
        <v>788.44</v>
      </c>
      <c r="K35" s="30">
        <v>788.44</v>
      </c>
      <c r="L35" s="30">
        <v>788.44</v>
      </c>
      <c r="M35" s="30">
        <v>788.44</v>
      </c>
      <c r="N35" s="30">
        <v>788.44</v>
      </c>
      <c r="O35" s="30">
        <v>788.44</v>
      </c>
      <c r="P35" s="36">
        <v>788.44</v>
      </c>
      <c r="Q35" s="37">
        <v>788.44</v>
      </c>
    </row>
    <row r="36" spans="1:17" x14ac:dyDescent="0.2">
      <c r="A36" s="21">
        <v>32</v>
      </c>
      <c r="B36" s="27">
        <v>1132</v>
      </c>
      <c r="C36" s="27"/>
      <c r="D36" s="39" t="s">
        <v>81</v>
      </c>
      <c r="E36" s="3" t="s">
        <v>82</v>
      </c>
      <c r="F36" s="30"/>
      <c r="G36" s="30"/>
      <c r="H36" s="30"/>
      <c r="I36" s="30"/>
      <c r="J36" s="30"/>
      <c r="K36" s="30">
        <v>788.44</v>
      </c>
      <c r="L36" s="30">
        <v>788.44</v>
      </c>
      <c r="M36" s="30">
        <v>788.44</v>
      </c>
      <c r="N36" s="30">
        <v>788.44</v>
      </c>
      <c r="O36" s="30">
        <v>788.44</v>
      </c>
      <c r="P36" s="36">
        <v>788.44</v>
      </c>
      <c r="Q36" s="37">
        <v>788.44</v>
      </c>
    </row>
    <row r="37" spans="1:17" x14ac:dyDescent="0.2">
      <c r="A37" s="21">
        <v>33</v>
      </c>
      <c r="B37" s="40">
        <v>1135</v>
      </c>
      <c r="C37" s="40"/>
      <c r="D37" s="35" t="s">
        <v>83</v>
      </c>
      <c r="E37" s="3" t="s">
        <v>84</v>
      </c>
      <c r="F37" s="30"/>
      <c r="G37" s="30"/>
      <c r="H37" s="30"/>
      <c r="I37" s="30"/>
      <c r="J37" s="30"/>
      <c r="K37" s="30"/>
      <c r="L37" s="30">
        <v>788.44</v>
      </c>
      <c r="M37" s="30">
        <v>788.44</v>
      </c>
      <c r="N37" s="30">
        <v>788.44</v>
      </c>
      <c r="O37" s="30">
        <v>788.44</v>
      </c>
      <c r="P37" s="36">
        <v>788.44</v>
      </c>
      <c r="Q37" s="37">
        <v>788.44</v>
      </c>
    </row>
    <row r="38" spans="1:17" x14ac:dyDescent="0.2">
      <c r="A38" s="21">
        <v>34</v>
      </c>
      <c r="B38" s="40">
        <v>1133</v>
      </c>
      <c r="C38" s="40"/>
      <c r="D38" s="35" t="s">
        <v>85</v>
      </c>
      <c r="E38" s="3" t="s">
        <v>86</v>
      </c>
      <c r="F38" s="30"/>
      <c r="G38" s="30"/>
      <c r="H38" s="30"/>
      <c r="I38" s="30"/>
      <c r="J38" s="30"/>
      <c r="K38" s="30"/>
      <c r="L38" s="30"/>
      <c r="M38" s="30">
        <v>788.44</v>
      </c>
      <c r="N38" s="30">
        <v>788.44</v>
      </c>
      <c r="O38" s="30">
        <v>788.44</v>
      </c>
      <c r="P38" s="36">
        <v>788.44</v>
      </c>
      <c r="Q38" s="37">
        <v>788.44</v>
      </c>
    </row>
    <row r="39" spans="1:17" x14ac:dyDescent="0.2">
      <c r="A39" s="21">
        <v>35</v>
      </c>
      <c r="B39" s="28">
        <v>1134</v>
      </c>
      <c r="C39" s="28"/>
      <c r="D39" s="21" t="s">
        <v>85</v>
      </c>
      <c r="E39" s="3" t="s">
        <v>87</v>
      </c>
      <c r="F39" s="30"/>
      <c r="G39" s="30"/>
      <c r="H39" s="30"/>
      <c r="I39" s="30"/>
      <c r="J39" s="30"/>
      <c r="K39" s="30"/>
      <c r="L39" s="30"/>
      <c r="M39" s="30">
        <v>788.44</v>
      </c>
      <c r="N39" s="30">
        <v>818.4</v>
      </c>
      <c r="O39" s="30">
        <v>803.42</v>
      </c>
      <c r="P39" s="36">
        <v>803.42</v>
      </c>
      <c r="Q39" s="37">
        <v>803.42</v>
      </c>
    </row>
    <row r="40" spans="1:17" x14ac:dyDescent="0.2">
      <c r="A40" s="21">
        <v>36</v>
      </c>
      <c r="B40" s="33">
        <v>1137</v>
      </c>
      <c r="C40" s="33"/>
      <c r="D40" s="35" t="s">
        <v>88</v>
      </c>
      <c r="E40" s="3" t="s">
        <v>89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42">
        <v>788.44</v>
      </c>
      <c r="Q40" s="43">
        <v>788.44</v>
      </c>
    </row>
    <row r="41" spans="1:17" x14ac:dyDescent="0.2">
      <c r="A41" s="21">
        <v>37</v>
      </c>
      <c r="B41" s="33">
        <v>1136</v>
      </c>
      <c r="C41" s="33"/>
      <c r="D41" s="35" t="s">
        <v>88</v>
      </c>
      <c r="E41" s="3" t="s">
        <v>90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42">
        <v>805.09</v>
      </c>
      <c r="Q41" s="43">
        <v>805.09</v>
      </c>
    </row>
    <row r="42" spans="1:17" x14ac:dyDescent="0.2">
      <c r="A42" s="21">
        <v>38</v>
      </c>
      <c r="B42" s="27">
        <v>1138</v>
      </c>
      <c r="C42" s="27"/>
      <c r="D42" s="35" t="s">
        <v>88</v>
      </c>
      <c r="E42" s="3" t="s">
        <v>91</v>
      </c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42">
        <v>805.09</v>
      </c>
      <c r="Q42" s="43">
        <v>805.09</v>
      </c>
    </row>
    <row r="43" spans="1:17" x14ac:dyDescent="0.2">
      <c r="A43" s="60"/>
      <c r="B43" s="61"/>
      <c r="C43" s="61"/>
      <c r="D43" s="61"/>
      <c r="E43" s="61"/>
      <c r="F43" s="44">
        <f>SUM(F5:F32)</f>
        <v>22816.269999999997</v>
      </c>
      <c r="G43" s="44">
        <f>SUM(G4:G32)</f>
        <v>22816.269999999997</v>
      </c>
      <c r="H43" s="44">
        <f>SUM(H4:H32)</f>
        <v>22816.269999999997</v>
      </c>
      <c r="I43" s="45">
        <f>SUM(I5:I32)</f>
        <v>22816.269999999997</v>
      </c>
      <c r="J43" s="46">
        <f>SUM(J4:J35)</f>
        <v>25181.589999999993</v>
      </c>
      <c r="K43" s="44">
        <f>SUM(K5:K36)</f>
        <v>25970.029999999992</v>
      </c>
      <c r="L43" s="44">
        <f>SUM(L4:L39)</f>
        <v>26758.46999999999</v>
      </c>
      <c r="M43" s="44">
        <f>SUM(M5:M39)</f>
        <v>28335.349999999988</v>
      </c>
      <c r="N43" s="44">
        <f>SUM(N5:N39)</f>
        <v>29106.279999999992</v>
      </c>
      <c r="O43" s="44">
        <f>SUM(O5:O39)</f>
        <v>28432.659999999989</v>
      </c>
      <c r="P43" s="45">
        <f>SUM(P5:P42)</f>
        <v>30831.279999999988</v>
      </c>
      <c r="Q43" s="45">
        <f>SUM(Q5:Q42)</f>
        <v>30831.279999999988</v>
      </c>
    </row>
    <row r="44" spans="1:17" x14ac:dyDescent="0.2">
      <c r="D44" s="18">
        <f>COUNTA(D5:D42)</f>
        <v>38</v>
      </c>
    </row>
  </sheetData>
  <mergeCells count="6">
    <mergeCell ref="A43:E43"/>
    <mergeCell ref="A1:A2"/>
    <mergeCell ref="B1:E1"/>
    <mergeCell ref="F1:Q1"/>
    <mergeCell ref="B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ST40_FAA2000</vt:lpstr>
      <vt:lpstr>bb8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Gawron.Justyna</dc:creator>
  <cp:keywords/>
  <dc:description/>
  <cp:lastModifiedBy>Antoni Mazur</cp:lastModifiedBy>
  <cp:revision/>
  <dcterms:created xsi:type="dcterms:W3CDTF">2025-11-28T08:39:45Z</dcterms:created>
  <dcterms:modified xsi:type="dcterms:W3CDTF">2026-04-19T20:48:17Z</dcterms:modified>
  <cp:category/>
  <cp:contentStatus/>
</cp:coreProperties>
</file>